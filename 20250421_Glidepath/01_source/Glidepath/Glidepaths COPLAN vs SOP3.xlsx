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documenttasks/documenttask1.xml" ContentType="application/vnd.ms-excel.documenttasks+xml"/>
  <Override PartName="/xl/threadedComments/threadedComment4.xml" ContentType="application/vnd.ms-excel.threadedcomments+xml"/>
  <Override PartName="/xl/documenttasks/documenttask2.xml" ContentType="application/vnd.ms-excel.documenttask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Professional\04_Git\AI_Power_Studio\20250421_Glidepath\01_source\Glidepath\"/>
    </mc:Choice>
  </mc:AlternateContent>
  <xr:revisionPtr revIDLastSave="0" documentId="13_ncr:1_{151C9981-ED13-4879-BA97-5892EAF764E5}" xr6:coauthVersionLast="47" xr6:coauthVersionMax="47" xr10:uidLastSave="{00000000-0000-0000-0000-000000000000}"/>
  <bookViews>
    <workbookView xWindow="2540" yWindow="3300" windowWidth="31320" windowHeight="20370" tabRatio="546" firstSheet="1" activeTab="3" xr2:uid="{7BE6D1BB-B664-49B6-AC6D-65ACDD1B6457}"/>
  </bookViews>
  <sheets>
    <sheet name="Gap Analysis update" sheetId="11" state="hidden" r:id="rId1"/>
    <sheet name="Summary" sheetId="8" r:id="rId2"/>
    <sheet name="RCS" sheetId="5" r:id="rId3"/>
    <sheet name="RCS Initiatives" sheetId="4" r:id="rId4"/>
    <sheet name="MoDi" sheetId="7" r:id="rId5"/>
    <sheet name="MoDi Initiatives" sheetId="6" r:id="rId6"/>
  </sheets>
  <externalReferences>
    <externalReference r:id="rId7"/>
    <externalReference r:id="rId8"/>
    <externalReference r:id="rId9"/>
    <externalReference r:id="rId10"/>
    <externalReference r:id="rId11"/>
    <externalReference r:id="rId12"/>
    <externalReference r:id="rId13"/>
  </externalReferences>
  <definedNames>
    <definedName name="________________ean2" hidden="1">{"'Feb 99'!$A$1:$G$30"}</definedName>
    <definedName name="________________K2" hidden="1">{#N/A,#N/A,FALSE,"Sheet1"}</definedName>
    <definedName name="________________KA1" hidden="1">{#N/A,#N/A,FALSE,"Sheet1"}</definedName>
    <definedName name="________________UB1" hidden="1">{"'Feb 99'!$A$1:$G$30"}</definedName>
    <definedName name="________________UB2" hidden="1">{"'Feb 99'!$A$1:$G$30"}</definedName>
    <definedName name="______________ean2" hidden="1">{"'Feb 99'!$A$1:$G$30"}</definedName>
    <definedName name="______________K2" hidden="1">{#N/A,#N/A,FALSE,"Sheet1"}</definedName>
    <definedName name="______________KA1" hidden="1">{#N/A,#N/A,FALSE,"Sheet1"}</definedName>
    <definedName name="______________UB1" hidden="1">{"'Feb 99'!$A$1:$G$30"}</definedName>
    <definedName name="______________UB2" hidden="1">{"'Feb 99'!$A$1:$G$30"}</definedName>
    <definedName name="____________ean2" hidden="1">{"'Feb 99'!$A$1:$G$30"}</definedName>
    <definedName name="____________K2" hidden="1">{#N/A,#N/A,FALSE,"Sheet1"}</definedName>
    <definedName name="____________KA1" hidden="1">{#N/A,#N/A,FALSE,"Sheet1"}</definedName>
    <definedName name="____________Key2" hidden="1">#REF!</definedName>
    <definedName name="____________UB1" hidden="1">{"'Feb 99'!$A$1:$G$30"}</definedName>
    <definedName name="____________UB2" hidden="1">{"'Feb 99'!$A$1:$G$30"}</definedName>
    <definedName name="___________Key2" hidden="1">#REF!</definedName>
    <definedName name="__________ean2" hidden="1">{"'Feb 99'!$A$1:$G$30"}</definedName>
    <definedName name="__________K2" hidden="1">{#N/A,#N/A,FALSE,"Sheet1"}</definedName>
    <definedName name="__________KA1" hidden="1">{#N/A,#N/A,FALSE,"Sheet1"}</definedName>
    <definedName name="__________Key2" hidden="1">#REF!</definedName>
    <definedName name="__________UB1" hidden="1">{"'Feb 99'!$A$1:$G$30"}</definedName>
    <definedName name="__________UB2" hidden="1">{"'Feb 99'!$A$1:$G$30"}</definedName>
    <definedName name="_________Key2" hidden="1">#REF!</definedName>
    <definedName name="________cc1" hidden="1">{#N/A,#N/A,FALSE,"STBOARD"}</definedName>
    <definedName name="________df1" hidden="1">{#N/A,#N/A,FALSE,"STBOARD"}</definedName>
    <definedName name="________ean2" hidden="1">{"'Feb 99'!$A$1:$G$30"}</definedName>
    <definedName name="________K2" hidden="1">{#N/A,#N/A,FALSE,"Sheet1"}</definedName>
    <definedName name="________KA1" hidden="1">{#N/A,#N/A,FALSE,"Sheet1"}</definedName>
    <definedName name="________Key2" hidden="1">#REF!</definedName>
    <definedName name="________sds1" hidden="1">{#N/A,#N/A,FALSE,"STBOARD"}</definedName>
    <definedName name="________UB1" hidden="1">{"'Feb 99'!$A$1:$G$30"}</definedName>
    <definedName name="________UB2" hidden="1">{"'Feb 99'!$A$1:$G$30"}</definedName>
    <definedName name="_______Key2" hidden="1">#REF!</definedName>
    <definedName name="______cc1" hidden="1">{#N/A,#N/A,FALSE,"STBOARD"}</definedName>
    <definedName name="______df1" hidden="1">{#N/A,#N/A,FALSE,"STBOARD"}</definedName>
    <definedName name="______ean2" hidden="1">{"'Feb 99'!$A$1:$G$30"}</definedName>
    <definedName name="______K2" hidden="1">{#N/A,#N/A,FALSE,"Sheet1"}</definedName>
    <definedName name="______KA1" hidden="1">{#N/A,#N/A,FALSE,"Sheet1"}</definedName>
    <definedName name="______Key2" hidden="1">#REF!</definedName>
    <definedName name="______sds1" hidden="1">{#N/A,#N/A,FALSE,"STBOARD"}</definedName>
    <definedName name="______UB1" hidden="1">{"'Feb 99'!$A$1:$G$30"}</definedName>
    <definedName name="______UB2" hidden="1">{"'Feb 99'!$A$1:$G$30"}</definedName>
    <definedName name="_____cc1" hidden="1">{#N/A,#N/A,FALSE,"STBOARD"}</definedName>
    <definedName name="_____df1" hidden="1">{#N/A,#N/A,FALSE,"STBOARD"}</definedName>
    <definedName name="_____ean2" hidden="1">{"'Feb 99'!$A$1:$G$30"}</definedName>
    <definedName name="_____K2" hidden="1">{#N/A,#N/A,FALSE,"Sheet1"}</definedName>
    <definedName name="_____KA1" hidden="1">{#N/A,#N/A,FALSE,"Sheet1"}</definedName>
    <definedName name="_____Key2" hidden="1">#REF!</definedName>
    <definedName name="_____sds1" hidden="1">{#N/A,#N/A,FALSE,"STBOARD"}</definedName>
    <definedName name="_____UB1" hidden="1">{"'Feb 99'!$A$1:$G$30"}</definedName>
    <definedName name="_____UB2" hidden="1">{"'Feb 99'!$A$1:$G$30"}</definedName>
    <definedName name="____cc1" hidden="1">{#N/A,#N/A,FALSE,"STBOARD"}</definedName>
    <definedName name="____df1" hidden="1">{#N/A,#N/A,FALSE,"STBOARD"}</definedName>
    <definedName name="____ean2" hidden="1">{"'Feb 99'!$A$1:$G$30"}</definedName>
    <definedName name="____K2" hidden="1">{#N/A,#N/A,FALSE,"Sheet1"}</definedName>
    <definedName name="____KA1" hidden="1">{#N/A,#N/A,FALSE,"Sheet1"}</definedName>
    <definedName name="____Key2" hidden="1">#REF!</definedName>
    <definedName name="____sds1" hidden="1">{#N/A,#N/A,FALSE,"STBOARD"}</definedName>
    <definedName name="____UB1" hidden="1">{"'Feb 99'!$A$1:$G$30"}</definedName>
    <definedName name="____UB2" hidden="1">{"'Feb 99'!$A$1:$G$30"}</definedName>
    <definedName name="___cc1" hidden="1">{#N/A,#N/A,FALSE,"STBOARD"}</definedName>
    <definedName name="___df1" hidden="1">{#N/A,#N/A,FALSE,"STBOARD"}</definedName>
    <definedName name="___ean2" hidden="1">{"'Feb 99'!$A$1:$G$30"}</definedName>
    <definedName name="___K2" hidden="1">{#N/A,#N/A,FALSE,"Sheet1"}</definedName>
    <definedName name="___KA1" hidden="1">{#N/A,#N/A,FALSE,"Sheet1"}</definedName>
    <definedName name="___Key2" hidden="1">#REF!</definedName>
    <definedName name="___sds1" hidden="1">{#N/A,#N/A,FALSE,"STBOARD"}</definedName>
    <definedName name="___UB1" hidden="1">{"'Feb 99'!$A$1:$G$30"}</definedName>
    <definedName name="___UB2" hidden="1">{"'Feb 99'!$A$1:$G$30"}</definedName>
    <definedName name="__1__123Graph_ACHART_1" hidden="1">#REF!</definedName>
    <definedName name="__10__123Graph_CCHART_2" hidden="1">#REF!</definedName>
    <definedName name="__11__123Graph_CCHART_3" hidden="1">#REF!</definedName>
    <definedName name="__12__123Graph_CCHART_9" hidden="1">#REF!</definedName>
    <definedName name="__123Graph_A" hidden="1">#REF!</definedName>
    <definedName name="__123Graph_ACONSUMER" hidden="1">#REF!</definedName>
    <definedName name="__123Graph_B" hidden="1">#REF!</definedName>
    <definedName name="__123Graph_BCOMMERCIAL" hidden="1">#REF!</definedName>
    <definedName name="__123Graph_BCurrent" hidden="1">#REF!</definedName>
    <definedName name="__123Graph_C" hidden="1">#REF!</definedName>
    <definedName name="__123Graph_CCORPORATE"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X" hidden="1">#REF!</definedName>
    <definedName name="__123Graph_XCOMMERCIAL" hidden="1">#REF!</definedName>
    <definedName name="__123Graph_XCONSUMER" hidden="1">#REF!</definedName>
    <definedName name="__123Graph_XCORPORATE" hidden="1">#REF!</definedName>
    <definedName name="__13__123Graph_DCHART_1" hidden="1">#REF!</definedName>
    <definedName name="__14__123Graph_DCHART_2" hidden="1">#REF!</definedName>
    <definedName name="__15__123Graph_DCHART_3" hidden="1">#REF!</definedName>
    <definedName name="__16__123Graph_DCHART_9" hidden="1">#REF!</definedName>
    <definedName name="__17__123Graph_ECHART_3" hidden="1">#REF!</definedName>
    <definedName name="__18__123Graph_XCHART_1" hidden="1">#REF!</definedName>
    <definedName name="__19__123Graph_XCHART_2" hidden="1">#REF!</definedName>
    <definedName name="__2__123Graph_ACHART_2" hidden="1">#REF!</definedName>
    <definedName name="__20__123Graph_XCHART_3" hidden="1">#REF!</definedName>
    <definedName name="__21__123Graph_XCHART_4" hidden="1">#REF!</definedName>
    <definedName name="__22__123Graph_XCHART_9" hidden="1">#REF!</definedName>
    <definedName name="__3__123Graph_ACHART_3" hidden="1">#REF!</definedName>
    <definedName name="__4__123Graph_ACHART_9" hidden="1">#REF!</definedName>
    <definedName name="__5__123Graph_BCHART_1" hidden="1">#REF!</definedName>
    <definedName name="__6__123Graph_BCHART_2" hidden="1">#REF!</definedName>
    <definedName name="__7__123Graph_BCHART_3" hidden="1">#REF!</definedName>
    <definedName name="__8__123Graph_BCHART_9" hidden="1">#REF!</definedName>
    <definedName name="__9__123Graph_CCHART_1" hidden="1">#REF!</definedName>
    <definedName name="__a1" hidden="1">{#N/A,#N/A,TRUE,"Old - New P&amp;L";#N/A,#N/A,TRUE,"EBIT MMO - Total";#N/A,#N/A,TRUE,"MMO NE, CEE, ASIA, CAR";#N/A,#N/A,TRUE,"MMO LAT, MEA, AFR";#N/A,#N/A,TRUE,"NP growth";#N/A,#N/A,TRUE,"ER impact"}</definedName>
    <definedName name="__aa1" hidden="1">{#N/A,#N/A,TRUE,"Old - New P&amp;L";#N/A,#N/A,TRUE,"EBIT MMO - Total";#N/A,#N/A,TRUE,"MMO NE, CEE, ASIA, CAR";#N/A,#N/A,TRUE,"MMO LAT, MEA, AFR";#N/A,#N/A,TRUE,"NP growth";#N/A,#N/A,TRUE,"ER impact"}</definedName>
    <definedName name="__aa2" hidden="1">{#N/A,#N/A,TRUE,"Old - New P&amp;L";#N/A,#N/A,TRUE,"EBIT MMO - Total";#N/A,#N/A,TRUE,"MMO NE, CEE, ASIA, CAR";#N/A,#N/A,TRUE,"MMO LAT, MEA, AFR";#N/A,#N/A,TRUE,"NP growth";#N/A,#N/A,TRUE,"ER impact"}</definedName>
    <definedName name="__amo1111" hidden="1">{#N/A,#N/A,TRUE,"Start";#N/A,#N/A,TRUE,"DadosGerais";#N/A,#N/A,TRUE,"Custo Conversão"}</definedName>
    <definedName name="__cc1" hidden="1">{#N/A,#N/A,FALSE,"STBOARD"}</definedName>
    <definedName name="__df1" hidden="1">{#N/A,#N/A,FALSE,"STBOARD"}</definedName>
    <definedName name="__ean2" hidden="1">{"'Feb 99'!$A$1:$G$30"}</definedName>
    <definedName name="__IntlFixup" hidden="1">TRUE</definedName>
    <definedName name="__K2" hidden="1">{#N/A,#N/A,FALSE,"Sheet1"}</definedName>
    <definedName name="__KA1" hidden="1">{#N/A,#N/A,FALSE,"Sheet1"}</definedName>
    <definedName name="__Key2" hidden="1">#REF!</definedName>
    <definedName name="__l" hidden="1">#REF!</definedName>
    <definedName name="__sds1" hidden="1">{#N/A,#N/A,FALSE,"STBOARD"}</definedName>
    <definedName name="__UB1" hidden="1">{"'Feb 99'!$A$1:$G$30"}</definedName>
    <definedName name="__UB2" hidden="1">{"'Feb 99'!$A$1:$G$30"}</definedName>
    <definedName name="__X1"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_1__123Graph_ACHART_1" hidden="1">#REF!</definedName>
    <definedName name="_1__123Graph_ACHART_10" hidden="1">#REF!</definedName>
    <definedName name="_1__123Graph_BCHART_5" hidden="1">#REF!</definedName>
    <definedName name="_1_0">#REF!</definedName>
    <definedName name="_1_1__1_WEBI_DataGrid" hidden="1">#REF!</definedName>
    <definedName name="_10__123Graph_ACHART_8" hidden="1">#REF!</definedName>
    <definedName name="_10__123Graph_BCHART_9" hidden="1">#REF!</definedName>
    <definedName name="_10__123Graph_CCHART_2" hidden="1">#REF!</definedName>
    <definedName name="_10__123Graph_XCHART_5" hidden="1">#REF!</definedName>
    <definedName name="_11__123Graph_BCHART_1" hidden="1">#REF!</definedName>
    <definedName name="_11__123Graph_CCHART_1" hidden="1">#REF!</definedName>
    <definedName name="_11__123Graph_CCHART_3" hidden="1">#REF!</definedName>
    <definedName name="_11__123Graph_XM_MARKET" hidden="1">#REF!</definedName>
    <definedName name="_111">#REF!</definedName>
    <definedName name="_12__123Graph_BCHART_10" hidden="1">#REF!</definedName>
    <definedName name="_12__123Graph_CCHART_2" hidden="1">#REF!</definedName>
    <definedName name="_12__123Graph_CCHART_9" hidden="1">#REF!</definedName>
    <definedName name="_13__123Graph_BCHART_12" hidden="1">#REF!</definedName>
    <definedName name="_13__123Graph_CCHART_3" hidden="1">#REF!</definedName>
    <definedName name="_13__123Graph_DCHART_1" hidden="1">#REF!</definedName>
    <definedName name="_14__123Graph_BCHART_13" hidden="1">#REF!</definedName>
    <definedName name="_14__123Graph_DCHART_2" hidden="1">#REF!</definedName>
    <definedName name="_15__123Graph_BCHART_14" hidden="1">#REF!</definedName>
    <definedName name="_15__123Graph_CCHART_9" hidden="1">#REF!</definedName>
    <definedName name="_15__123Graph_DCHART_3" hidden="1">#REF!</definedName>
    <definedName name="_16__123Graph_BCHART_15" hidden="1">#REF!</definedName>
    <definedName name="_16__123Graph_DCHART_1" hidden="1">#REF!</definedName>
    <definedName name="_16__123Graph_DCHART_9" hidden="1">#REF!</definedName>
    <definedName name="_17__123Graph_BCHART_2" hidden="1">#REF!</definedName>
    <definedName name="_17__123Graph_DCHART_2" hidden="1">#REF!</definedName>
    <definedName name="_17__123Graph_ECHART_3" hidden="1">#REF!</definedName>
    <definedName name="_18__123Graph_BCHART_9" hidden="1">#REF!</definedName>
    <definedName name="_18__123Graph_DCHART_3" hidden="1">#REF!</definedName>
    <definedName name="_18__123Graph_XCHART_1" hidden="1">#REF!</definedName>
    <definedName name="_19__123Graph_CCHART_1" hidden="1">#REF!</definedName>
    <definedName name="_19__123Graph_XCHART_2" hidden="1">#REF!</definedName>
    <definedName name="_2__123Graph_ACHART_12" hidden="1">#REF!</definedName>
    <definedName name="_2__123Graph_ACHART_2" hidden="1">#REF!</definedName>
    <definedName name="_2_00">#REF!</definedName>
    <definedName name="_2_1__1_WEBI_HHeading" hidden="1">#REF!</definedName>
    <definedName name="_20__123Graph_CCHART_10" hidden="1">#REF!</definedName>
    <definedName name="_20__123Graph_DCHART_9" hidden="1">#REF!</definedName>
    <definedName name="_20__123Graph_XCHART_3" hidden="1">#REF!</definedName>
    <definedName name="_21__123Graph_CCHART_12" hidden="1">#REF!</definedName>
    <definedName name="_21__123Graph_ECHART_3" hidden="1">#REF!</definedName>
    <definedName name="_21__123Graph_XCHART_4" hidden="1">#REF!</definedName>
    <definedName name="_22__123Graph_CCHART_13" hidden="1">#REF!</definedName>
    <definedName name="_22__123Graph_XCHART_1" hidden="1">#REF!</definedName>
    <definedName name="_22__123Graph_XCHART_9" hidden="1">#REF!</definedName>
    <definedName name="_23__123Graph_CCHART_14" hidden="1">#REF!</definedName>
    <definedName name="_23__123Graph_XCHART_2" hidden="1">#REF!</definedName>
    <definedName name="_24__123Graph_CCHART_2" hidden="1">#REF!</definedName>
    <definedName name="_25__123Graph_CCHART_9" hidden="1">#REF!</definedName>
    <definedName name="_25__123Graph_XCHART_3" hidden="1">#REF!</definedName>
    <definedName name="_26__123Graph_DCHART_1" hidden="1">#REF!</definedName>
    <definedName name="_27__123Graph_DCHART_10" hidden="1">#REF!</definedName>
    <definedName name="_27__123Graph_XCHART_4" hidden="1">#REF!</definedName>
    <definedName name="_28__123Graph_DCHART_2" hidden="1">#REF!</definedName>
    <definedName name="_29__123Graph_DCHART_9" hidden="1">#REF!</definedName>
    <definedName name="_29__123Graph_XCHART_9" hidden="1">#REF!</definedName>
    <definedName name="_3__123Graph_ACHART_13" hidden="1">#REF!</definedName>
    <definedName name="_3__123Graph_ACHART_3" hidden="1">#REF!</definedName>
    <definedName name="_3_000">#REF!</definedName>
    <definedName name="_3_1__1_WEBI_Table" hidden="1">#REF!</definedName>
    <definedName name="_30__123Graph_ECHART_2" hidden="1">#REF!</definedName>
    <definedName name="_31__123Graph_LBL_ACHART_1" hidden="1">#REF!</definedName>
    <definedName name="_32__123Graph_LBL_ACHART_10" hidden="1">#REF!</definedName>
    <definedName name="_33__123Graph_LBL_ACHART_12" hidden="1">#REF!</definedName>
    <definedName name="_34__123Graph_LBL_ACHART_13" hidden="1">#REF!</definedName>
    <definedName name="_35__123Graph_LBL_ACHART_14" hidden="1">#REF!</definedName>
    <definedName name="_36__123Graph_LBL_ACHART_15" hidden="1">#REF!</definedName>
    <definedName name="_37__123Graph_LBL_ACHART_9" hidden="1">#REF!</definedName>
    <definedName name="_38__123Graph_LBL_BCHART_1" hidden="1">#REF!</definedName>
    <definedName name="_39__123Graph_LBL_BCHART_10" hidden="1">#REF!</definedName>
    <definedName name="_4__123Graph_ACHART_14" hidden="1">#REF!</definedName>
    <definedName name="_4__123Graph_ACHART_9" hidden="1">#REF!</definedName>
    <definedName name="_4_2__1_WEBI_DataGrid" hidden="1">#REF!</definedName>
    <definedName name="_40__123Graph_LBL_BCHART_12" hidden="1">#REF!</definedName>
    <definedName name="_41__123Graph_LBL_BCHART_13" hidden="1">#REF!</definedName>
    <definedName name="_42__123Graph_LBL_BCHART_14" hidden="1">#REF!</definedName>
    <definedName name="_43__123Graph_LBL_BCHART_15" hidden="1">#REF!</definedName>
    <definedName name="_44__123Graph_LBL_BCHART_9" hidden="1">#REF!</definedName>
    <definedName name="_45__123Graph_LBL_CCHART_1" hidden="1">#REF!</definedName>
    <definedName name="_46__123Graph_LBL_CCHART_10" hidden="1">#REF!</definedName>
    <definedName name="_47__123Graph_LBL_CCHART_12" hidden="1">#REF!</definedName>
    <definedName name="_48__123Graph_LBL_CCHART_13" hidden="1">#REF!</definedName>
    <definedName name="_49__123Graph_LBL_CCHART_14" hidden="1">#REF!</definedName>
    <definedName name="_5__123Graph_ACHART_15" hidden="1">#REF!</definedName>
    <definedName name="_5__123Graph_ACHART_9" hidden="1">#REF!</definedName>
    <definedName name="_5__123Graph_BCHART_1" hidden="1">#REF!</definedName>
    <definedName name="_5_2__1_WEBI_HHeading" hidden="1">#REF!</definedName>
    <definedName name="_50__123Graph_LBL_CCHART_9" hidden="1">#REF!</definedName>
    <definedName name="_51__123Graph_LBL_DCHART_1" hidden="1">#REF!</definedName>
    <definedName name="_52__123Graph_LBL_DCHART_10" hidden="1">#REF!</definedName>
    <definedName name="_53__123Graph_LBL_DCHART_9" hidden="1">#REF!</definedName>
    <definedName name="_54__123Graph_XCHART_13" hidden="1">#REF!</definedName>
    <definedName name="_55__123Graph_XCHART_15" hidden="1">#REF!</definedName>
    <definedName name="_6__123Graph_ACHART_2" hidden="1">#REF!</definedName>
    <definedName name="_6__123Graph_BCHART_1" hidden="1">#REF!</definedName>
    <definedName name="_6__123Graph_BCHART_2" hidden="1">#REF!</definedName>
    <definedName name="_6_2__1_WEBI_Table" hidden="1">#REF!</definedName>
    <definedName name="_7__123Graph_ACHART_3" hidden="1">#REF!</definedName>
    <definedName name="_7__123Graph_ACHART_5" hidden="1">#REF!</definedName>
    <definedName name="_7__123Graph_BCHART_2" hidden="1">#REF!</definedName>
    <definedName name="_7__123Graph_BCHART_3" hidden="1">#REF!</definedName>
    <definedName name="_7_3__1_WEBI_DataGrid" hidden="1">#REF!</definedName>
    <definedName name="_8__123Graph_ACHART_5" hidden="1">#REF!</definedName>
    <definedName name="_8__123Graph_BCHART_3" hidden="1">#REF!</definedName>
    <definedName name="_8__123Graph_BCHART_5" hidden="1">#REF!</definedName>
    <definedName name="_8__123Graph_BCHART_9" hidden="1">#REF!</definedName>
    <definedName name="_8_3__1_WEBI_HHeading" hidden="1">#REF!</definedName>
    <definedName name="_9__123Graph_ACHART_6" hidden="1">#REF!</definedName>
    <definedName name="_9__123Graph_CCHART_1" hidden="1">#REF!</definedName>
    <definedName name="_9__123Graph_DM_MARKET" hidden="1">#REF!</definedName>
    <definedName name="_9_3__1_WEBI_Table" hidden="1">#REF!</definedName>
    <definedName name="_a1" hidden="1">{#N/A,#N/A,TRUE,"Old - New P&amp;L";#N/A,#N/A,TRUE,"EBIT MMO - Total";#N/A,#N/A,TRUE,"MMO NE, CEE, ASIA, CAR";#N/A,#N/A,TRUE,"MMO LAT, MEA, AFR";#N/A,#N/A,TRUE,"NP growth";#N/A,#N/A,TRUE,"ER impact"}</definedName>
    <definedName name="_aa1" hidden="1">{#N/A,#N/A,TRUE,"Old - New P&amp;L";#N/A,#N/A,TRUE,"EBIT MMO - Total";#N/A,#N/A,TRUE,"MMO NE, CEE, ASIA, CAR";#N/A,#N/A,TRUE,"MMO LAT, MEA, AFR";#N/A,#N/A,TRUE,"NP growth";#N/A,#N/A,TRUE,"ER impact"}</definedName>
    <definedName name="_aa2" hidden="1">{#N/A,#N/A,TRUE,"Old - New P&amp;L";#N/A,#N/A,TRUE,"EBIT MMO - Total";#N/A,#N/A,TRUE,"MMO NE, CEE, ASIA, CAR";#N/A,#N/A,TRUE,"MMO LAT, MEA, AFR";#N/A,#N/A,TRUE,"NP growth";#N/A,#N/A,TRUE,"ER impact"}</definedName>
    <definedName name="_amo1111" hidden="1">{#N/A,#N/A,TRUE,"Start";#N/A,#N/A,TRUE,"DadosGerais";#N/A,#N/A,TRUE,"Custo Conversão"}</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128</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hidden="1">#REF!</definedName>
    <definedName name="_BQ4.14" hidden="1">#REF!</definedName>
    <definedName name="_BQ4.15" hidden="1">#REF!</definedName>
    <definedName name="_BQ4.16" hidden="1">#REF!</definedName>
    <definedName name="_BQ4.17" hidden="1">#REF!</definedName>
    <definedName name="_BQ4.18" hidden="1">#REF!</definedName>
    <definedName name="_BQ4.19" hidden="1">#REF!</definedName>
    <definedName name="_BQ4.2" hidden="1">#REF!</definedName>
    <definedName name="_BQ4.20" hidden="1">#REF!</definedName>
    <definedName name="_BQ4.3" hidden="1">#REF!</definedName>
    <definedName name="_BQ4.4" hidden="1">#REF!</definedName>
    <definedName name="_BQ4.5" hidden="1">#REF!</definedName>
    <definedName name="_BQ4.6" hidden="1">#REF!</definedName>
    <definedName name="_BQ4.7" hidden="1">#REF!</definedName>
    <definedName name="_cbi1" hidden="1">{#N/A,#N/A,TRUE,"Old - New P&amp;L";#N/A,#N/A,TRUE,"EBIT MMO - Total";#N/A,#N/A,TRUE,"MMO NE, CEE, ASIA, CAR";#N/A,#N/A,TRUE,"MMO LAT, MEA, AFR";#N/A,#N/A,TRUE,"NP growth";#N/A,#N/A,TRUE,"ER impact"}</definedName>
    <definedName name="_cc1" hidden="1">{#N/A,#N/A,FALSE,"STBOARD"}</definedName>
    <definedName name="_cc1_1" hidden="1">{#N/A,#N/A,FALSE,"STBOARD"}</definedName>
    <definedName name="_cc1_2" hidden="1">{#N/A,#N/A,FALSE,"STBOARD"}</definedName>
    <definedName name="_cc1_3" hidden="1">{#N/A,#N/A,FALSE,"STBOARD"}</definedName>
    <definedName name="_df1" hidden="1">{#N/A,#N/A,FALSE,"STBOARD"}</definedName>
    <definedName name="_df1_1" hidden="1">{#N/A,#N/A,FALSE,"STBOARD"}</definedName>
    <definedName name="_df1_2" hidden="1">{#N/A,#N/A,FALSE,"STBOARD"}</definedName>
    <definedName name="_df1_3" hidden="1">{#N/A,#N/A,FALSE,"STBOARD"}</definedName>
    <definedName name="_Dist_Values" hidden="1">#REF!</definedName>
    <definedName name="_ean2" hidden="1">{"'Feb 99'!$A$1:$G$30"}</definedName>
    <definedName name="_Fill" hidden="1">#REF!</definedName>
    <definedName name="_xlnm._FilterDatabase" localSheetId="0" hidden="1">'Gap Analysis update'!$A$4:$CB$78</definedName>
    <definedName name="_xlnm._FilterDatabase" localSheetId="5" hidden="1">'MoDi Initiatives'!$A$2:$AF$449</definedName>
    <definedName name="_xlnm._FilterDatabase" localSheetId="3" hidden="1">'RCS Initiatives'!$E$1:$E$381</definedName>
    <definedName name="_xlnm._FilterDatabase" hidden="1">#REF!</definedName>
    <definedName name="_K2" hidden="1">{#N/A,#N/A,FALSE,"Sheet1"}</definedName>
    <definedName name="_KA1" hidden="1">{#N/A,#N/A,FALSE,"Sheet1"}</definedName>
    <definedName name="_Key1" hidden="1">#REF!</definedName>
    <definedName name="_Key2" hidden="1">#REF!</definedName>
    <definedName name="_MatInverse_In" hidden="1">#REF!</definedName>
    <definedName name="_MatInverse_Out" hidden="1">#REF!</definedName>
    <definedName name="_Order1" hidden="1">255</definedName>
    <definedName name="_Order2" hidden="1">255</definedName>
    <definedName name="_Parse_In" hidden="1">#REF!</definedName>
    <definedName name="_Parse_Out" hidden="1">#REF!</definedName>
    <definedName name="_QPR2vsQPR1" hidden="1">#REF!</definedName>
    <definedName name="_Regression_X" hidden="1">#REF!</definedName>
    <definedName name="_sds1" hidden="1">{#N/A,#N/A,FALSE,"STBOARD"}</definedName>
    <definedName name="_sds1_1" hidden="1">{#N/A,#N/A,FALSE,"STBOARD"}</definedName>
    <definedName name="_sds1_2" hidden="1">{#N/A,#N/A,FALSE,"STBOARD"}</definedName>
    <definedName name="_sds1_3" hidden="1">{#N/A,#N/A,FALSE,"STBOARD"}</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UB1" hidden="1">{"'Feb 99'!$A$1:$G$30"}</definedName>
    <definedName name="_UB2" hidden="1">{"'Feb 99'!$A$1:$G$30"}</definedName>
    <definedName name="_V2" hidden="1">{#N/A,#N/A,TRUE,"Old - New P&amp;L";#N/A,#N/A,TRUE,"EBIT MMO - Total";#N/A,#N/A,TRUE,"MMO NE, CEE, ASIA, CAR";#N/A,#N/A,TRUE,"MMO LAT, MEA, AFR";#N/A,#N/A,TRUE,"NP growth";#N/A,#N/A,TRUE,"ER impact"}</definedName>
    <definedName name="_WWWW" hidden="1">#REF!</definedName>
    <definedName name="_X1"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A">#REF!</definedName>
    <definedName name="a1a" hidden="1">{#N/A,#N/A,TRUE,"Old - New P&amp;L";#N/A,#N/A,TRUE,"EBIT MMO - Total";#N/A,#N/A,TRUE,"MMO NE, CEE, ASIA, CAR";#N/A,#N/A,TRUE,"MMO LAT, MEA, AFR";#N/A,#N/A,TRUE,"NP growth";#N/A,#N/A,TRUE,"ER impact"}</definedName>
    <definedName name="A2A" hidden="1">{#N/A,#N/A,FALSE,"Sheet1"}</definedName>
    <definedName name="aa">#REF!</definedName>
    <definedName name="aa1a" hidden="1">{#N/A,#N/A,TRUE,"Old - New P&amp;L";#N/A,#N/A,TRUE,"EBIT MMO - Total";#N/A,#N/A,TRUE,"MMO NE, CEE, ASIA, CAR";#N/A,#N/A,TRUE,"MMO LAT, MEA, AFR";#N/A,#N/A,TRUE,"NP growth";#N/A,#N/A,TRUE,"ER impact"}</definedName>
    <definedName name="aa1b" hidden="1">{#N/A,#N/A,TRUE,"Old - New P&amp;L";#N/A,#N/A,TRUE,"EBIT MMO - Total";#N/A,#N/A,TRUE,"MMO NE, CEE, ASIA, CAR";#N/A,#N/A,TRUE,"MMO LAT, MEA, AFR";#N/A,#N/A,TRUE,"NP growth";#N/A,#N/A,TRUE,"ER impact"}</definedName>
    <definedName name="aa2a" hidden="1">{#N/A,#N/A,TRUE,"Old - New P&amp;L";#N/A,#N/A,TRUE,"EBIT MMO - Total";#N/A,#N/A,TRUE,"MMO NE, CEE, ASIA, CAR";#N/A,#N/A,TRUE,"MMO LAT, MEA, AFR";#N/A,#N/A,TRUE,"NP growth";#N/A,#N/A,TRUE,"ER impact"}</definedName>
    <definedName name="aaa">#REF!</definedName>
    <definedName name="aaa_1" hidden="1">{#N/A,#N/A,FALSE,"STBOARD"}</definedName>
    <definedName name="aaa_2" hidden="1">{#N/A,#N/A,FALSE,"STBOARD"}</definedName>
    <definedName name="aaa_3" hidden="1">{#N/A,#N/A,FALSE,"STBOARD"}</definedName>
    <definedName name="aaa_4" hidden="1">{#N/A,#N/A,FALSE,"STBOARD"}</definedName>
    <definedName name="AAAAAAAA" hidden="1">{#N/A,#N/A,TRUE,"Start";#N/A,#N/A,TRUE,"DadosGerais";#N/A,#N/A,TRUE,"Custo Conversão"}</definedName>
    <definedName name="AAAAAAAAAAAAAAAAAAAAAAAAA"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aapo" hidden="1">{#N/A,#N/A,TRUE,"Old - New P&amp;L";#N/A,#N/A,TRUE,"EBIT MMO - Total";#N/A,#N/A,TRUE,"MMO NE, CEE, ASIA, CAR";#N/A,#N/A,TRUE,"MMO LAT, MEA, AFR";#N/A,#N/A,TRUE,"NP growth";#N/A,#N/A,TRUE,"ER impact"}</definedName>
    <definedName name="aba" hidden="1">{#N/A,#N/A,TRUE,"Old - New P&amp;L";#N/A,#N/A,TRUE,"EBIT MMO - Total";#N/A,#N/A,TRUE,"MMO NE, CEE, ASIA, CAR";#N/A,#N/A,TRUE,"MMO LAT, MEA, AFR";#N/A,#N/A,TRUE,"NP growth";#N/A,#N/A,TRUE,"ER impact"}</definedName>
    <definedName name="abc" hidden="1">#REF!</definedName>
    <definedName name="absd" hidden="1">{#N/A,#N/A,FALSE,"STBOARD"}</definedName>
    <definedName name="absd_1" hidden="1">{#N/A,#N/A,FALSE,"STBOARD"}</definedName>
    <definedName name="absd_2" hidden="1">{#N/A,#N/A,FALSE,"STBOARD"}</definedName>
    <definedName name="absd_3" hidden="1">{#N/A,#N/A,FALSE,"STBOARD"}</definedName>
    <definedName name="absd1" hidden="1">{#N/A,#N/A,FALSE,"STBOARD"}</definedName>
    <definedName name="absd1_1" hidden="1">{#N/A,#N/A,FALSE,"STBOARD"}</definedName>
    <definedName name="absd1_2" hidden="1">{#N/A,#N/A,FALSE,"STBOARD"}</definedName>
    <definedName name="absd1_3" hidden="1">{#N/A,#N/A,FALSE,"STBOARD"}</definedName>
    <definedName name="AccessDatabase" hidden="1">"C:\My Documents\Backup\Cost Model\Cost Breakdown Application 2002 V10 (Draft) no background.mdb"</definedName>
    <definedName name="act_cur_pl">#REF!</definedName>
    <definedName name="act_sum_pl">#REF!</definedName>
    <definedName name="ACT_SumPL">#REF!</definedName>
    <definedName name="a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huh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huh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huh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huh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ladina" hidden="1">{#N/A,#N/A,TRUE,"Old - New P&amp;L";#N/A,#N/A,TRUE,"EBIT MMO - Total";#N/A,#N/A,TRUE,"MMO NE, CEE, ASIA, CAR";#N/A,#N/A,TRUE,"MMO LAT, MEA, AFR";#N/A,#N/A,TRUE,"NP growth";#N/A,#N/A,TRUE,"ER impact"}</definedName>
    <definedName name="ALI" hidden="1">{"'Feb 99'!$A$1:$G$30"}</definedName>
    <definedName name="AME_CBII" hidden="1">{#N/A,#N/A,TRUE,"Old - New P&amp;L";#N/A,#N/A,TRUE,"EBIT MMO - Total";#N/A,#N/A,TRUE,"MMO NE, CEE, ASIA, CAR";#N/A,#N/A,TRUE,"MMO LAT, MEA, AFR";#N/A,#N/A,TRUE,"NP growth";#N/A,#N/A,TRUE,"ER impact"}</definedName>
    <definedName name="AMOX1"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AMOX100" hidden="1">{#N/A,#N/A,TRUE,"Start";#N/A,#N/A,TRUE,"DadosGerais";#N/A,#N/A,TRUE,"Custo Conversão"}</definedName>
    <definedName name="AMOX1A" hidden="1">{#N/A,#N/A,TRUE,"Start";#N/A,#N/A,TRUE,"DadosGerais";#N/A,#N/A,TRUE,"Custo Conversão"}</definedName>
    <definedName name="AMOX2"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Ang" hidden="1">{"'Feb 99'!$A$1:$G$30"}</definedName>
    <definedName name="anscount" hidden="1">1</definedName>
    <definedName name="AP_CBII" hidden="1">{#N/A,#N/A,TRUE,"Old - New P&amp;L";#N/A,#N/A,TRUE,"EBIT MMO - Total";#N/A,#N/A,TRUE,"MMO NE, CEE, ASIA, CAR";#N/A,#N/A,TRUE,"MMO LAT, MEA, AFR";#N/A,#N/A,TRUE,"NP growth";#N/A,#N/A,TRUE,"ER impact"}</definedName>
    <definedName name="Aprilprice" hidden="1">#REF!</definedName>
    <definedName name="araw98" hidden="1">{#N/A,#N/A,FALSE,"FG2540"}</definedName>
    <definedName name="AS2DocOpenMode" hidden="1">"AS2DocumentEdit"</definedName>
    <definedName name="asdewrerwfc" hidden="1">{#N/A,#N/A,FALSE,"Staat";#N/A,#N/A,FALSE,"Telefaks"}</definedName>
    <definedName name="asfasff" hidden="1">{#N/A,#N/A,FALSE,"Staat";#N/A,#N/A,FALSE,"Telefaks"}</definedName>
    <definedName name="AYY" hidden="1">{"'Feb 99'!$A$1:$G$30"}</definedName>
    <definedName name="B">#REF!</definedName>
    <definedName name="Backliner_grade">#REF!</definedName>
    <definedName name="Backliner_grammage">#REF!</definedName>
    <definedName name="bas" hidden="1">{#N/A,#N/A,TRUE,"Old - New P&amp;L";#N/A,#N/A,TRUE,"EBIT MMO - Total";#N/A,#N/A,TRUE,"MMO NE, CEE, ASIA, CAR";#N/A,#N/A,TRUE,"MMO LAT, MEA, AFR";#N/A,#N/A,TRUE,"NP growth";#N/A,#N/A,TRUE,"ER impact"}</definedName>
    <definedName name="BASEME" hidden="1">{#N/A,#N/A,TRUE,"Old - New P&amp;L";#N/A,#N/A,TRUE,"EBIT MMO - Total";#N/A,#N/A,TRUE,"MMO NE, CEE, ASIA, CAR";#N/A,#N/A,TRUE,"MMO LAT, MEA, AFR";#N/A,#N/A,TRUE,"NP growth";#N/A,#N/A,TRUE,"ER impact"}</definedName>
    <definedName name="BATES3" hidden="1">{#N/A,#N/A,FALSE,"Staat";#N/A,#N/A,FALSE,"Telefaks"}</definedName>
    <definedName name="BATES4" hidden="1">{#N/A,#N/A,FALSE,"Staat";#N/A,#N/A,FALSE,"Telefaks"}</definedName>
    <definedName name="batuser"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atuser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atuser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atuser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BB"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bbbb" hidden="1">{#N/A,#N/A,TRUE,"Start";#N/A,#N/A,TRUE,"DadosGerais";#N/A,#N/A,TRUE,"Custo Conversão"}</definedName>
    <definedName name="BBBBB" hidden="1">{#N/A,#N/A,TRUE,"Start";#N/A,#N/A,TRUE,"DadosGerais";#N/A,#N/A,TRUE,"Custo Conversão"}</definedName>
    <definedName name="BBBBBBBBBBBBBBBBB" hidden="1">{#N/A,#N/A,TRUE,"Start";#N/A,#N/A,TRUE,"DadosGerais";#N/A,#N/A,TRUE,"Custo Conversão"}</definedName>
    <definedName name="bdgbgfd" hidden="1">{#N/A,#N/A,TRUE,"ReportFrontPage";#N/A,#N/A,TRUE,"Forecast Summary "}</definedName>
    <definedName name="b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huh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huh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huh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huh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is" hidden="1">{#N/A,#N/A,TRUE,"Old - New P&amp;L";#N/A,#N/A,TRUE,"EBIT MMO - Total";#N/A,#N/A,TRUE,"MMO NE, CEE, ASIA, CAR";#N/A,#N/A,TRUE,"MMO LAT, MEA, AFR";#N/A,#N/A,TRUE,"NP growth";#N/A,#N/A,TRUE,"ER impact"}</definedName>
    <definedName name="bivy" hidden="1">{#N/A,#N/A,TRUE,"Old - New P&amp;L";#N/A,#N/A,TRUE,"EBIT MMO - Total";#N/A,#N/A,TRUE,"MMO NE, CEE, ASIA, CAR";#N/A,#N/A,TRUE,"MMO LAT, MEA, AFR";#N/A,#N/A,TRUE,"NP growth";#N/A,#N/A,TRUE,"ER impact"}</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 hidden="1">#REF!</definedName>
    <definedName name="BLPH2000"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nnn" hidden="1">#REF!</definedName>
    <definedName name="Brand_Performance_Labels" hidden="1">#REF!</definedName>
    <definedName name="Brand_Performance_X_Data" hidden="1">#REF!</definedName>
    <definedName name="Brand_Performance_Y_Data" hidden="1">#REF!</definedName>
    <definedName name="BRL">#REF!</definedName>
    <definedName name="bud_cur_pl">#REF!</definedName>
    <definedName name="bud_sum_pl">#REF!</definedName>
    <definedName name="budget1" hidden="1">{#N/A,#N/A,FALSE,"Filter";#N/A,#N/A,FALSE,"Virgin";#N/A,#N/A,FALSE,"Amerik";#N/A,#N/A,FALSE,"Tekstiel"}</definedName>
    <definedName name="BudgetSummaryChart" hidden="1">{#N/A,#N/A,TRUE,"ReportFrontPage";#N/A,#N/A,TRUE,"CostSummary"}</definedName>
    <definedName name="CAMBODIA" hidden="1">{#N/A,#N/A,FALSE,"Staat";#N/A,#N/A,FALSE,"Telefaks"}</definedName>
    <definedName name="cb" hidden="1">{#VALUE!,#N/A,FALSE,0}</definedName>
    <definedName name="CBIA" hidden="1">{#N/A,#N/A,TRUE,"Old - New P&amp;L";#N/A,#N/A,TRUE,"EBIT MMO - Total";#N/A,#N/A,TRUE,"MMO NE, CEE, ASIA, CAR";#N/A,#N/A,TRUE,"MMO LAT, MEA, AFR";#N/A,#N/A,TRUE,"NP growth";#N/A,#N/A,TRUE,"ER impact"}</definedName>
    <definedName name="CBIA_AME" hidden="1">{#N/A,#N/A,TRUE,"Old - New P&amp;L";#N/A,#N/A,TRUE,"EBIT MMO - Total";#N/A,#N/A,TRUE,"MMO NE, CEE, ASIA, CAR";#N/A,#N/A,TRUE,"MMO LAT, MEA, AFR";#N/A,#N/A,TRUE,"NP growth";#N/A,#N/A,TRUE,"ER impact"}</definedName>
    <definedName name="CBIA1" hidden="1">{#N/A,#N/A,TRUE,"Old - New P&amp;L";#N/A,#N/A,TRUE,"EBIT MMO - Total";#N/A,#N/A,TRUE,"MMO NE, CEE, ASIA, CAR";#N/A,#N/A,TRUE,"MMO LAT, MEA, AFR";#N/A,#N/A,TRUE,"NP growth";#N/A,#N/A,TRUE,"ER impact"}</definedName>
    <definedName name="CBIA3" hidden="1">{#N/A,#N/A,TRUE,"Old - New P&amp;L";#N/A,#N/A,TRUE,"EBIT MMO - Total";#N/A,#N/A,TRUE,"MMO NE, CEE, ASIA, CAR";#N/A,#N/A,TRUE,"MMO LAT, MEA, AFR";#N/A,#N/A,TRUE,"NP growth";#N/A,#N/A,TRUE,"ER impact"}</definedName>
    <definedName name="CBII_AME" hidden="1">{#N/A,#N/A,TRUE,"Old - New P&amp;L";#N/A,#N/A,TRUE,"EBIT MMO - Total";#N/A,#N/A,TRUE,"MMO NE, CEE, ASIA, CAR";#N/A,#N/A,TRUE,"MMO LAT, MEA, AFR";#N/A,#N/A,TRUE,"NP growth";#N/A,#N/A,TRUE,"ER impact"}</definedName>
    <definedName name="CBII_CEE" hidden="1">{#N/A,#N/A,TRUE,"Old - New P&amp;L";#N/A,#N/A,TRUE,"EBIT MMO - Total";#N/A,#N/A,TRUE,"MMO NE, CEE, ASIA, CAR";#N/A,#N/A,TRUE,"MMO LAT, MEA, AFR";#N/A,#N/A,TRUE,"NP growth";#N/A,#N/A,TRUE,"ER impact"}</definedName>
    <definedName name="CBII_HO" hidden="1">{#N/A,#N/A,TRUE,"Old - New P&amp;L";#N/A,#N/A,TRUE,"EBIT MMO - Total";#N/A,#N/A,TRUE,"MMO NE, CEE, ASIA, CAR";#N/A,#N/A,TRUE,"MMO LAT, MEA, AFR";#N/A,#N/A,TRUE,"NP growth";#N/A,#N/A,TRUE,"ER impact"}</definedName>
    <definedName name="CBII_HO_2" hidden="1">{#N/A,#N/A,TRUE,"Old - New P&amp;L";#N/A,#N/A,TRUE,"EBIT MMO - Total";#N/A,#N/A,TRUE,"MMO NE, CEE, ASIA, CAR";#N/A,#N/A,TRUE,"MMO LAT, MEA, AFR";#N/A,#N/A,TRUE,"NP growth";#N/A,#N/A,TRUE,"ER impact"}</definedName>
    <definedName name="cc" hidden="1">{#N/A,#N/A,FALSE,"STBOARD"}</definedName>
    <definedName name="cc_1" hidden="1">{#N/A,#N/A,FALSE,"STBOARD"}</definedName>
    <definedName name="cc_2" hidden="1">{#N/A,#N/A,FALSE,"STBOARD"}</definedName>
    <definedName name="cc_3" hidden="1">{#N/A,#N/A,FALSE,"STBOARD"}</definedName>
    <definedName name="cc_4" hidden="1">{#N/A,#N/A,FALSE,"STBOARD"}</definedName>
    <definedName name="ccccccc" hidden="1">{#N/A,#N/A,TRUE,"Start";#N/A,#N/A,TRUE,"DadosGerais";#N/A,#N/A,TRUE,"Custo Conversão"}</definedName>
    <definedName name="cccccccc"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ccccccccc" hidden="1">{#N/A,#N/A,FALSE,"Staat";#N/A,#N/A,FALSE,"Telefaks"}</definedName>
    <definedName name="cccccccccc" hidden="1">{#N/A,#N/A,TRUE,"Start";#N/A,#N/A,TRUE,"DadosGerais";#N/A,#N/A,TRUE,"Custo Conversão"}</definedName>
    <definedName name="CCCCCCCCCCCCCCCCCCCCCC"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ÇÇÇÇÇÇÇÇÇÇÇÇÇÇÇÇÇÇÇÇÇÇÇÇÇÇ"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CCOutput" hidden="1">#REF!</definedName>
    <definedName name="CEE_CBII" hidden="1">{#N/A,#N/A,TRUE,"Old - New P&amp;L";#N/A,#N/A,TRUE,"EBIT MMO - Total";#N/A,#N/A,TRUE,"MMO NE, CEE, ASIA, CAR";#N/A,#N/A,TRUE,"MMO LAT, MEA, AFR";#N/A,#N/A,TRUE,"NP growth";#N/A,#N/A,TRUE,"ER impact"}</definedName>
    <definedName name="cf" hidden="1">{#N/A,#N/A,FALSE,"STBOARD"}</definedName>
    <definedName name="CHF">#REF!</definedName>
    <definedName name="chg" hidden="1">#REF!</definedName>
    <definedName name="Cntr" hidden="1">{"'Export97-00'!$A$1:$M$55"}</definedName>
    <definedName name="CNY">#REF!</definedName>
    <definedName name="columbia"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columbia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columbia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columbia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Competitor_Market_Share_Labels" hidden="1">#REF!</definedName>
    <definedName name="Competitor_Market_Share_X_Data" hidden="1">#REF!</definedName>
    <definedName name="Competitor_Market_Share_Y_Data" hidden="1">#REF!</definedName>
    <definedName name="con" hidden="1">{"'Export97-00'!$A$1:$M$55"}</definedName>
    <definedName name="CONFERHEUR" hidden="1">{#N/A,#N/A,FALSE,"Staat";#N/A,#N/A,FALSE,"Telefaks"}</definedName>
    <definedName name="consolidated" hidden="1">{#N/A,#N/A,FALSE,"STBOARD"}</definedName>
    <definedName name="consolidated_1" hidden="1">{#N/A,#N/A,FALSE,"STBOARD"}</definedName>
    <definedName name="consolidated_2" hidden="1">{#N/A,#N/A,FALSE,"STBOARD"}</definedName>
    <definedName name="consolidated_3" hidden="1">{#N/A,#N/A,FALSE,"STBOARD"}</definedName>
    <definedName name="Consumption_by_Age_Labels" hidden="1">#REF!</definedName>
    <definedName name="Consumption_by_Age_X_Data" hidden="1">#REF!</definedName>
    <definedName name="Consumption_by_Age_Y_Data" hidden="1">#REF!</definedName>
    <definedName name="Consumption_by_Flavour__Labels" hidden="1">#REF!</definedName>
    <definedName name="Consumption_by_Flavour__X_Data" hidden="1">#REF!</definedName>
    <definedName name="Consumption_by_Flavour__Y_Data" hidden="1">#REF!</definedName>
    <definedName name="Consumption_by_Price_Segment_Labels" hidden="1">#REF!</definedName>
    <definedName name="Consumption_by_Price_Segment_X_Data" hidden="1">#REF!</definedName>
    <definedName name="Consumption_by_Price_Segment_Y_Data" hidden="1">#REF!</definedName>
    <definedName name="Consumption_by_Social_Class_Labels" hidden="1">#REF!</definedName>
    <definedName name="Consumption_by_Social_Class_X_Data" hidden="1">#REF!</definedName>
    <definedName name="Consumption_by_Social_Class_Y_Data" hidden="1">#REF!</definedName>
    <definedName name="Contr" hidden="1">{"'Export97-00'!$A$1:$M$55"}</definedName>
    <definedName name="Country_Sit_US__X_Data" hidden="1">#REF!</definedName>
    <definedName name="Crystal_1_1_WEBI_DataGrid" hidden="1">#REF!</definedName>
    <definedName name="Crystal_1_1_WEBI_HHeading" hidden="1">#REF!</definedName>
    <definedName name="Crystal_1_1_WEBI_Table" hidden="1">#REF!</definedName>
    <definedName name="Crystal_2_1_WEBI_DataGrid" hidden="1">#REF!</definedName>
    <definedName name="Crystal_2_1_WEBI_HHeading" hidden="1">#REF!</definedName>
    <definedName name="Crystal_2_1_WEBI_Table" hidden="1">#REF!</definedName>
    <definedName name="Crystal_4_1_WEBI_DataGrid" hidden="1">#REF!</definedName>
    <definedName name="Crystal_4_1_WEBI_HHeading" hidden="1">#REF!</definedName>
    <definedName name="Crystal_4_1_WEBI_Table" hidden="1">#REF!</definedName>
    <definedName name="CVCV" hidden="1">{#N/A,#N/A,FALSE,"Sheet1"}</definedName>
    <definedName name="cyh" hidden="1">#REF!</definedName>
    <definedName name="d">#REF!</definedName>
    <definedName name="D07CUR">#REF!</definedName>
    <definedName name="D07SUM">#REF!</definedName>
    <definedName name="D09SUM">#REF!</definedName>
    <definedName name="DALIFF" hidden="1">{#N/A,#N/A,FALSE,"Staat";#N/A,#N/A,FALSE,"Telefaks"}</definedName>
    <definedName name="DALIIFF" hidden="1">{#N/A,#N/A,FALSE,"Staat";#N/A,#N/A,FALSE,"Telefaks"}</definedName>
    <definedName name="dasfgds" hidden="1">{#N/A,#N/A,FALSE,"Staat";#N/A,#N/A,FALSE,"Telefaks"}</definedName>
    <definedName name="data1" hidden="1">#REF!</definedName>
    <definedName name="data2" hidden="1">#REF!</definedName>
    <definedName name="data3" hidden="1">#REF!</definedName>
    <definedName name="ddd" hidden="1">{"'Export97-00'!$A$1:$M$55"}</definedName>
    <definedName name="ddddd"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DDDDDDDDDDDDDDDDDDDDD"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deo" hidden="1">{#N/A,#N/A,TRUE,"Old - New P&amp;L";#N/A,#N/A,TRUE,"EBIT MMO - Total";#N/A,#N/A,TRUE,"MMO NE, CEE, ASIA, CAR";#N/A,#N/A,TRUE,"MMO LAT, MEA, AFR";#N/A,#N/A,TRUE,"NP growth";#N/A,#N/A,TRUE,"ER impact"}</definedName>
    <definedName name="df" hidden="1">{"'Sheet1'!$L$16"}</definedName>
    <definedName name="df_1" hidden="1">{#N/A,#N/A,FALSE,"STBOARD"}</definedName>
    <definedName name="df_2" hidden="1">{#N/A,#N/A,FALSE,"STBOARD"}</definedName>
    <definedName name="df_3" hidden="1">{#N/A,#N/A,FALSE,"STBOARD"}</definedName>
    <definedName name="dfd" hidden="1">{#N/A,#N/A,FALSE,"STBOARD"}</definedName>
    <definedName name="dfereaa" hidden="1">{#N/A,#N/A,FALSE,"Staat";#N/A,#N/A,FALSE,"Telefaks"}</definedName>
    <definedName name="dhg" hidden="1">{#N/A,#N/A,FALSE,"DOM";#N/A,#N/A,FALSE,"VIET";#N/A,#N/A,FALSE,"THAI";#N/A,#N/A,FALSE,"MYAN";#N/A,#N/A,FALSE,"REXP";#N/A,#N/A,FALSE,"SPDF";#N/A,#N/A,FALSE,"VIETDF";#N/A,#N/A,FALSE,"THAIDF";#N/A,#N/A,FALSE,"MYANDF";#N/A,#N/A,FALSE,"CAMBDF";#N/A,#N/A,FALSE,"INDODF"}</definedName>
    <definedName name="Discount" hidden="1">#REF!</definedName>
    <definedName name="display_area_2" hidden="1">#REF!</definedName>
    <definedName name="dody" hidden="1">{#N/A,#N/A,TRUE,"Old - New P&amp;L";#N/A,#N/A,TRUE,"EBIT MMO - Total";#N/A,#N/A,TRUE,"MMO NE, CEE, ASIA, CAR";#N/A,#N/A,TRUE,"MMO LAT, MEA, AFR";#N/A,#N/A,TRUE,"NP growth";#N/A,#N/A,TRUE,"ER impact"}</definedName>
    <definedName name="DOSASIA">#REF!</definedName>
    <definedName name="DOSEUR">#REF!</definedName>
    <definedName name="dree"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ee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ee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ee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ee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sgfrdgg" hidden="1">{#N/A,#N/A,FALSE,"STBOARD"}</definedName>
    <definedName name="dsgfrdgg_1" hidden="1">{#N/A,#N/A,FALSE,"STBOARD"}</definedName>
    <definedName name="dsgfrdgg_2" hidden="1">{#N/A,#N/A,FALSE,"STBOARD"}</definedName>
    <definedName name="dsgfrdgg_3" hidden="1">{#N/A,#N/A,FALSE,"STBOARD"}</definedName>
    <definedName name="DVOL">#REF!</definedName>
    <definedName name="e" hidden="1">#REF!</definedName>
    <definedName name="ean" hidden="1">{"'Feb 99'!$A$1:$G$30"}</definedName>
    <definedName name="eee"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eee" hidden="1">{#N/A,#N/A,FALSE,"OVERVIEW 98";#N/A,#N/A,FALSE,"PMD 98  to 2000";#N/A,#N/A,FALSE,"SMD 98 to 2000";#N/A,#N/A,FALSE,"Facilities98";#N/A,#N/A,FALSE,"Quality"}</definedName>
    <definedName name="eeeee"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eeeeee" hidden="1">{#N/A,#N/A,FALSE,"OVERVIEW 98";#N/A,#N/A,FALSE,"PMD 98  to 2000";#N/A,#N/A,FALSE,"SMD 98 to 2000";#N/A,#N/A,FALSE,"Facilities98";#N/A,#N/A,FALSE,"Quality"}</definedName>
    <definedName name="eeeeeeeeeeee" hidden="1">{#N/A,#N/A,FALSE,"FMEOB96"}</definedName>
    <definedName name="EEEEEEEEEEEEEEEE"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eert" hidden="1">#REF!</definedName>
    <definedName name="eerrt" hidden="1">#REF!</definedName>
    <definedName name="EPMWorkbookOptions_1" hidden="1">"nckAAB+LCAAAAAAABADtXW1vokoU/r7J/gfj9xXwvY3txiJaEnkJYl9usyGo05ZUwQt03f77i++g4BWd1QHPprtr4cww8/CcweE8Z6b2889omPmNbMewzJssk6OzGWT2rYFhvt1kP93XH0w5+/P2+7fao2V/9CzrQxq7nqmT8cqZzvUfx7jJvrvu+JqiJpNJblLIWfYbladphnoS2p3+OxrpPwzTcXWzj7KrUoP/L5X1rprJ1FjLNFF/ek3V"</definedName>
    <definedName name="EPMWorkbookOptions_10" hidden="1">"Cw8QIFqLamYyNosmXKQMm0Xvi4mHiCA8AyabPIENtLcw4TkBMNnC5J+kY0LOc6zZlh5P/SAjPOVhBclmFLN9dZV04uHGpAmQbELCXa4wMwoStsmUAJNNTFJAFHKeY7Cc5AUnEeGHh9dESeSSjgs57ikpfEubvo46oW8SLilfQRJknqSlIp8IOyrgjzj98dgNrON7I+H7maZ/B2usyMjgj1j98dRbvxEusw/NtC2kI9MWKyaQkQ0Z2UlIB409"</definedName>
    <definedName name="EPMWorkbookOptions_11" hidden="1">"QBGukE5nPigeNIQHQdXSAknqUmT9B1Vrs/M1Bb3ayHmXTGmMzGWKY/DgzI4dIt2eViqZHf33KiNz8/DM9tGyP3qW9eE5rDuDcWm9fSJoPxks7lqNdx5029B7QyQg+21dw9bx79/W1UrjORr/AZWMYM6dyQAA"</definedName>
    <definedName name="EPMWorkbookOptions_2" hidden="1">"Yj9tG5nug4Ems5OB0w3d1RdHveOiPkLzq62u5KLR+NM2ZpfqOsiWbfSKvPr6KOc1KHurNWVBu5NZ8ZGhtZdFob7RY4p0OfeWd5lcT3ffkJnrW6PrKk2XKUcfU71xn/qlvdzVVU1oCar3sSV4/7zqQwf9qlHTdqxbVR+Ph0Zf9yG4d+uWdQRr8R1edPq2JWxcdY7TGroMFXnq3hgMkNkwRsh0Zm2MNl23zwnYeFadd2uyqoO1hpZ969qfqEaF"</definedName>
    <definedName name="EPMWorkbookOptions_20_1" hidden="1">"49Xq7KYZi3BsZ8Hn5rmBK1aLglx|uxp1mb8sf/hm6o7|Mev8vM6b|ZfLr9c5cuj86xs8sd3ww|53UmZZzWAfrl8nV3mpmX3Y2773ap|O6mqtySwLZPRtO5/Eba/mumsPT5rfjKri2xS5l/k9YWD0Pv8N04c2C9XQo3/B047TvMNyAAA"</definedName>
    <definedName name="EPMWorkbookOptions_21" hidden="1">"9/7fLYCOJCp9z7988iO1Hza7VasNLHf29Guz26cPdncODh7cnt3u/b|f3c6eqmr7yc9/xGd|s1u1GuCzD8tW7|x8|um9e|/hVuz/v5vNoknI/f9/JCG/UZr8KDH7DcvhN5CYfd/4|v7/u2UxzET|Pm9|5M||V6MfQv7R//BN1R3841f5eZ038y|XX67y5RFnBR/fDT/kdidlntUA|uXydXZpcl7dT7npd6v67aSq3hJftkxFA7b/Rdj|asaT5hp"</definedName>
    <definedName name="EPMWorkbookOptions_22" hidden="1">"|uZLh/T8BAAD//1FWeXCx2QAA"</definedName>
    <definedName name="EPMWorkbookOptions_3" hidden="1">"nNhVdNaLGZAbRbe6tyjpkcFFf9ym/tuyDddrmK/w1rmN8vfG2/vQ++t20NAjFBrcG8jW7f67sa5np80e7WkatuP6sAg/v1HRqtfRiO9r5bfrmsa/n2iGZJ1lpa4452+NCrPYVdH8PnrjRKVSyTNlXwVhd3hWVrIHyL6la9T8Q2jtzniof8m2NUa2+7XBw4VRW3dWd0JAo543ioWYBWkbauCZzMv7uvziR+VX7kWuK5yo3jPeR0G963iuvVUk"</definedName>
    <definedName name="EPMWorkbookOptions_4" hidden="1">"ouolSb7Wphlv3Lw2jeFNdkqGbGj3om7XfmVr1O5O16h90PPdzL/HPrF9HPMK+Uq5uj/tGMJpt4AjSDlR0upivf3c4RPPPLzAqJJab6cGG4K8stvgVb5xnGcWmWLxqkzv75t5wn3TB8oWDTVWElWFvwMOhjbzAA6ydZVrScrzUd9JyldlZn8CFsgm4BIRj3HeT5NVk042PEDUWbVbbycdC4Icr6t4Ixt7uOPFHviLhPvdApA53biuAlwLbeYB"</definedName>
    <definedName name="EPMWorkbookOptions_5" hidden="1">"XONwTDzjDfIlssnGhU86n1maTvwYhxeTFk23np6Sjgk5vsiLKqew0kmn42WyndEPSZB8vCZKIpd08uHHZT4jX5xPOjzk+KasSI0ue8r3sxWyPXMBSOjroHZbk5UGkC+0mQeQT+UF7oRf0KpkM2+KRpB2eZrJ52bcSzrnsGJCpwMTcvxQ4OqdrsJ1jvDFEs0UqjF88YpsX1wiMp+Zy5zCSw2eBcbFMQq0JtyoRoWJDgJHl+ZebWGajBMoNQZM"</definedName>
    <definedName name="EPMWorkbookOptions_6" hidden="1">"ka6EKTUqoNQApUYalBpniIgQrtKAiAhERNI3ASJcowIToD0xKQAmMClMYQSNcJ0ORND2x0Si84AJRBVJFvimTsYFGt9YwIDGl+Bwf3znJFzrdSGRbfzwgCAiHJdpNBpIE0madHwtJ2dUP0/mBuGaSsjc8FmdgIM4Mkpjc5BwKeGOhFK5JdDTP0ln4F+ABnJto5p5BhFhbJcEDSFwbxm7PnlSEeEywmBSUTvxoiU8OEByVVQzz6MXjKsaB71g"</definedName>
    <definedName name="EPMWorkbookOptions_7" hidden="1">"shkHesFovaDcOateUO7g0wtu3nWf6crowXCMnjE03K8do9LBo01t3qSFyG7xyyYXYzQrYLyzuyCOBHFkoBIQR27XRuRzDg8QII7E63ggjgRx5AGYgBAQsx8+3h030UuVBtADA2RdIOsKGp1D1gXqJYLj3KlTL0Gg22d1gjlnR9W4ttZSZFi/ajXZWmESJODTk8ZyLQbIF9rMc0TU4lOPcIkFhNQgpJZO0TThQooLEU2TQ8OjI7tpU1NAYBcC"</definedName>
    <definedName name="EPMWorkbookOptions_8" hidden="1">"u8vArssU6WpYYLcKgd1DArvxXvXgDuzi6kTs9wWEdiRenJPUTsScOJPajVhTMEI7Ef8rLaEd2T8QSWgH9o7gENr+9CuAwnQ8IAEiRQKEISYVd31MiEmlaZJ0LP+wxKRouujNVSAkBRw8iwyyUCiVisViSlWQcltMOtfwAAEqSMx+d3wouFxh6Gq1ApHgrbqBe7u6gyESTNPlcqGQnmR7iARDJDgZkeC4E06IBAMNMWZfxKUfZF8k7hkA2Rfk"</definedName>
    <definedName name="EPMWorkbookOptions_9" hidden="1">"Z1/EdcOkZV/MV3nT7pS6mPg1VbCBAikpeF3wDNtjgSoq2Yy7GFWUPh4zRboUpooqRaiiFv+dTxc1n1nhUkbBFlkXEQLGsfRk6laC2LX2pCLD2pMR0DxIDECT1mU5/wIqrNgAX4qChk0FNOTMds6QgE/4y79LEDvhxSZFe84Q5JjnWZmA8FeCFyEDww8OL8rdxK/bRo5vnmGRQMIVwrBIYIrlcXiwECQ56UAQNAKdftUOwgXioNUKw0F4TrxW"</definedName>
    <definedName name="er" hidden="1">#REF!</definedName>
    <definedName name="ERITREA" hidden="1">{#N/A,#N/A,FALSE,"Staat";#N/A,#N/A,FALSE,"Telefaks"}</definedName>
    <definedName name="ert" hidden="1">#REF!</definedName>
    <definedName name="erttet" hidden="1">#REF!</definedName>
    <definedName name="erttre" hidden="1">#REF!</definedName>
    <definedName name="erw" hidden="1">#REF!</definedName>
    <definedName name="ES" hidden="1">{#N/A,#N/A,TRUE,"Start";#N/A,#N/A,TRUE,"DadosGerais";#N/A,#N/A,TRUE,"Custo Conversão"}</definedName>
    <definedName name="EST"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2" hidden="1">{#N/A,#N/A,TRUE,"Start";#N/A,#N/A,TRUE,"DadosGerais";#N/A,#N/A,TRUE,"Custo Conversão"}</definedName>
    <definedName name="ESTEMP3" hidden="1">{#N/A,#N/A,TRUE,"Start";#N/A,#N/A,TRUE,"DadosGerais";#N/A,#N/A,TRUE,"Custo Conversão"}</definedName>
    <definedName name="ESTEMPACT05"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06" hidden="1">{#N/A,#N/A,TRUE,"Start";#N/A,#N/A,TRUE,"DadosGerais";#N/A,#N/A,TRUE,"Custo Conversão"}</definedName>
    <definedName name="ESTEMPACT07"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08" hidden="1">{#N/A,#N/A,TRUE,"Start";#N/A,#N/A,TRUE,"DadosGerais";#N/A,#N/A,TRUE,"Custo Conversão"}</definedName>
    <definedName name="ESTEMPACT100" hidden="1">{#N/A,#N/A,TRUE,"Start";#N/A,#N/A,TRUE,"DadosGerais";#N/A,#N/A,TRUE,"Custo Conversão"}</definedName>
    <definedName name="ESTEMPACT10000"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102"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3"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4" hidden="1">{#N/A,#N/A,TRUE,"Start";#N/A,#N/A,TRUE,"DadosGerais";#N/A,#N/A,TRUE,"Custo Conversão"}</definedName>
    <definedName name="ESTEMPACT44" hidden="1">{#N/A,#N/A,TRUE,"Start";#N/A,#N/A,TRUE,"DadosGerais";#N/A,#N/A,TRUE,"Custo Conversão"}</definedName>
    <definedName name="ESTEMPACT5" hidden="1">{#N/A,#N/A,TRUE,"Start";#N/A,#N/A,TRUE,"DadosGerais";#N/A,#N/A,TRUE,"Custo Conversão"}</definedName>
    <definedName name="ESTEMPACT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O6" hidden="1">{#N/A,#N/A,TRUE,"Start";#N/A,#N/A,TRUE,"DadosGerais";#N/A,#N/A,TRUE,"Custo Conversão"}</definedName>
    <definedName name="ESTEMPACTO7"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ACTO8" hidden="1">{#N/A,#N/A,TRUE,"Start";#N/A,#N/A,TRUE,"DadosGerais";#N/A,#N/A,TRUE,"Custo Conversão"}</definedName>
    <definedName name="ESTEMPCT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EMPCTO5"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RAG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RAGO1" hidden="1">{#N/A,#N/A,TRUE,"Start";#N/A,#N/A,TRUE,"DadosGerais";#N/A,#N/A,TRUE,"Custo Conversão"}</definedName>
    <definedName name="ESTRAGO100"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RAGO2" hidden="1">{#N/A,#N/A,TRUE,"Start";#N/A,#N/A,TRUE,"DadosGerais";#N/A,#N/A,TRUE,"Custo Conversão"}</definedName>
    <definedName name="estragofum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ragofumo1" hidden="1">{#N/A,#N/A,TRUE,"Start";#N/A,#N/A,TRUE,"DadosGerais";#N/A,#N/A,TRUE,"Custo Conversão"}</definedName>
    <definedName name="estragofumo100"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sttttt"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ev.Calculation" hidden="1">-4135</definedName>
    <definedName name="ev.Initialized" hidden="1">FALSE</definedName>
    <definedName name="EV__LASTREFTIME__" hidden="1">39105.4848842593</definedName>
    <definedName name="ewqwefr" hidden="1">{#N/A,#N/A,TRUE,"ReportFrontPage";#N/A,#N/A,TRUE,"CostSummary"}</definedName>
    <definedName name="ewweeewwww" hidden="1">#REF!</definedName>
    <definedName name="ewwewwweew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wwewwweeww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wwewwweeww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wwewwweeww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wwewwweeww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wwtr" hidden="1">#REF!</definedName>
    <definedName name="EXP" hidden="1">{"PL_PRINT",#N/A,TRUE,"Profit &amp; Loss";"BS_PRINT",#N/A,TRUE,"Balance Sheet";"CF_PRINT",#N/A,TRUE,"Cash Flow";"VALIDATION_PRINT",#N/A,TRUE,"Validation Checks"}</definedName>
    <definedName name="EY" hidden="1">{"'Feb 99'!$A$1:$G$30"}</definedName>
    <definedName name="f">#REF!</definedName>
    <definedName name="FCode" hidden="1">#REF!</definedName>
    <definedName name="fedatghihkjkjfwe" hidden="1">{"VarianceB",#N/A,FALSE,"Variance"}</definedName>
    <definedName name="FF" hidden="1">{#N/A,#N/A,TRUE,"1er Page Budget";"BUDGET ET ACTUALISATION, REMUNERATION",#N/A,TRUE,"REMUNERATION";"BUDGET 2000 - MENSUALISATION, REMUNERATION",#N/A,TRUE,"REMUNERATION";"BUDGET ET ACTUALISATION, VOLUMES",#N/A,TRUE,"VOLSEI ANNU";"BUDGET 2000 - MENSUALISATION, VOLUMES",#N/A,TRUE,"VOLUME MENSU"}</definedName>
    <definedName name="fff" hidden="1">{"'Export97-00'!$A$1:$M$55"}</definedName>
    <definedName name="FFFF"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fffff" hidden="1">{"VarianceA",#N/A,FALSE,"Variance"}</definedName>
    <definedName name="FFFFFFFFFFFFFFFFFFFFFF" hidden="1">{#N/A,#N/A,TRUE,"Start";#N/A,#N/A,TRUE,"DadosGerais";#N/A,#N/A,TRUE,"Custo Conversão"}</definedName>
    <definedName name="fgc" hidden="1">{#N/A,#N/A,FALSE,"DOM";#N/A,#N/A,FALSE,"VIET";#N/A,#N/A,FALSE,"THAI";#N/A,#N/A,FALSE,"MYAN";#N/A,#N/A,FALSE,"REXP";#N/A,#N/A,FALSE,"SPDF";#N/A,#N/A,FALSE,"VIETDF";#N/A,#N/A,FALSE,"THAIDF";#N/A,#N/A,FALSE,"MYANDF";#N/A,#N/A,FALSE,"CAMBDF";#N/A,#N/A,FALSE,"INDODF"}</definedName>
    <definedName name="fgg" hidden="1">{"essai1",#N/A,TRUE,"CA MENSUEL";"essai2",#N/A,TRUE,"REMUNERATION"}</definedName>
    <definedName name="fgggh" hidden="1">#REF!</definedName>
    <definedName name="fgh" hidden="1">{#VALUE!,#N/A,FALSE,0}</definedName>
    <definedName name="fghjg" hidden="1">{"'Export97-00'!$A$1:$M$55"}</definedName>
    <definedName name="FGTGTUGFJ" hidden="1">{"FME HEADCOUNT",#N/A,FALSE,"PRODHEAD"}</definedName>
    <definedName name="fgxf" hidden="1">{"'Export97-00'!$A$1:$M$55"}</definedName>
    <definedName name="fill1" hidden="1">#REF!</definedName>
    <definedName name="Financial_Performance_2_Labels" hidden="1">#REF!</definedName>
    <definedName name="Financial_Performance_2_X_Data" hidden="1">#REF!</definedName>
    <definedName name="Financial_Performance_2_Y_Data" hidden="1">#REF!</definedName>
    <definedName name="Financial_Performance_2_Z_Data" hidden="1">#REF!</definedName>
    <definedName name="Financial_Performance_Labels" hidden="1">#REF!</definedName>
    <definedName name="Financial_Performance_X_Data" hidden="1">#REF!</definedName>
    <definedName name="Financial_Performance_Y_Data" hidden="1">#REF!</definedName>
    <definedName name="Financial_Performance_Z_Data" hidden="1">#REF!</definedName>
    <definedName name="Flavour_by_Age_Labels" hidden="1">#REF!</definedName>
    <definedName name="Flavour_by_Age_X_Data" hidden="1">#REF!</definedName>
    <definedName name="Flavour_by_Age_Y_Data" hidden="1">#REF!</definedName>
    <definedName name="Flavour_by_IB_Labels" hidden="1">#REF!</definedName>
    <definedName name="Flavour_by_IB_X_Data" hidden="1">#REF!</definedName>
    <definedName name="Flavour_by_IB_Y_Data" hidden="1">#REF!</definedName>
    <definedName name="Flavour_by_Social_Class_Labels" hidden="1">#REF!</definedName>
    <definedName name="Flavour_by_Social_Class_X_Data" hidden="1">#REF!</definedName>
    <definedName name="Flavour_by_Social_Class_Y_Data" hidden="1">#REF!</definedName>
    <definedName name="Flavour_Segment_by_Age_Labels" hidden="1">#REF!</definedName>
    <definedName name="Flavour_Segment_by_Age_X_Data" hidden="1">#REF!</definedName>
    <definedName name="Flavour_Segment_by_Age_Y_Data" hidden="1">#REF!</definedName>
    <definedName name="Flute">#REF!</definedName>
    <definedName name="Fluting_grade">#REF!</definedName>
    <definedName name="Fluting_grammage">#REF!</definedName>
    <definedName name="FOODCAN" hidden="1">{#N/A,#N/A,FALSE,"Staat";#N/A,#N/A,FALSE,"Telefaks"}</definedName>
    <definedName name="full" hidden="1">{#N/A,#N/A,TRUE,"Old - New P&amp;L";#N/A,#N/A,TRUE,"EBIT MMO - Total";#N/A,#N/A,TRUE,"MMO NE, CEE, ASIA, CAR";#N/A,#N/A,TRUE,"MMO LAT, MEA, AFR";#N/A,#N/A,TRUE,"NP growth";#N/A,#N/A,TRUE,"ER impact"}</definedName>
    <definedName name="fvjhjb" hidden="1">#REF!</definedName>
    <definedName name="fvvvvb" hidden="1">#REF!</definedName>
    <definedName name="galsas" hidden="1">{"'Feb 99'!$A$1:$G$30"}</definedName>
    <definedName name="geographical_summary" hidden="1">{#N/A,#N/A,TRUE,"Old - New P&amp;L";#N/A,#N/A,TRUE,"EBIT MMO - Total";#N/A,#N/A,TRUE,"MMO NE, CEE, ASIA, CAR";#N/A,#N/A,TRUE,"MMO LAT, MEA, AFR";#N/A,#N/A,TRUE,"NP growth";#N/A,#N/A,TRUE,"ER impact"}</definedName>
    <definedName name="gfagd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agdf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agdf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agdf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agdf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g"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gg" hidden="1">{"'Export97-00'!$A$1:$M$55"}</definedName>
    <definedName name="gggdj" hidden="1">{#N/A,#N/A,TRUE,"1er Page Budget";"BUDGET ET ACTUALISATION, REMUNERATION",#N/A,TRUE,"REMUNERATION";"BUDGET 2000 - MENSUALISATION, REMUNERATION",#N/A,TRUE,"REMUNERATION";"BUDGET ET ACTUALISATION, VOLUMES",#N/A,TRUE,"VOLSEI ANNU";"BUDGET 2000 - MENSUALISATION, VOLUMES",#N/A,TRUE,"VOLUME MENSU"}</definedName>
    <definedName name="gggg"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GGGGGG" hidden="1">{#N/A,#N/A,TRUE,"Start";#N/A,#N/A,TRUE,"DadosGerais";#N/A,#N/A,TRUE,"Custo Conversão"}</definedName>
    <definedName name="gggggggggggggg" hidden="1">{"US DOLLARS",#N/A,FALSE,"FMEOB96"}</definedName>
    <definedName name="GGGGGGGGGGGGGGG"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GGGGGGGGGGGGGGGGG" hidden="1">{#N/A,#N/A,TRUE,"Start";#N/A,#N/A,TRUE,"DadosGerais";#N/A,#N/A,TRUE,"Custo Conversão"}</definedName>
    <definedName name="ghhjjk" hidden="1">#REF!</definedName>
    <definedName name="ghsgx" hidden="1">{#N/A,#N/A,TRUE,"ReportFrontPage";"view_cost_hq",#N/A,TRUE,"Cost Summary"}</definedName>
    <definedName name="gjxfgj" hidden="1">{#N/A,#N/A,FALSE,"FMEOB96"}</definedName>
    <definedName name="Gluing_type">#REF!</definedName>
    <definedName name="graf" hidden="1">#REF!</definedName>
    <definedName name="graf10" hidden="1">#REF!</definedName>
    <definedName name="graf4" hidden="1">#REF!</definedName>
    <definedName name="graf5" hidden="1">#REF!</definedName>
    <definedName name="graf6" hidden="1">#REF!</definedName>
    <definedName name="graf7" hidden="1">#REF!</definedName>
    <definedName name="graf8" hidden="1">#REF!</definedName>
    <definedName name="graf9" hidden="1">#REF!</definedName>
    <definedName name="Green" hidden="1">{"FME HEADCOUNT",#N/A,FALSE,"PRODHEAD"}</definedName>
    <definedName name="H" hidden="1">#REF!</definedName>
    <definedName name="HBS08CUR">#REF!</definedName>
    <definedName name="HBS08SUM">#REF!</definedName>
    <definedName name="Heineken_volume_May2006" hidden="1">{#N/A,#N/A,TRUE,"Old - New P&amp;L";#N/A,#N/A,TRUE,"EBIT MMO - Total";#N/A,#N/A,TRUE,"MMO NE, CEE, ASIA, CAR";#N/A,#N/A,TRUE,"MMO LAT, MEA, AFR";#N/A,#N/A,TRUE,"NP growth";#N/A,#N/A,TRUE,"ER impact"}</definedName>
    <definedName name="Heineken_Volume_sheet" hidden="1">{#N/A,#N/A,TRUE,"Old - New P&amp;L";#N/A,#N/A,TRUE,"EBIT MMO - Total";#N/A,#N/A,TRUE,"MMO NE, CEE, ASIA, CAR";#N/A,#N/A,TRUE,"MMO LAT, MEA, AFR";#N/A,#N/A,TRUE,"NP growth";#N/A,#N/A,TRUE,"ER impact"}</definedName>
    <definedName name="hga" hidden="1">#REF!</definedName>
    <definedName name="hh" hidden="1">{#N/A,#N/A,TRUE,"Start";#N/A,#N/A,TRUE,"DadosGerais";#N/A,#N/A,TRUE,"Custo Conversão"}</definedName>
    <definedName name="hhh"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hhh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hhh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hhh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hhh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hhh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hhhhhhh"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HHHHHHHHHHH" hidden="1">{#N/A,#N/A,TRUE,"Start";#N/A,#N/A,TRUE,"DadosGerais";#N/A,#N/A,TRUE,"Custo Conversão"}</definedName>
    <definedName name="HHHHHHHHHHHHHHHHHHHH"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hhijjk" hidden="1">#REF!</definedName>
    <definedName name="HiddenRows" hidden="1">#REF!</definedName>
    <definedName name="HIEU" hidden="1">{"'Sheet1'!$L$16"}</definedName>
    <definedName name="HIEU_1" hidden="1">{"'Sheet1'!$L$16"}</definedName>
    <definedName name="HIEU_2" hidden="1">{"'Sheet1'!$L$16"}</definedName>
    <definedName name="HIEU_3" hidden="1">{"'Sheet1'!$L$16"}</definedName>
    <definedName name="HIEU_4" hidden="1">{"'Sheet1'!$L$16"}</definedName>
    <definedName name="HJ" hidden="1">#REF!</definedName>
    <definedName name="hjft" hidden="1">{"'Export97-00'!$A$1:$M$55"}</definedName>
    <definedName name="HJGJK" hidden="1">{#N/A,#N/A,FALSE,"FMEOB96"}</definedName>
    <definedName name="HJYGHJ" hidden="1">{"labour",#N/A,FALSE,"PRODHEAD"}</definedName>
    <definedName name="HTML_CodePage" hidden="1">950</definedName>
    <definedName name="HTML_Control" hidden="1">{"'Sheet1'!$L$16"}</definedName>
    <definedName name="HTML_Control_1" hidden="1">{"'Sheet1'!$L$16"}</definedName>
    <definedName name="HTML_Control_2" hidden="1">{"'Sheet1'!$L$16"}</definedName>
    <definedName name="HTML_Control_3" hidden="1">{"'Sheet1'!$L$16"}</definedName>
    <definedName name="HTML_Control_4"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h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h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h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h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y" hidden="1">{"'Sheet1'!$L$16"}</definedName>
    <definedName name="huy_1" hidden="1">{"'Sheet1'!$L$16"}</definedName>
    <definedName name="huy_2" hidden="1">{"'Sheet1'!$L$16"}</definedName>
    <definedName name="huy_3" hidden="1">{"'Sheet1'!$L$16"}</definedName>
    <definedName name="huy_4" hidden="1">{"'Sheet1'!$L$16"}</definedName>
    <definedName name="hyde" hidden="1">{#N/A,#N/A,TRUE,"Old - New P&amp;L";#N/A,#N/A,TRUE,"EBIT MMO - Total";#N/A,#N/A,TRUE,"MMO NE, CEE, ASIA, CAR";#N/A,#N/A,TRUE,"MMO LAT, MEA, AFR";#N/A,#N/A,TRUE,"NP growth";#N/A,#N/A,TRUE,"ER impact"}</definedName>
    <definedName name="i" hidden="1">{#N/A,#N/A,TRUE,"Start";#N/A,#N/A,TRUE,"DadosGerais";#N/A,#N/A,TRUE,"Custo Conversão"}</definedName>
    <definedName name="ii"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iiii" hidden="1">{#N/A,#N/A,TRUE,"Start";#N/A,#N/A,TRUE,"DadosGerais";#N/A,#N/A,TRUE,"Custo Conversão"}</definedName>
    <definedName name="iiiiiiiiiiii" hidden="1">{"'TOB-Vol'!$L$2:$AD$40"}</definedName>
    <definedName name="iiiiiiiiiiiiii" hidden="1">{"labour",#N/A,FALSE,"PRODHEAD"}</definedName>
    <definedName name="IIIIIIIIIIIIIIIIIIII" hidden="1">{#N/A,#N/A,TRUE,"Start";#N/A,#N/A,TRUE,"DadosGerais";#N/A,#N/A,TRUE,"Custo Conversão"}</definedName>
    <definedName name="Ink_type">#REF!</definedName>
    <definedName name="INR">#REF!</definedName>
    <definedName name="iojiojoijoijk" hidden="1">{"'Export97-00'!$A$1:$M$55"}</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"08/30/2012 13:02:31"</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I_WorkspaceId" hidden="1">"60586c8380ec4c729e8b1baa6d4d0e2a"</definedName>
    <definedName name="IROR">#REF!</definedName>
    <definedName name="jack" hidden="1">{"'Feb 99'!$A$1:$G$30"}</definedName>
    <definedName name="JANUARY" hidden="1">{"'Export97-00'!$A$1:$M$55"}</definedName>
    <definedName name="Jas" hidden="1">{"'Feb 99'!$A$1:$G$30"}</definedName>
    <definedName name="jhwcjkhqwejckhqckje" hidden="1">#REF!</definedName>
    <definedName name="jiu" hidden="1">{#N/A,#N/A,TRUE,"1er Page Budget";"BUDGET ET ACTUALISATION, REMUNERATION",#N/A,TRUE,"REMUNERATION";"BUDGET 2000 - MENSUALISATION, REMUNERATION",#N/A,TRUE,"REMUNERATION";"BUDGET ET ACTUALISATION, VOLUMES",#N/A,TRUE,"VOLSEI ANNU";"BUDGET 2000 - MENSUALISATION, VOLUMES",#N/A,TRUE,"VOLUME MENSU"}</definedName>
    <definedName name="jj"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jjjj"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jjjjj"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jjjjjjjj" hidden="1">{#N/A,#N/A,TRUE,"Start";#N/A,#N/A,TRUE,"DadosGerais";#N/A,#N/A,TRUE,"Custo Conversão"}</definedName>
    <definedName name="JJJJJJJJJJJJJ"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JJJJJJJJJJJJJJJJJJJJJJJJJJJ" hidden="1">{#N/A,#N/A,TRUE,"Start";#N/A,#N/A,TRUE,"DadosGerais";#N/A,#N/A,TRUE,"Custo Conversão"}</definedName>
    <definedName name="jklhuh" hidden="1">{"'Export97-00'!$A$1:$M$55"}</definedName>
    <definedName name="JPY">#REF!</definedName>
    <definedName name="JUYJ" hidden="1">{"US DOLLARS",#N/A,FALSE,"FMEOB96"}</definedName>
    <definedName name="k"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k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k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k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k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K2a" hidden="1">{#N/A,#N/A,FALSE,"Sheet1"}</definedName>
    <definedName name="k53454556">#REF!</definedName>
    <definedName name="KATI" hidden="1">{#N/A,#N/A,TRUE,"Old - New P&amp;L";#N/A,#N/A,TRUE,"EBIT MMO - Total";#N/A,#N/A,TRUE,"MMO NE, CEE, ASIA, CAR";#N/A,#N/A,TRUE,"MMO LAT, MEA, AFR";#N/A,#N/A,TRUE,"NP growth";#N/A,#N/A,TRUE,"ER impact"}</definedName>
    <definedName name="KAZ">#REF!</definedName>
    <definedName name="KB" hidden="1">{#N/A,#N/A,FALSE,"Sheet1"}</definedName>
    <definedName name="khoi" hidden="1">{"'Sheet1'!$L$16"}</definedName>
    <definedName name="khoi_1" hidden="1">{"'Sheet1'!$L$16"}</definedName>
    <definedName name="khoi_2" hidden="1">{"'Sheet1'!$L$16"}</definedName>
    <definedName name="khoi_3" hidden="1">{"'Sheet1'!$L$16"}</definedName>
    <definedName name="khoi_4" hidden="1">{"'Sheet1'!$L$16"}</definedName>
    <definedName name="Khor" hidden="1">{"'Feb 99'!$A$1:$G$30"}</definedName>
    <definedName name="KKKKKKKKKKKKKKKKKKKKKKKK"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kola" hidden="1">{#N/A,#N/A,FALSE,"STBOARD"}</definedName>
    <definedName name="KRW">#REF!</definedName>
    <definedName name="Leaf" hidden="1">{#N/A,#N/A,FALSE,"Staat";#N/A,#N/A,FALSE,"Telefaks"}</definedName>
    <definedName name="limcount" hidden="1">1</definedName>
    <definedName name="lkj" hidden="1">#REF!</definedName>
    <definedName name="lkjh" hidden="1">{"US DOLLARS",#N/A,FALSE,"FMEOB96"}</definedName>
    <definedName name="LLLLL" hidden="1">{#N/A,#N/A,FALSE,"Chi tiÆt"}</definedName>
    <definedName name="LLLLL_1" hidden="1">{#N/A,#N/A,FALSE,"Chi tiÆt"}</definedName>
    <definedName name="LLLLL_2" hidden="1">{#N/A,#N/A,FALSE,"Chi tiÆt"}</definedName>
    <definedName name="LLLLL_3" hidden="1">{#N/A,#N/A,FALSE,"Chi tiÆt"}</definedName>
    <definedName name="LLLLL_4" hidden="1">{#N/A,#N/A,FALSE,"Chi tiÆt"}</definedName>
    <definedName name="LLLLLLLLLLLLLLLLLLLLLLLLLLL"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lmthcode">#REF!</definedName>
    <definedName name="luc" hidden="1">{#N/A,#N/A,TRUE,"Old - New P&amp;L";#N/A,#N/A,TRUE,"EBIT MMO - Total";#N/A,#N/A,TRUE,"MMO NE, CEE, ASIA, CAR";#N/A,#N/A,TRUE,"MMO LAT, MEA, AFR";#N/A,#N/A,TRUE,"NP growth";#N/A,#N/A,TRUE,"ER impact"}</definedName>
    <definedName name="ly_cur_bal">#REF!</definedName>
    <definedName name="ly_cur_pl">#REF!</definedName>
    <definedName name="ly_sum_pl">#REF!</definedName>
    <definedName name="M_days">#REF!</definedName>
    <definedName name="M_days_LY">#REF!</definedName>
    <definedName name="Malaisia" hidden="1">{#N/A,#N/A,FALSE,"Staat";#N/A,#N/A,FALSE,"Telefaks"}</definedName>
    <definedName name="ManufCost" hidden="1">{#N/A,#N/A,TRUE,"Содержание";#N/A,#N/A,TRUE,"Выработка";#N/A,#N/A,TRUE,"Расход"}</definedName>
    <definedName name="ManufCosts" hidden="1">{#N/A,#N/A,TRUE,"Содержание";#N/A,#N/A,TRUE,"Выработка";#N/A,#N/A,TRUE,"Расход"}</definedName>
    <definedName name="Market_Composition_Labels" hidden="1">#REF!</definedName>
    <definedName name="Market_Composition_X_Data" hidden="1">#REF!</definedName>
    <definedName name="Market_Composition_Y_Data" hidden="1">#REF!</definedName>
    <definedName name="miko" hidden="1">#REF!</definedName>
    <definedName name="min" hidden="1">{"'Feb 99'!$A$1:$G$30"}</definedName>
    <definedName name="mmmm"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mmmmm" hidden="1">{#N/A,#N/A,TRUE,"Start";#N/A,#N/A,TRUE,"DadosGerais";#N/A,#N/A,TRUE,"Custo Conversão"}</definedName>
    <definedName name="MMMMMMMMMMMMMMMMMMMMM"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mthcode">#REF!</definedName>
    <definedName name="mthcodes">#REF!</definedName>
    <definedName name="MXN">#REF!</definedName>
    <definedName name="nnnn" hidden="1">#REF!</definedName>
    <definedName name="nnnnn"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NNNNNNNNNNNNNNNNNNNNN" hidden="1">{#N/A,#N/A,TRUE,"Start";#N/A,#N/A,TRUE,"DadosGerais";#N/A,#N/A,TRUE,"Custo Conversão"}</definedName>
    <definedName name="NP" hidden="1">{#N/A,#N/A,TRUE,"Old - New P&amp;L";#N/A,#N/A,TRUE,"EBIT MMO - Total";#N/A,#N/A,TRUE,"MMO NE, CEE, ASIA, CAR";#N/A,#N/A,TRUE,"MMO LAT, MEA, AFR";#N/A,#N/A,TRUE,"NP growth";#N/A,#N/A,TRUE,"ER impact"}</definedName>
    <definedName name="NP_2" hidden="1">{#N/A,#N/A,TRUE,"Old - New P&amp;L";#N/A,#N/A,TRUE,"EBIT MMO - Total";#N/A,#N/A,TRUE,"MMO NE, CEE, ASIA, CAR";#N/A,#N/A,TRUE,"MMO LAT, MEA, AFR";#N/A,#N/A,TRUE,"NP growth";#N/A,#N/A,TRUE,"ER impact"}</definedName>
    <definedName name="NSA_CBII" hidden="1">{#N/A,#N/A,TRUE,"Old - New P&amp;L";#N/A,#N/A,TRUE,"EBIT MMO - Total";#N/A,#N/A,TRUE,"MMO NE, CEE, ASIA, CAR";#N/A,#N/A,TRUE,"MMO LAT, MEA, AFR";#N/A,#N/A,TRUE,"NP growth";#N/A,#N/A,TRUE,"ER impact"}</definedName>
    <definedName name="NSA_CBIII" hidden="1">{#N/A,#N/A,TRUE,"Old - New P&amp;L";#N/A,#N/A,TRUE,"EBIT MMO - Total";#N/A,#N/A,TRUE,"MMO NE, CEE, ASIA, CAR";#N/A,#N/A,TRUE,"MMO LAT, MEA, AFR";#N/A,#N/A,TRUE,"NP growth";#N/A,#N/A,TRUE,"ER impact"}</definedName>
    <definedName name="NSA_CBIV" hidden="1">{#N/A,#N/A,TRUE,"Old - New P&amp;L";#N/A,#N/A,TRUE,"EBIT MMO - Total";#N/A,#N/A,TRUE,"MMO NE, CEE, ASIA, CAR";#N/A,#N/A,TRUE,"MMO LAT, MEA, AFR";#N/A,#N/A,TRUE,"NP growth";#N/A,#N/A,TRUE,"ER impact"}</definedName>
    <definedName name="NV_Flash" hidden="1">{#N/A,#N/A,TRUE,"Old - New P&amp;L";#N/A,#N/A,TRUE,"EBIT MMO - Total";#N/A,#N/A,TRUE,"MMO NE, CEE, ASIA, CAR";#N/A,#N/A,TRUE,"MMO LAT, MEA, AFR";#N/A,#N/A,TRUE,"NP growth";#N/A,#N/A,TRUE,"ER impact"}</definedName>
    <definedName name="NV_Flash_2" hidden="1">{#N/A,#N/A,TRUE,"Old - New P&amp;L";#N/A,#N/A,TRUE,"EBIT MMO - Total";#N/A,#N/A,TRUE,"MMO NE, CEE, ASIA, CAR";#N/A,#N/A,TRUE,"MMO LAT, MEA, AFR";#N/A,#N/A,TRUE,"NP growth";#N/A,#N/A,TRUE,"ER impact"}</definedName>
    <definedName name="o" hidden="1">[0]!Integer</definedName>
    <definedName name="OEE" hidden="1">{"'Export97-00'!$A$1:$M$55"}</definedName>
    <definedName name="ok" hidden="1">{#N/A,#N/A,FALSE,"STAFF95";#N/A,#N/A,FALSE,"STAFF96";#N/A,#N/A,FALSE,"STAFF97"}</definedName>
    <definedName name="OO" hidden="1">{"'Export97-00'!$A$1:$M$55"}</definedName>
    <definedName name="ooo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OOOOOOOOOOOOOOOOOO"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OpCo_sheet" hidden="1">{#N/A,#N/A,TRUE,"Old - New P&amp;L";#N/A,#N/A,TRUE,"EBIT MMO - Total";#N/A,#N/A,TRUE,"MMO NE, CEE, ASIA, CAR";#N/A,#N/A,TRUE,"MMO LAT, MEA, AFR";#N/A,#N/A,TRUE,"NP growth";#N/A,#N/A,TRUE,"ER impact"}</definedName>
    <definedName name="opooo" hidden="1">#REF!</definedName>
    <definedName name="OpsHRS" hidden="1">{#N/A,#N/A,FALSE,"Staat";#N/A,#N/A,FALSE,"Telefaks"}</definedName>
    <definedName name="OrderTable" hidden="1">#REF!</definedName>
    <definedName name="ots" hidden="1">{#VALUE!,#N/A,FALSE,0}</definedName>
    <definedName name="oul" hidden="1">{#N/A,#N/A,FALSE,"DOM";#N/A,#N/A,FALSE,"VIET";#N/A,#N/A,FALSE,"THAI";#N/A,#N/A,FALSE,"MYAN";#N/A,#N/A,FALSE,"REXP";#N/A,#N/A,FALSE,"SPDF";#N/A,#N/A,FALSE,"VIETDF";#N/A,#N/A,FALSE,"THAIDF";#N/A,#N/A,FALSE,"MYANDF";#N/A,#N/A,FALSE,"CAMBDF";#N/A,#N/A,FALSE,"INDODF"}</definedName>
    <definedName name="Overall_Market_Share_Momentum_Labels" hidden="1">#REF!</definedName>
    <definedName name="Overall_Market_Share_Momentum_X_Data" hidden="1">#REF!</definedName>
    <definedName name="Overall_Market_Share_Momentum_Y_Data" hidden="1">#REF!</definedName>
    <definedName name="Overall_Market_Share_Momentum_Z_Data" hidden="1">#REF!</definedName>
    <definedName name="p"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p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p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p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Pal_Workbook_GUID" hidden="1">"34XXG8NMTWGUTUERZIG8APVC"</definedName>
    <definedName name="Pivot_WACA" hidden="1">{#N/A,#N/A,FALSE,"DOM";#N/A,#N/A,FALSE,"VIET";#N/A,#N/A,FALSE,"THAI";#N/A,#N/A,FALSE,"MYAN";#N/A,#N/A,FALSE,"REXP";#N/A,#N/A,FALSE,"SPDF";#N/A,#N/A,FALSE,"VIETDF";#N/A,#N/A,FALSE,"THAIDF";#N/A,#N/A,FALSE,"MYANDF";#N/A,#N/A,FALSE,"CAMBDF";#N/A,#N/A,FALSE,"INDODF"}</definedName>
    <definedName name="PORQU" hidden="1">{#N/A,#N/A,TRUE,"ReportFrontPage";#N/A,#N/A,TRUE,"CostSummary"}</definedName>
    <definedName name="PPP" hidden="1">{#N/A,#N/A,FALSE,"DOM";#N/A,#N/A,FALSE,"VIET";#N/A,#N/A,FALSE,"THAI";#N/A,#N/A,FALSE,"MYAN";#N/A,#N/A,FALSE,"REXP";#N/A,#N/A,FALSE,"SPDF";#N/A,#N/A,FALSE,"VIETDF";#N/A,#N/A,FALSE,"THAIDF";#N/A,#N/A,FALSE,"MYANDF";#N/A,#N/A,FALSE,"CAMBDF";#N/A,#N/A,FALSE,"INDODF"}</definedName>
    <definedName name="pppp" hidden="1">#REF!</definedName>
    <definedName name="PPPPPPPPPPPPPPPPPPP" hidden="1">{#N/A,#N/A,TRUE,"Start";#N/A,#N/A,TRUE,"DadosGerais";#N/A,#N/A,TRUE,"Custo Conversão"}</definedName>
    <definedName name="precentage_run">#REF!</definedName>
    <definedName name="Premium_Market_Share_Labels" hidden="1">#REF!</definedName>
    <definedName name="Premium_Market_Share_X_Data" hidden="1">#REF!</definedName>
    <definedName name="Premium_Market_Share_Y_Data" hidden="1">#REF!</definedName>
    <definedName name="Premium_Share_Momentum_Labels" hidden="1">#REF!</definedName>
    <definedName name="Premium_Share_Momentum_X_Data" hidden="1">#REF!</definedName>
    <definedName name="Premium_Share_Momentum_Y_Data" hidden="1">#REF!</definedName>
    <definedName name="Premium_Share_Momentum_Z_Data" hidden="1">#REF!</definedName>
    <definedName name="Price_Segment_by_Age_Labels" hidden="1">#REF!</definedName>
    <definedName name="Price_Segment_by_Age_X_Data" hidden="1">#REF!</definedName>
    <definedName name="Price_Segment_by_Age_Y_Data" hidden="1">#REF!</definedName>
    <definedName name="Price_Segment_by_Social_Class_Labels" hidden="1">#REF!</definedName>
    <definedName name="Price_Segment_by_Social_Class_X_Data" hidden="1">#REF!</definedName>
    <definedName name="Price_Segment_by_Social_Class_Y_Data" hidden="1">#REF!</definedName>
    <definedName name="PriceNigerapril" hidden="1">#REF!</definedName>
    <definedName name="ProdForm" hidden="1">#REF!</definedName>
    <definedName name="Producing_unit">#REF!</definedName>
    <definedName name="Product" hidden="1">#REF!</definedName>
    <definedName name="q"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q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q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q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q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qqq" hidden="1">{#N/A,#N/A,FALSE,"OVERVIEW 98";#N/A,#N/A,FALSE,"PMD 98  to 2000";#N/A,#N/A,FALSE,"SMD 98 to 2000";#N/A,#N/A,FALSE,"Facilities98";#N/A,#N/A,FALSE,"Quality"}</definedName>
    <definedName name="qqqq" hidden="1">#REF!</definedName>
    <definedName name="qqqqqq" hidden="1">#REF!</definedName>
    <definedName name="qqqqqqqq" hidden="1">#REF!</definedName>
    <definedName name="qqqqqqqqqqqq" hidden="1">#REF!</definedName>
    <definedName name="QQQQQQQQQQQQQQ" hidden="1">{#N/A,#N/A,TRUE,"Start";#N/A,#N/A,TRUE,"DadosGerais";#N/A,#N/A,TRUE,"Custo Conversão"}</definedName>
    <definedName name="qqqqqqqqqqqqqqq" hidden="1">#REF!</definedName>
    <definedName name="qqqqqqqqqqqqqqqq" hidden="1">#REF!</definedName>
    <definedName name="qqqqqqqqqqqqqqqqq" hidden="1">#REF!</definedName>
    <definedName name="qqqqqqqqqqqqqqqqqqqq" hidden="1">#REF!</definedName>
    <definedName name="qqqqqqqqqqqqqqqqqqqqqq" hidden="1">#REF!</definedName>
    <definedName name="RCArea" hidden="1">#REF!</definedName>
    <definedName name="red" hidden="1">{#N/A,#N/A,FALSE,"Aging Summary";#N/A,#N/A,FALSE,"Ratio Analysis";#N/A,#N/A,FALSE,"Test 120 Day Accts";#N/A,#N/A,FALSE,"Tickmarks"}</definedName>
    <definedName name="rim" hidden="1">#REF!</definedName>
    <definedName name="RiskAfterRecalcMacro" hidden="1">"DataOutputEOI"</definedName>
    <definedName name="RiskAfterSimMacro" hidden="1">"EndOfSim"</definedName>
    <definedName name="RiskBeforeRecalcMacro" hidden="1">""</definedName>
    <definedName name="RiskBeforeSimMacro" hidden="1">"DataOutputNewWorkbook"</definedName>
    <definedName name="RiskMultipleCPUSupportEnabled" hidden="1">FALSE</definedName>
    <definedName name="rrrr" hidden="1">#REF!</definedName>
    <definedName name="RRRRR" hidden="1">{#N/A,#N/A,TRUE,"Start";#N/A,#N/A,TRUE,"DadosGerais";#N/A,#N/A,TRUE,"Custo Conversão"}</definedName>
    <definedName name="rrrrrrrrrr" hidden="1">{"FME HEADCOUNT",#N/A,FALSE,"PRODHEAD"}</definedName>
    <definedName name="RRRRRRRRRRRRRRRR"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rrs" hidden="1">{#N/A,#N/A,FALSE,"OVERVIEW 98";#N/A,#N/A,FALSE,"PMD 98  to 2000";#N/A,#N/A,FALSE,"SMD 98 to 2000";#N/A,#N/A,FALSE,"Facilities98";#N/A,#N/A,FALSE,"Quality"}</definedName>
    <definedName name="rrtre" hidden="1">#REF!</definedName>
    <definedName name="rrtyrt" hidden="1">#REF!</definedName>
    <definedName name="rrtytr" hidden="1">#REF!</definedName>
    <definedName name="rt" hidden="1">#REF!</definedName>
    <definedName name="rtre" hidden="1">#REF!</definedName>
    <definedName name="rttyr" hidden="1">#REF!</definedName>
    <definedName name="rtyr" hidden="1">#REF!</definedName>
    <definedName name="rtyrrrty" hidden="1">#REF!</definedName>
    <definedName name="rtyyytr" hidden="1">#REF!</definedName>
    <definedName name="Run">#REF!</definedName>
    <definedName name="RWANDA" hidden="1">{#N/A,#N/A,FALSE,"Staat";#N/A,#N/A,FALSE,"Telefaks"}</definedName>
    <definedName name="rwefgsergszr" hidden="1">{"'Export97-00'!$A$1:$M$55"}</definedName>
    <definedName name="rwrtty" hidden="1">#REF!</definedName>
    <definedName name="sag" hidden="1">{#N/A,#N/A,FALSE,"Staat";#N/A,#N/A,FALSE,"Telefaks"}</definedName>
    <definedName name="SAPBEXdnldView" hidden="1">"3025W1XWZVBDGV4QSP85HQ68R"</definedName>
    <definedName name="SAPBEXhrIndnt" hidden="1">1</definedName>
    <definedName name="SAPBEXrevision" hidden="1">93</definedName>
    <definedName name="SAPBEXsysID" hidden="1">"BP2"</definedName>
    <definedName name="SAPBEXwbID" hidden="1">"3JVSW2IZ6BEEN19WDC7GQ4EYU"</definedName>
    <definedName name="SAPsysID" hidden="1">"708C5W7SBKP804JT78WJ0JNKI"</definedName>
    <definedName name="SAPwbID" hidden="1">"ARS"</definedName>
    <definedName name="sde" hidden="1">{#N/A,#N/A,FALSE,"ReportFrontPage";#N/A,#N/A,FALSE,"CustomerVolumes2001Summary"}</definedName>
    <definedName name="sdfnhjefu" hidden="1">{#N/A,#N/A,FALSE,"ReportFrontPage";#N/A,#N/A,FALSE,"Chart of Accounts"}</definedName>
    <definedName name="sds" hidden="1">{#N/A,#N/A,FALSE,"STBOARD"}</definedName>
    <definedName name="sds_1" hidden="1">{#N/A,#N/A,FALSE,"STBOARD"}</definedName>
    <definedName name="sds_2" hidden="1">{#N/A,#N/A,FALSE,"STBOARD"}</definedName>
    <definedName name="sds_3" hidden="1">{#N/A,#N/A,FALSE,"STBOARD"}</definedName>
    <definedName name="Segment_code" hidden="1">#REF!</definedName>
    <definedName name="SEK">#REF!</definedName>
    <definedName name="SEKCNY">#REF!</definedName>
    <definedName name="SEKEUR">#REF!</definedName>
    <definedName name="Selling_unit">#REF!</definedName>
    <definedName name="sencount" hidden="1">1</definedName>
    <definedName name="set_up">#REF!</definedName>
    <definedName name="Set_up_per_job">#REF!</definedName>
    <definedName name="sfgsjgh" hidden="1">{"FME HEADCOUNT",#N/A,FALSE,"PRODHEAD"}</definedName>
    <definedName name="sheet" hidden="1">#REF!</definedName>
    <definedName name="sidh" hidden="1">{#VALUE!,#N/A,FALSE,0}</definedName>
    <definedName name="solver_drv" hidden="1">1</definedName>
    <definedName name="solver_est" hidden="1">1</definedName>
    <definedName name="solver_itr" hidden="1">3000</definedName>
    <definedName name="solver_lin" hidden="1">0</definedName>
    <definedName name="solver_num" hidden="1">1</definedName>
    <definedName name="solver_nwt" hidden="1">1</definedName>
    <definedName name="solver_pre" hidden="1">0.01</definedName>
    <definedName name="solver_rel1" hidden="1">4</definedName>
    <definedName name="solver_rhs1" hidden="1">[0]!Integer</definedName>
    <definedName name="solver_scl" hidden="1">1</definedName>
    <definedName name="solver_sho" hidden="1">0</definedName>
    <definedName name="solver_tim" hidden="1">100</definedName>
    <definedName name="solver_tol" hidden="1">0.1</definedName>
    <definedName name="solver_typ" hidden="1">3</definedName>
    <definedName name="solver_val" hidden="1">200</definedName>
    <definedName name="SpecialPrice" hidden="1">#REF!</definedName>
    <definedName name="ss" hidden="1">#REF!</definedName>
    <definedName name="ssss">#REF!</definedName>
    <definedName name="SSSSSSSSSSSSSSSSSSS"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STAFF" hidden="1">{#N/A,#N/A,FALSE,"STAFF95";#N/A,#N/A,FALSE,"STAFF96";#N/A,#N/A,FALSE,"STAFF97"}</definedName>
    <definedName name="T" hidden="1">#REF!</definedName>
    <definedName name="TaxTV">10%</definedName>
    <definedName name="TaxXL">5%</definedName>
    <definedName name="tbl_ProdInfo" hidden="1">#REF!</definedName>
    <definedName name="tes" hidden="1">{#N/A,#N/A,TRUE,"Old - New P&amp;L";#N/A,#N/A,TRUE,"EBIT MMO - Total";#N/A,#N/A,TRUE,"MMO NE, CEE, ASIA, CAR";#N/A,#N/A,TRUE,"MMO LAT, MEA, AFR";#N/A,#N/A,TRUE,"NP growth";#N/A,#N/A,TRUE,"ER impact"}</definedName>
    <definedName name="test">#REF!</definedName>
    <definedName name="TEST_1" hidden="1">{#N/A,#N/A,FALSE,"STBOARD"}</definedName>
    <definedName name="TEST_2" hidden="1">{#N/A,#N/A,FALSE,"STBOARD"}</definedName>
    <definedName name="TEST_3" hidden="1">{#N/A,#N/A,FALSE,"STBOARD"}</definedName>
    <definedName name="test1_1" hidden="1">{#N/A,#N/A,FALSE,"STBOARD"}</definedName>
    <definedName name="test1_2" hidden="1">{#N/A,#N/A,FALSE,"STBOARD"}</definedName>
    <definedName name="test1_3" hidden="1">{#N/A,#N/A,FALSE,"STBOARD"}</definedName>
    <definedName name="test1_4" hidden="1">{#N/A,#N/A,FALSE,"STBOARD"}</definedName>
    <definedName name="TETE"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TETE10"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tfgjvhbjk" hidden="1">{#N/A,#N/A,FALSE,"Staat";#N/A,#N/A,FALSE,"Telefaks"}</definedName>
    <definedName name="today" hidden="1">{"VarianceB",#N/A,FALSE,"Variance"}</definedName>
    <definedName name="Top_10_Brand_2_Labels" hidden="1">#REF!</definedName>
    <definedName name="Top_10_Brand_2_X_Data" hidden="1">#REF!</definedName>
    <definedName name="Top_10_Brand_2_Y_Data" hidden="1">#REF!</definedName>
    <definedName name="Top_10_Brands_4_Labels" hidden="1">#REF!</definedName>
    <definedName name="Top_10_Brands_4_X_Data" hidden="1">#REF!</definedName>
    <definedName name="Top_10_Brands_4_Y_Data" hidden="1">#REF!</definedName>
    <definedName name="Top_10_Brands_Labels" hidden="1">#REF!</definedName>
    <definedName name="Top_10_Brands_X_Data" hidden="1">#REF!</definedName>
    <definedName name="Top_10_Brands_Y_Data" hidden="1">#REF!</definedName>
    <definedName name="Topliner_grade">#REF!</definedName>
    <definedName name="Topliner_grammage">#REF!</definedName>
    <definedName name="TTTTT"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TTTTTT" hidden="1">{#N/A,#N/A,TRUE,"Start";#N/A,#N/A,TRUE,"DadosGerais";#N/A,#N/A,TRUE,"Custo Conversão"}</definedName>
    <definedName name="TTTTTTTTTTTTTTTT"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tuii" hidden="1">#REF!</definedName>
    <definedName name="tutfu" hidden="1">{"FME HEADCOUNT",#N/A,FALSE,"PRODHEAD"}</definedName>
    <definedName name="union08cur">#REF!</definedName>
    <definedName name="union08sum">#REF!</definedName>
    <definedName name="USD">#REF!</definedName>
    <definedName name="uuuu" hidden="1">#REF!</definedName>
    <definedName name="UUUUUUUUUUUUUUUUUU"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UUUUUUUUUUUUUUUUUUUU" hidden="1">{#N/A,#N/A,TRUE,"Start";#N/A,#N/A,TRUE,"DadosGerais";#N/A,#N/A,TRUE,"Custo Conversão"}</definedName>
    <definedName name="ValidBOMRange">#REF!</definedName>
    <definedName name="vcbvfbvbnb" hidden="1">{"'Export97-00'!$A$1:$M$55"}</definedName>
    <definedName name="v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huh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huh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huh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huh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OLASIA">#REF!</definedName>
    <definedName name="VOLEUR">#REF!</definedName>
    <definedName name="vrp" hidden="1">{#N/A,#N/A,FALSE,"FG2540"}</definedName>
    <definedName name="vvvbb" hidden="1">#REF!</definedName>
    <definedName name="vvvv"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vvvvvvvvvvv" hidden="1">{#N/A,#N/A,TRUE,"Start";#N/A,#N/A,TRUE,"DadosGerais";#N/A,#N/A,TRUE,"Custo Conversão"}</definedName>
    <definedName name="VVVVVVVVVVVVVVVVVVVV"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WCap_diff" hidden="1">{#N/A,#N/A,TRUE,"Old - New P&amp;L";#N/A,#N/A,TRUE,"EBIT MMO - Total";#N/A,#N/A,TRUE,"MMO NE, CEE, ASIA, CAR";#N/A,#N/A,TRUE,"MMO LAT, MEA, AFR";#N/A,#N/A,TRUE,"NP growth";#N/A,#N/A,TRUE,"ER impact"}</definedName>
    <definedName name="we" hidden="1">{"'Export97-00'!$A$1:$M$55"}</definedName>
    <definedName name="weeeeeeeeeeeeeeeee" hidden="1">#REF!</definedName>
    <definedName name="wert" hidden="1">#REF!</definedName>
    <definedName name="wewewewewe" hidden="1">{"'Export97-00'!$A$1:$M$55"}</definedName>
    <definedName name="weweweweweewwwwwewe" hidden="1">#REF!</definedName>
    <definedName name="wewewewewewew" hidden="1">#REF!</definedName>
    <definedName name="wewewewewewewewewe" hidden="1">#REF!</definedName>
    <definedName name="wewewwwwwwww" hidden="1">#REF!</definedName>
    <definedName name="why" hidden="1">{#N/A,#N/A,FALSE,"STAFF95";#N/A,#N/A,FALSE,"STAFF96";#N/A,#N/A,FALSE,"STAFF97"}</definedName>
    <definedName name="Willie" hidden="1">{"'Feb 99'!$A$1:$G$30"}</definedName>
    <definedName name="wrn.Aging._.and._.Trend._.Analysis." hidden="1">{#N/A,#N/A,FALSE,"Aging Summary";#N/A,#N/A,FALSE,"Ratio Analysis";#N/A,#N/A,FALSE,"Test 120 Day Accts";#N/A,#N/A,FALSE,"Tickmarks"}</definedName>
    <definedName name="wrn.Ambition_EBIT_2004." hidden="1">{#N/A,#N/A,TRUE,"Old - New P&amp;L";#N/A,#N/A,TRUE,"EBIT MMO - Total";#N/A,#N/A,TRUE,"MMO NE, CEE, ASIA, CAR";#N/A,#N/A,TRUE,"MMO LAT, MEA, AFR";#N/A,#N/A,TRUE,"NP growth";#N/A,#N/A,TRUE,"ER impact"}</definedName>
    <definedName name="wrn.BEDRYFSRAPPORT." hidden="1">{#N/A,#N/A,FALSE,"TOTAAL";#N/A,#N/A,FALSE,"SEN TAB";#N/A,#N/A,FALSE,"SA T";#N/A,#N/A,FALSE,"SA B";#N/A,#N/A,FALSE,"INV T";#N/A,#N/A,FALSE,"INV B"}</definedName>
    <definedName name="wrn.BELGIEN." hidden="1">{"FIRMEN",#N/A,TRUE,"FIRMEN (H)";"FIRMEN MIO",#N/A,TRUE,"FIRMEN (Q)";"FIRMEN MA",#N/A,TRUE,"FIRMEN (Q)";"Top 30",#N/A,TRUE,"TOP 30 MARKEN (H)";"TOP 30 MIO",#N/A,TRUE,"TOP 30 MARKEN (Q)";"TOP 30 MA",#N/A,TRUE,"TOP 30 MARKEN (Q)";"DEUTSCHE",#N/A,TRUE,"DEUTSCHE MARKEN (H)";"DEUTSCHE MIO",#N/A,TRUE,"DEUTSCHE MARKEN (Q)";"DEUTSCHE MA",#N/A,TRUE,"DEUTSCHE MARKEN (Q)";"NEUE MIO",#N/A,TRUE,"NEUEINFÜHRUNGEN";"NEUE MA",#N/A,TRUE,"NEUEINFÜHRUNGEN";"TOP 30 MAFAM",#N/A,TRUE,"TOP 30 FAMILIEN (H)";"TOP 30 MAFAM MA",#N/A,TRUE,"TOP 30 FAMILIEN (Q)";"TOP 30 MAFAM MIO",#N/A,TRUE,"TOP 30 FAMILIEN (Q)";"MILD1",#N/A,TRUE,"MILD MARKEN";"MILD2",#N/A,TRUE,"MILD MARKEN";"IHNALT TYP",#N/A,TRUE,"PRODUKTEIGENSCHAFTEN";"INHALT TYP MIO",#N/A,TRUE,"PRODUKTEIGENSCHAFTEN (Q)";"INHALT TYP MA",#N/A,TRUE,"PRODUKTEIGENSCHAFTEN (Q)";"BAT",#N/A,TRUE,"BAT MARKEN (H)";"BAT MIO",#N/A,TRUE,"BAT MARKEN (Q)";"BAT MA",#N/A,TRUE,"BAT MARKEN (Q)";"LUCKY",#N/A,TRUE,"MARKEN ÜBERSICHTEN (H)";"LUCKY MIO",#N/A,TRUE,"MARKEN ÜBERSICHTEN (Q)";"LUCKY MA",#N/A,TRUE,"MARKEN ÜBERSICHTEN (Q)";"CHESTERFIELD",#N/A,TRUE,"MARKEN ÜBERSICHTEN (H)";"CHESTERFIELD MIO",#N/A,TRUE,"MARKEN ÜBERSICHTEN (Q)";"CHESTERFIELD MA",#N/A,TRUE,"MARKEN ÜBERSICHTEN (Q)";"WINFIELD",#N/A,TRUE,"MARKEN ÜBERSICHTEN (H)";"WINFIELD MIO",#N/A,TRUE,"MARKEN ÜBERSICHTEN (Q)";"WINFIELD MA",#N/A,TRUE,"MARKEN ÜBERSICHTEN (Q)";"TOP 50",#N/A,TRUE,"MARKEN GESAMT";"TOP 51 BIS 100",#N/A,TRUE,"MARKEN GESAMT";"TOP 101 BIS 150",#N/A,TRUE,"MARKEN GESAMT"}</definedName>
    <definedName name="wrn.Book." hidden="1">{"EVA",#N/A,FALSE,"SMT2";#N/A,#N/A,FALSE,"Summary";#N/A,#N/A,FALSE,"Graphs";#N/A,#N/A,FALSE,"4 Panel"}</definedName>
    <definedName name="wrn.Budget." hidden="1">{#N/A,#N/A,FALSE,"Filter";#N/A,#N/A,FALSE,"Virgin";#N/A,#N/A,FALSE,"Amerik";#N/A,#N/A,FALSE,"Tekstiel"}</definedName>
    <definedName name="wrn.chi._.tiÆt." hidden="1">{#N/A,#N/A,FALSE,"Chi tiÆt"}</definedName>
    <definedName name="wrn.chi._.tiÆt._1" hidden="1">{#N/A,#N/A,FALSE,"Chi tiÆt"}</definedName>
    <definedName name="wrn.chi._.tiÆt._2" hidden="1">{#N/A,#N/A,FALSE,"Chi tiÆt"}</definedName>
    <definedName name="wrn.chi._.tiÆt._3" hidden="1">{#N/A,#N/A,FALSE,"Chi tiÆt"}</definedName>
    <definedName name="wrn.chi._.tiÆt._4" hidden="1">{#N/A,#N/A,FALSE,"Chi tiÆt"}</definedName>
    <definedName name="wrn.CIGARETTE._.CLAIMS." hidden="1">{#N/A,#N/A,FALSE,"AGG94";"ITC",#N/A,FALSE,"AGG94";"PVF",#N/A,FALSE,"AGG94"}</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armers." hidden="1">{#N/A,#N/A,FALSE,"Staat";#N/A,#N/A,FALSE,"Telefaks"}</definedName>
    <definedName name="wrn.FME._.HEADCOUNT." hidden="1">{"FME HEADCOUNT",#N/A,FALSE,"PRODHEAD"}</definedName>
    <definedName name="wrn.FME._.US." hidden="1">{"US DOLLARS",#N/A,FALSE,"FMEOB96"}</definedName>
    <definedName name="wrn.IMR." hidden="1">{#N/A,#N/A,TRUE,"Содержание";#N/A,#N/A,TRUE,"Выработка";#N/A,#N/A,TRUE,"Расход"}</definedName>
    <definedName name="wrn.labour." hidden="1">{"labour",#N/A,FALSE,"PRODHEAD"}</definedName>
    <definedName name="wrn.LOCAL._.CURRENCY." hidden="1">{#N/A,#N/A,FALSE,"FMEOB96"}</definedName>
    <definedName name="wrn.LUXEMBURG." hidden="1">{"FIRMEN",#N/A,FALSE,"FIRMEN (H)";"FIRMEN MIO",#N/A,FALSE,"FIRMEN (Q)";"FIRMEN MA",#N/A,FALSE,"FIRMEN (Q)";"Top 30",#N/A,FALSE,"TOP 30 MARKEN (H)";"TOP 30 MIO",#N/A,FALSE,"TOP 30 MARKEN (Q)";"TOP 30 MA",#N/A,FALSE,"TOP 30 MARKEN (Q)";"DEUTSCHE",#N/A,FALSE,"DEUTSCHE MARKEN (H)";"DEUTSCHE MIO",#N/A,FALSE,"DEUTSCHE MARKEN (Q)";"DEUTSCHE MA",#N/A,FALSE,"DEUTSCHE MARKEN (Q)";"NEUE MIO",#N/A,FALSE,"NEUEINFÜHRUNGEN";"NEUE MA",#N/A,FALSE,"NEUEINFÜHRUNGEN";"TOP 30 MAFAM",#N/A,FALSE,"TOP 30 FAMILIEN (H)";"TOP 30 MAFAM MA",#N/A,FALSE,"TOP 30 FAMILIEN (Q)";"TOP 30 MAFAM MIO",#N/A,FALSE,"TOP 30 FAMILIEN (Q)";"MILD1",#N/A,FALSE,"MILD MARKEN";"MILD2",#N/A,FALSE,"MILD MARKEN";"BAT",#N/A,FALSE,"BAT MARKEN (H)";"BAT MIO",#N/A,FALSE,"BAT MARKEN (Q)";"BAT MA",#N/A,FALSE,"BAT MARKEN (Q)";"LUCKY",#N/A,FALSE,"MARKEN ÜBERSICHTEN (H)";"LUCKY MIO",#N/A,FALSE,"MARKEN ÜBERSICHTEN (Q)";"LUCKY MA",#N/A,FALSE,"MARKEN ÜBERSICHTEN (Q)";"CHESTERFIELD",#N/A,FALSE,"MARKEN ÜBERSICHTEN (H)";"CHESTERFIELD MA",#N/A,FALSE,"MARKEN ÜBERSICHTEN (Q)";"CHESTERFIELD MIO",#N/A,FALSE,"MARKEN ÜBERSICHTEN (Q)";"WINFIELD",#N/A,FALSE,"MARKEN ÜBERSICHTEN (H)";"WINFIELD MIO",#N/A,FALSE,"MARKEN ÜBERSICHTEN (Q)";"WINFIELD MA",#N/A,FALSE,"MARKEN ÜBERSICHTEN (Q)"}</definedName>
    <definedName name="wrn.MPLTC." hidden="1">{#N/A,#N/A,FALSE,"Sheet1"}</definedName>
    <definedName name="wrn.Operations._.Manager." hidden="1">{#N/A,#N/A,FALSE,"Control"}</definedName>
    <definedName name="wrn.PR98." hidden="1">{#N/A,#N/A,FALSE,"OVERVIEW 98";#N/A,#N/A,FALSE,"PMD 98  to 2000";#N/A,#N/A,FALSE,"SMD 98 to 2000";#N/A,#N/A,FALSE,"Facilities98";#N/A,#N/A,FALSE,"Quality"}</definedName>
    <definedName name="wrn.PRINT._.ALL." hidden="1">{"PL_PRINT",#N/A,TRUE,"Profit &amp; Loss";"BS_PRINT",#N/A,TRUE,"Balance Sheet";"CF_PRINT",#N/A,TRUE,"Cash Flow";"VALIDATION_PRINT",#N/A,TRUE,"Validation Checks"}</definedName>
    <definedName name="wrn.PRINT._.PL._.CF._.BS." hidden="1">{"PL_PRINT",#N/A,TRUE,"Profit &amp; Loss";"BS_PRINT",#N/A,TRUE,"Balance Sheet";"CF_PRINT",#N/A,TRUE,"Cash Flow"}</definedName>
    <definedName name="wrn.PRINT._.VALIDATIONS." hidden="1">{"VALIDATION_PRINT",#N/A,TRUE,"Validation Checks"}</definedName>
    <definedName name="wrn.Production._.Finished._.Goods._.Stock._.Valuation." hidden="1">{#N/A,#N/A,FALSE,"FG2540"}</definedName>
    <definedName name="wrn.RELAT._.SEM._.CCONV."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wrn.report_budget_all_summary." hidden="1">{#N/A,#N/A,FALSE,"ReportFrontPage";#N/A,#N/A,FALSE,"Budget Summary"}</definedName>
    <definedName name="wrn.report_budget_total_summary." hidden="1">{#N/A,#N/A,FALSE,"ReportFrontPage";"view_budgettotal_summary",#N/A,FALSE,"Budget Summary"}</definedName>
    <definedName name="wrn.report_cost_hq_summary." hidden="1">{#N/A,#N/A,TRUE,"ReportFrontPage";"view_cost_hq",#N/A,TRUE,"Cost Summary"}</definedName>
    <definedName name="wrn.report_cost_misc_summary." hidden="1">{#N/A,#N/A,TRUE,"ReportFrontPage";"view_cost_misc",#N/A,TRUE,"Cost Summary"}</definedName>
    <definedName name="wrn.report_cost_ruk_summary." hidden="1">{#N/A,#N/A,TRUE,"ReportFrontPage";"view_cost_ruk",#N/A,TRUE,"Cost Summary"}</definedName>
    <definedName name="wrn.report_cost_total_summary." hidden="1">{#N/A,#N/A,TRUE,"ReportFrontPage";#N/A,#N/A,TRUE,"Cost Summary"}</definedName>
    <definedName name="wrn.report_cost_ukiops_summary." hidden="1">{#N/A,#N/A,TRUE,"ReportFrontPage";"view_cost_ukiops",#N/A,TRUE,"Cost Summary"}</definedName>
    <definedName name="wrn.report_forecast_total_summary." hidden="1">{#N/A,#N/A,TRUE,"ReportFrontPage";#N/A,#N/A,TRUE,"Forecast Summary "}</definedName>
    <definedName name="wrn.report_general_chartofaccounts." hidden="1">{#N/A,#N/A,FALSE,"ReportFrontPage";#N/A,#N/A,FALSE,"Chart of Accounts"}</definedName>
    <definedName name="wrn.report_general_customervolumes." hidden="1">{#N/A,#N/A,FALSE,"ReportFrontPage";#N/A,#N/A,FALSE,"CustomerVolumes2001Summary"}</definedName>
    <definedName name="wrn.rptTeste." hidden="1">{#N/A,#N/A,TRUE,"Start";#N/A,#N/A,TRUE,"DadosGerais";#N/A,#N/A,TRUE,"Custo Conversão"}</definedName>
    <definedName name="wrn.ScheduleAtoF." hidden="1">{"Input",#N/A,FALSE,"Input";"ScheduleA",#N/A,FALSE,"""A""";"ScheduleB",#N/A,FALSE,"""B""";"ScheduleC",#N/A,FALSE,"""C""";"ScheduleD",#N/A,FALSE,"""D""";"ScheduleE",#N/A,FALSE,"""E""";"ScheduleF",#N/A,FALSE,"""F"""}</definedName>
    <definedName name="wrn.ScheduleAtoG." hidden="1">{"Input",#N/A,FALSE,"Input";"ScheduleA",#N/A,FALSE,"""A""";"ScheduleB",#N/A,FALSE,"""B""";"ScheduleC",#N/A,FALSE,"""C""";"ScheduleD",#N/A,FALSE,"""D""";"ScheduleE",#N/A,FALSE,"""E""";"ScheduleF",#N/A,FALSE,"""F""";"ScheduleG",#N/A,FALSE,"""G"""}</definedName>
    <definedName name="wrn.Slide._.Sho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lide._.Show._1"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lide._.Show._2"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lide._.Show._3"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lide._.Show._4"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TAFF." hidden="1">{#N/A,#N/A,FALSE,"STAFF95";#N/A,#N/A,FALSE,"STAFF96";#N/A,#N/A,FALSE,"STAFF97"}</definedName>
    <definedName name="wrn.Tableau._.Budget." hidden="1">{#N/A,#N/A,TRUE,"1er Page Budget";"BUDGET ET ACTUALISATION, REMUNERATION",#N/A,TRUE,"REMUNERATION";"BUDGET 2000 - MENSUALISATION, REMUNERATION",#N/A,TRUE,"REMUNERATION";"BUDGET ET ACTUALISATION, VOLUMES",#N/A,TRUE,"VOLSEI ANNU";"BUDGET 2000 - MENSUALISATION, VOLUMES",#N/A,TRUE,"VOLUME MENSU"}</definedName>
    <definedName name="wrn.test" hidden="1">{#N/A,#N/A,FALSE,"STBOARD"}</definedName>
    <definedName name="wrn.test." hidden="1">{#N/A,#N/A,FALSE,"STBOARD"}</definedName>
    <definedName name="wrn.test._1" hidden="1">{#N/A,#N/A,FALSE,"STBOARD"}</definedName>
    <definedName name="wrn.test._2" hidden="1">{#N/A,#N/A,FALSE,"STBOARD"}</definedName>
    <definedName name="wrn.test._3" hidden="1">{#N/A,#N/A,FALSE,"STBOARD"}</definedName>
    <definedName name="wrn.TOPLEVEL" hidden="1">{"Toplevel",#N/A,FALSE,"BATCO Top Level";"BATINV",#N/A,FALSE,"BAT Inv";"ABBEY",#N/A,FALSE,"Abbey";"BATNET",#N/A,FALSE,"BATNET";"CEYLON",#N/A,FALSE,"Ceylon";"CHELWWOD",#N/A,FALSE,"Chelwood";"MAURITUS",#N/A,FALSE,"Mauritius";"EAT",#N/A,FALSE,"EAT";"RALEIGH",#N/A,FALSE,"Raleigh";"WESTMINSTER",#N/A,FALSE,"Westminster";"WESTANLEY",#N/A,FALSE,"Westanley"}</definedName>
    <definedName name="wrn.TOPLEVEL." hidden="1">{"Toplevel",#N/A,FALSE,"BATCO Top Level";"BATINV",#N/A,FALSE,"BAT Inv";"ABBEY",#N/A,FALSE,"Abbey";"BATNET",#N/A,FALSE,"BATNET";"CEYLON",#N/A,FALSE,"Ceylon";"CHELWWOD",#N/A,FALSE,"Chelwood";"MAURITUS",#N/A,FALSE,"Mauritius";"EAT",#N/A,FALSE,"EAT";"RALEIGH",#N/A,FALSE,"Raleigh";"WESTMINSTER",#N/A,FALSE,"Westminster";"WESTANLEY",#N/A,FALSE,"Westanley"}</definedName>
    <definedName name="wrn.VarianceA." hidden="1">{"VarianceA",#N/A,FALSE,"Variance"}</definedName>
    <definedName name="wrn.VarianceB." hidden="1">{"VarianceB",#N/A,FALSE,"Variance"}</definedName>
    <definedName name="wrn.vd." hidden="1">{#N/A,#N/A,TRUE,"BT M200 da 10x20"}</definedName>
    <definedName name="wrn.vd._1" hidden="1">{#N/A,#N/A,TRUE,"BT M200 da 10x20"}</definedName>
    <definedName name="wrn.vd._2" hidden="1">{#N/A,#N/A,TRUE,"BT M200 da 10x20"}</definedName>
    <definedName name="wrn.vd._3" hidden="1">{#N/A,#N/A,TRUE,"BT M200 da 10x20"}</definedName>
    <definedName name="wrn.vd._4" hidden="1">{#N/A,#N/A,TRUE,"BT M200 da 10x20"}</definedName>
    <definedName name="wrn.WitoutInflation." hidden="1">{"CoverPage",#N/A,FALSE,"Cover_Page";"ExchangeRates",#N/A,FALSE,"Exchange_Rates";"VolOCISum",#N/A,FALSE,"Vol_OCI_SUM";"VarV1",#N/A,FALSE,"Var_OB_vs_LE";"VarV2",#N/A,FALSE,"Var_OB_vs_2RF";"VarDetailV1",#N/A,FALSE,"Var_Details_OB_vs_LE";"VarDetailsV2",#N/A,FALSE,"Var_Details_OB_vs_2RF";"TotalExpV1",#N/A,FALSE,"TotalExp_vs1";"TotalExpV2",#N/A,FALSE,"TotalExp_vs2";"TotExpVar",#N/A,FALSE,"TotalExpVar";"AllowDet",#N/A,FALSE,"AllowDet"}</definedName>
    <definedName name="wrtr" hidden="1">#REF!</definedName>
    <definedName name="WVOL">#REF!</definedName>
    <definedName name="ww" hidden="1">#REF!</definedName>
    <definedName name="WWW" hidden="1">{"FEUILLE1",#N/A,TRUE,"Feuil1";"BudRemun",#N/A,TRUE,"REMUNERATION";"BudVentes",#N/A,TRUE,"VOLSEI ANNU";"BudCAéco",#N/A,TRUE,"CA MENSUEL";"BudCAmodule",#N/A,TRUE,"CA MODULE (2)";"BudCoûtprod",#N/A,TRUE,"couts prod SEI (2)"}</definedName>
    <definedName name="wwweeeeeeeeeeeeeeeeeeeeew" hidden="1">#REF!</definedName>
    <definedName name="wwweeeeeeeeeeeeeeeeeewww" hidden="1">#REF!</definedName>
    <definedName name="wwww" hidden="1">#REF!</definedName>
    <definedName name="wwwwww" hidden="1">#REF!</definedName>
    <definedName name="wwwwwwwe" hidden="1">#REF!</definedName>
    <definedName name="wwwwwwwwwewew" hidden="1">#REF!</definedName>
    <definedName name="wwwwwwwwwwwww" hidden="1">#REF!</definedName>
    <definedName name="WWWWWWWWWWWWWW" hidden="1">{#N/A,#N/A,TRUE,"Start";#N/A,#N/A,TRUE,"DadosGerais";#N/A,#N/A,TRUE,"Custo Conversão"}</definedName>
    <definedName name="wwwwwwwwwwwwwwewewewe" hidden="1">#REF!</definedName>
    <definedName name="wwwwwwwwwwwwwww" hidden="1">#REF!</definedName>
    <definedName name="wwwwwwwwwwwwwwweweweweweww" hidden="1">#REF!</definedName>
    <definedName name="wwwwwwwwwwwwwwwwww" hidden="1">#REF!</definedName>
    <definedName name="wwwwwwwwwwwwwwwwwwwwwww" hidden="1">#REF!</definedName>
    <definedName name="X1A" hidden="1">{#N/A,#N/A,TRUE,"Start";#N/A,#N/A,TRUE,"DadosGerais";#N/A,#N/A,TRUE,"Custo Conversão"}</definedName>
    <definedName name="xfggxh" hidden="1">{"labour",#N/A,FALSE,"PRODHEAD"}</definedName>
    <definedName name="xfgufgxu" hidden="1">{"US DOLLARS",#N/A,FALSE,"FMEOB96"}</definedName>
    <definedName name="XXX"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xxxx" hidden="1">#REF!</definedName>
    <definedName name="XXXXXXXXXXXXXXXXXXXXXX" hidden="1">{#N/A,#N/A,TRUE,"Start";#N/A,#N/A,TRUE,"DadosGerais";#N/A,#N/A,TRUE,"Custo Conversão"}</definedName>
    <definedName name="XXXYY" hidden="1">{#N/A,#N/A,TRUE,"Start";#N/A,#N/A,TRUE,"DadosGerais";#N/A,#N/A,TRUE,"Custo Conversão"}</definedName>
    <definedName name="y" hidden="1">{"VarianceA",#N/A,FALSE,"Variance"}</definedName>
    <definedName name="yen" hidden="1">{#N/A,#N/A,FALSE,"Chi tiÆt"}</definedName>
    <definedName name="yen_1" hidden="1">{#N/A,#N/A,FALSE,"Chi tiÆt"}</definedName>
    <definedName name="yen_2" hidden="1">{#N/A,#N/A,FALSE,"Chi tiÆt"}</definedName>
    <definedName name="yen_3" hidden="1">{#N/A,#N/A,FALSE,"Chi tiÆt"}</definedName>
    <definedName name="yen_4" hidden="1">{#N/A,#N/A,FALSE,"Chi tiÆt"}</definedName>
    <definedName name="yi" hidden="1">{#N/A,#N/A,FALSE,"Sheet1"}</definedName>
    <definedName name="yt" hidden="1">#REF!</definedName>
    <definedName name="YYYYY" hidden="1">{#N/A,#N/A,TRUE,"Start";#N/A,#N/A,TRUE,"DadosGerais";#N/A,#N/A,TRUE,"Custo Conversão"}</definedName>
    <definedName name="yyyyyyyyyyyyy" hidden="1">{#N/A,#N/A,FALSE,"FMEOB96"}</definedName>
    <definedName name="YYYYYYYYYYYYYYYY" hidden="1">{#N/A,#N/A,TRUE,"Start";#N/A,#N/A,TRUE,"DadosGerais";#N/A,#N/A,TRUE,"Custo Conversão"}</definedName>
    <definedName name="YYYYYYYYYYYYYYYYYY" hidden="1">{#N/A,#N/A,TRUE,"Start";#N/A,#N/A,TRUE,"DadosGerais";#N/A,#N/A,TRUE,"Custo Conversão"}</definedName>
    <definedName name="Z_18696000_3BB7_11D4_8AE7_000102427828_.wvu.Cols" hidden="1">#REF!</definedName>
    <definedName name="Z_18696000_3BB7_11D4_8AE7_000102427828_.wvu.PrintArea" hidden="1">#REF!</definedName>
    <definedName name="Z_18696000_3BB7_11D4_8AE7_000102427828_.wvu.Rows" hidden="1">#REF!,#REF!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DCA8D884_2605_11D1_A510_006097B38048_.wvu.FilterData" hidden="1">#REF!</definedName>
    <definedName name="Z_E2699901_D040_11D0_A510_006097B38048_.wvu.FilterData" hidden="1">#REF!</definedName>
    <definedName name="zxdtgz" hidden="1">#REF!</definedName>
    <definedName name="ZZZZZZZZZZZZZZZZZZZZZZ" hidden="1">{#N/A,#N/A,FALSE,"CAPA";#N/A,#N/A,FALSE,"VOLUME DE PRODUÇÃO";#N/A,#N/A,FALSE,"MÃO DE OBRA TOTAL";#N/A,#N/A,FALSE,"HEAD-COUNT MENSALISTAS";#N/A,#N/A,FALSE,"HEAD-COUNT EXECUTIVOS";#N/A,#N/A,FALSE,"HEAD-COUNT EXEC. - ABERTURA";#N/A,#N/A,FALSE,"DESPESAS POR C. C.";#N/A,#N/A,FALSE,"PRODUTIVIDADE - PMM";#N/A,#N/A,FALSE,"PRODUTIVIDADE - PMT";#N/A,#N/A,FALSE,"PRODUTIVIDADE ACUMULADA - PMM";#N/A,#N/A,FALSE,"PRODUTIVIDADE ACUMULADA - PMT";#N/A,#N/A,FALSE,"ANÁLISE DE EFICIÊNCIA";#N/A,#N/A,FALSE,"ESTRAGOS"}</definedName>
    <definedName name="产成品成本分配">#REF!</definedName>
    <definedName name="产成品入库单22">#REF!</definedName>
    <definedName name="成品入库">#REF!</definedName>
    <definedName name="出库">#REF!</definedName>
    <definedName name="柜型">#REF!</definedName>
    <definedName name="_xlnm.Recorder" hidden="1">#REF!</definedName>
    <definedName name="品">#REF!</definedName>
    <definedName name="日期及时间">#REF!</definedName>
    <definedName name="入">#REF!</definedName>
    <definedName name="入库单">#REF!</definedName>
    <definedName name="原料出库">#REF!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6" i="6" l="1"/>
  <c r="Q376" i="6"/>
  <c r="Q303" i="6"/>
  <c r="Q249" i="6"/>
  <c r="Q184" i="6"/>
  <c r="Q132" i="6"/>
  <c r="Q65" i="6"/>
  <c r="Q377" i="6"/>
  <c r="O185" i="4" l="1"/>
  <c r="O67" i="4" l="1"/>
  <c r="O54" i="4"/>
  <c r="R304" i="6"/>
  <c r="R250" i="6"/>
  <c r="R185" i="6"/>
  <c r="O53" i="4" l="1"/>
  <c r="Q244" i="4" l="1"/>
  <c r="R55" i="4"/>
  <c r="S449" i="6"/>
  <c r="P276" i="4" l="1"/>
  <c r="U171" i="4"/>
  <c r="U172" i="4"/>
  <c r="U167" i="4"/>
  <c r="U163" i="4"/>
  <c r="U159" i="4"/>
  <c r="U160" i="4"/>
  <c r="U161" i="4"/>
  <c r="U156" i="4"/>
  <c r="U157" i="4"/>
  <c r="U153" i="4"/>
  <c r="U148" i="4"/>
  <c r="U149" i="4"/>
  <c r="U141" i="4"/>
  <c r="U142" i="4"/>
  <c r="U143" i="4"/>
  <c r="U144" i="4"/>
  <c r="U145" i="4"/>
  <c r="U146" i="4"/>
  <c r="U137" i="4"/>
  <c r="U228" i="4"/>
  <c r="U229" i="4"/>
  <c r="U230" i="4"/>
  <c r="U217" i="4"/>
  <c r="U218" i="4"/>
  <c r="U212" i="4"/>
  <c r="U208" i="4"/>
  <c r="U209" i="4"/>
  <c r="U210" i="4"/>
  <c r="U147" i="4"/>
  <c r="U150" i="4"/>
  <c r="U151" i="4"/>
  <c r="U152" i="4"/>
  <c r="U155" i="4"/>
  <c r="U158" i="4"/>
  <c r="U162" i="4"/>
  <c r="U164" i="4"/>
  <c r="U165" i="4"/>
  <c r="U166" i="4"/>
  <c r="U168" i="4"/>
  <c r="U169" i="4"/>
  <c r="U170" i="4"/>
  <c r="U173" i="4"/>
  <c r="U174" i="4"/>
  <c r="U175" i="4"/>
  <c r="U176" i="4"/>
  <c r="U177" i="4"/>
  <c r="U178" i="4"/>
  <c r="U183" i="4"/>
  <c r="U184" i="4"/>
  <c r="U185" i="4"/>
  <c r="U186" i="4"/>
  <c r="U188" i="4"/>
  <c r="U189" i="4"/>
  <c r="U190" i="4"/>
  <c r="U191" i="4"/>
  <c r="U192" i="4"/>
  <c r="U193" i="4"/>
  <c r="U194" i="4"/>
  <c r="U195" i="4"/>
  <c r="U196" i="4"/>
  <c r="U197" i="4"/>
  <c r="U198" i="4"/>
  <c r="U199" i="4"/>
  <c r="U200" i="4"/>
  <c r="U201" i="4"/>
  <c r="U202" i="4"/>
  <c r="U203" i="4"/>
  <c r="U204" i="4"/>
  <c r="U206" i="4"/>
  <c r="U207" i="4"/>
  <c r="G143" i="5"/>
  <c r="W5" i="8"/>
  <c r="W6" i="8"/>
  <c r="W7" i="8"/>
  <c r="W10" i="8"/>
  <c r="W11" i="8"/>
  <c r="W12" i="8"/>
  <c r="Z11" i="8"/>
  <c r="AG11" i="8"/>
  <c r="AF11" i="8"/>
  <c r="AE11" i="8"/>
  <c r="AD11" i="8"/>
  <c r="AC11" i="8"/>
  <c r="AB11" i="8"/>
  <c r="AA11" i="8"/>
  <c r="AG10" i="8"/>
  <c r="AF10" i="8"/>
  <c r="AE10" i="8"/>
  <c r="AD10" i="8"/>
  <c r="AC10" i="8"/>
  <c r="AB10" i="8"/>
  <c r="AA10" i="8"/>
  <c r="Z10" i="8"/>
  <c r="AU79" i="11"/>
  <c r="AU88" i="11"/>
  <c r="BI96" i="11"/>
  <c r="BH96" i="11"/>
  <c r="AU96" i="11"/>
  <c r="AT96" i="11"/>
  <c r="AO96" i="11"/>
  <c r="AN96" i="11"/>
  <c r="AM96" i="11"/>
  <c r="AL96" i="11"/>
  <c r="AK96" i="11"/>
  <c r="AJ96" i="11"/>
  <c r="AI96" i="11"/>
  <c r="AH96" i="11"/>
  <c r="AG96" i="11"/>
  <c r="AF96" i="11"/>
  <c r="AE96" i="11"/>
  <c r="AD96" i="11"/>
  <c r="W96" i="11"/>
  <c r="V96" i="11"/>
  <c r="U96" i="11"/>
  <c r="T96" i="11"/>
  <c r="S96" i="11"/>
  <c r="R96" i="11"/>
  <c r="Q96" i="11"/>
  <c r="P96" i="11"/>
  <c r="O96" i="11"/>
  <c r="N96" i="11"/>
  <c r="M96" i="11"/>
  <c r="L96" i="11"/>
  <c r="BI95" i="11"/>
  <c r="BH95" i="11"/>
  <c r="AU95" i="11"/>
  <c r="AT95" i="11"/>
  <c r="AO95" i="11"/>
  <c r="AN95" i="11"/>
  <c r="AM95" i="11"/>
  <c r="AL95" i="11"/>
  <c r="AK95" i="11"/>
  <c r="AJ95" i="11"/>
  <c r="AI95" i="11"/>
  <c r="AH95" i="11"/>
  <c r="AG95" i="11"/>
  <c r="AF95" i="11"/>
  <c r="AE95" i="11"/>
  <c r="AD95" i="11"/>
  <c r="W95" i="11"/>
  <c r="V95" i="11"/>
  <c r="U95" i="11"/>
  <c r="T95" i="11"/>
  <c r="S95" i="11"/>
  <c r="R95" i="11"/>
  <c r="Q95" i="11"/>
  <c r="P95" i="11"/>
  <c r="O95" i="11"/>
  <c r="N95" i="11"/>
  <c r="M95" i="11"/>
  <c r="L95" i="11"/>
  <c r="BI94" i="11"/>
  <c r="BH94" i="11"/>
  <c r="AU94" i="11"/>
  <c r="AT94" i="11"/>
  <c r="AO94" i="11"/>
  <c r="AN94" i="11"/>
  <c r="AM94" i="11"/>
  <c r="AL94" i="11"/>
  <c r="AK94" i="11"/>
  <c r="AJ94" i="11"/>
  <c r="AI94" i="11"/>
  <c r="AH94" i="11"/>
  <c r="AG94" i="11"/>
  <c r="AF94" i="11"/>
  <c r="AE94" i="11"/>
  <c r="AD94" i="11"/>
  <c r="W94" i="11"/>
  <c r="V94" i="11"/>
  <c r="U94" i="11"/>
  <c r="T94" i="11"/>
  <c r="S94" i="11"/>
  <c r="R94" i="11"/>
  <c r="Q94" i="11"/>
  <c r="P94" i="11"/>
  <c r="O94" i="11"/>
  <c r="N94" i="11"/>
  <c r="M94" i="11"/>
  <c r="L94" i="11"/>
  <c r="BI93" i="11"/>
  <c r="BH93" i="11"/>
  <c r="AU93" i="11"/>
  <c r="AT93" i="11"/>
  <c r="AO93" i="11"/>
  <c r="AN93" i="11"/>
  <c r="AM93" i="11"/>
  <c r="AL93" i="11"/>
  <c r="AK93" i="11"/>
  <c r="AJ93" i="11"/>
  <c r="AI93" i="11"/>
  <c r="AH93" i="11"/>
  <c r="AG93" i="11"/>
  <c r="AF93" i="11"/>
  <c r="AE93" i="11"/>
  <c r="AD93" i="11"/>
  <c r="W93" i="11"/>
  <c r="V93" i="11"/>
  <c r="U93" i="11"/>
  <c r="T93" i="11"/>
  <c r="S93" i="11"/>
  <c r="R93" i="11"/>
  <c r="Q93" i="11"/>
  <c r="P93" i="11"/>
  <c r="O93" i="11"/>
  <c r="N93" i="11"/>
  <c r="M93" i="11"/>
  <c r="L93" i="11"/>
  <c r="BI92" i="11"/>
  <c r="BH92" i="11"/>
  <c r="AU92" i="11"/>
  <c r="AT92" i="11"/>
  <c r="AO92" i="11"/>
  <c r="AN92" i="11"/>
  <c r="AM92" i="11"/>
  <c r="AL92" i="11"/>
  <c r="AK92" i="11"/>
  <c r="AJ92" i="11"/>
  <c r="AI92" i="11"/>
  <c r="AH92" i="11"/>
  <c r="AG92" i="11"/>
  <c r="AF92" i="11"/>
  <c r="AE92" i="11"/>
  <c r="AD92" i="11"/>
  <c r="W92" i="11"/>
  <c r="V92" i="11"/>
  <c r="U92" i="11"/>
  <c r="T92" i="11"/>
  <c r="S92" i="11"/>
  <c r="R92" i="11"/>
  <c r="Q92" i="11"/>
  <c r="P92" i="11"/>
  <c r="O92" i="11"/>
  <c r="N92" i="11"/>
  <c r="M92" i="11"/>
  <c r="L92" i="11"/>
  <c r="BI91" i="11"/>
  <c r="BH91" i="11"/>
  <c r="AU91" i="11"/>
  <c r="AT91" i="11"/>
  <c r="AO91" i="11"/>
  <c r="AN91" i="11"/>
  <c r="AM91" i="11"/>
  <c r="AL91" i="11"/>
  <c r="AK91" i="11"/>
  <c r="AJ91" i="11"/>
  <c r="AI91" i="11"/>
  <c r="AH91" i="11"/>
  <c r="AG91" i="11"/>
  <c r="AF91" i="11"/>
  <c r="AE91" i="11"/>
  <c r="AD91" i="11"/>
  <c r="W91" i="11"/>
  <c r="V91" i="11"/>
  <c r="U91" i="11"/>
  <c r="T91" i="11"/>
  <c r="S91" i="11"/>
  <c r="R91" i="11"/>
  <c r="Q91" i="11"/>
  <c r="P91" i="11"/>
  <c r="O91" i="11"/>
  <c r="N91" i="11"/>
  <c r="M91" i="11"/>
  <c r="L91" i="11"/>
  <c r="BI90" i="11"/>
  <c r="BH90" i="11"/>
  <c r="AU90" i="11"/>
  <c r="AT90" i="11"/>
  <c r="AS90" i="11"/>
  <c r="AR90" i="11"/>
  <c r="AO90" i="11"/>
  <c r="AN90" i="11"/>
  <c r="AM90" i="11"/>
  <c r="AL90" i="11"/>
  <c r="AK90" i="11"/>
  <c r="AJ90" i="11"/>
  <c r="AI90" i="11"/>
  <c r="AH90" i="11"/>
  <c r="AG90" i="11"/>
  <c r="AF90" i="11"/>
  <c r="AE90" i="11"/>
  <c r="AD90" i="11"/>
  <c r="W90" i="11"/>
  <c r="V90" i="11"/>
  <c r="U90" i="11"/>
  <c r="T90" i="11"/>
  <c r="S90" i="11"/>
  <c r="R90" i="11"/>
  <c r="Q90" i="11"/>
  <c r="P90" i="11"/>
  <c r="O90" i="11"/>
  <c r="N90" i="11"/>
  <c r="M90" i="11"/>
  <c r="L90" i="11"/>
  <c r="AS89" i="11"/>
  <c r="AQ89" i="11"/>
  <c r="BI89" i="11" s="1"/>
  <c r="AP89" i="11"/>
  <c r="BH89" i="11" s="1"/>
  <c r="AC89" i="11"/>
  <c r="AU89" i="11" s="1"/>
  <c r="AB89" i="11"/>
  <c r="AT89" i="11" s="1"/>
  <c r="Y89" i="11"/>
  <c r="X89" i="11"/>
  <c r="AT88" i="11"/>
  <c r="BI87" i="11"/>
  <c r="BH87" i="11"/>
  <c r="AU87" i="11"/>
  <c r="AT87" i="11"/>
  <c r="AO87" i="11"/>
  <c r="AN87" i="11"/>
  <c r="AM87" i="11"/>
  <c r="AL87" i="11"/>
  <c r="AK87" i="11"/>
  <c r="AJ87" i="11"/>
  <c r="AI87" i="11"/>
  <c r="AH87" i="11"/>
  <c r="AG87" i="11"/>
  <c r="AF87" i="11"/>
  <c r="AE87" i="11"/>
  <c r="AD87" i="11"/>
  <c r="W87" i="11"/>
  <c r="V87" i="11"/>
  <c r="U87" i="11"/>
  <c r="T87" i="11"/>
  <c r="S87" i="11"/>
  <c r="R87" i="11"/>
  <c r="Q87" i="11"/>
  <c r="P87" i="11"/>
  <c r="O87" i="11"/>
  <c r="N87" i="11"/>
  <c r="M87" i="11"/>
  <c r="L87" i="11"/>
  <c r="BI86" i="11"/>
  <c r="BH86" i="11"/>
  <c r="AU86" i="11"/>
  <c r="AT86" i="11"/>
  <c r="AO86" i="11"/>
  <c r="AN86" i="11"/>
  <c r="AM86" i="11"/>
  <c r="AL86" i="11"/>
  <c r="AK86" i="11"/>
  <c r="AJ86" i="11"/>
  <c r="AI86" i="11"/>
  <c r="AH86" i="11"/>
  <c r="AG86" i="11"/>
  <c r="AF86" i="11"/>
  <c r="AE86" i="11"/>
  <c r="AD86" i="11"/>
  <c r="W86" i="11"/>
  <c r="V86" i="11"/>
  <c r="U86" i="11"/>
  <c r="T86" i="11"/>
  <c r="S86" i="11"/>
  <c r="R86" i="11"/>
  <c r="Q86" i="11"/>
  <c r="P86" i="11"/>
  <c r="O86" i="11"/>
  <c r="N86" i="11"/>
  <c r="M86" i="11"/>
  <c r="L86" i="11"/>
  <c r="BI85" i="11"/>
  <c r="BH85" i="11"/>
  <c r="AU85" i="11"/>
  <c r="AT85" i="11"/>
  <c r="AO85" i="11"/>
  <c r="AN85" i="11"/>
  <c r="AM85" i="11"/>
  <c r="AL85" i="11"/>
  <c r="AK85" i="11"/>
  <c r="AJ85" i="11"/>
  <c r="AI85" i="11"/>
  <c r="AH85" i="11"/>
  <c r="AG85" i="11"/>
  <c r="AF85" i="11"/>
  <c r="AE85" i="11"/>
  <c r="AD85" i="11"/>
  <c r="W85" i="11"/>
  <c r="V85" i="11"/>
  <c r="U85" i="11"/>
  <c r="T85" i="11"/>
  <c r="S85" i="11"/>
  <c r="R85" i="11"/>
  <c r="Q85" i="11"/>
  <c r="P85" i="11"/>
  <c r="O85" i="11"/>
  <c r="N85" i="11"/>
  <c r="M85" i="11"/>
  <c r="L85" i="11"/>
  <c r="BI84" i="11"/>
  <c r="BH84" i="11"/>
  <c r="AU84" i="11"/>
  <c r="AT84" i="11"/>
  <c r="AO84" i="11"/>
  <c r="AN84" i="11"/>
  <c r="AM84" i="11"/>
  <c r="AL84" i="11"/>
  <c r="AK84" i="11"/>
  <c r="AJ84" i="11"/>
  <c r="AI84" i="11"/>
  <c r="AH84" i="11"/>
  <c r="AG84" i="11"/>
  <c r="AF84" i="11"/>
  <c r="AE84" i="11"/>
  <c r="AD84" i="11"/>
  <c r="W84" i="11"/>
  <c r="V84" i="11"/>
  <c r="U84" i="11"/>
  <c r="T84" i="11"/>
  <c r="S84" i="11"/>
  <c r="R84" i="11"/>
  <c r="Q84" i="11"/>
  <c r="P84" i="11"/>
  <c r="O84" i="11"/>
  <c r="N84" i="11"/>
  <c r="M84" i="11"/>
  <c r="L84" i="11"/>
  <c r="BI83" i="11"/>
  <c r="BH83" i="11"/>
  <c r="AU83" i="11"/>
  <c r="AT83" i="11"/>
  <c r="AO83" i="11"/>
  <c r="AN83" i="11"/>
  <c r="AM83" i="11"/>
  <c r="AL83" i="11"/>
  <c r="AK83" i="11"/>
  <c r="AJ83" i="11"/>
  <c r="AI83" i="11"/>
  <c r="AH83" i="11"/>
  <c r="AG83" i="11"/>
  <c r="AF83" i="11"/>
  <c r="AE83" i="11"/>
  <c r="AD83" i="11"/>
  <c r="W83" i="11"/>
  <c r="V83" i="11"/>
  <c r="U83" i="11"/>
  <c r="T83" i="11"/>
  <c r="S83" i="11"/>
  <c r="R83" i="11"/>
  <c r="Q83" i="11"/>
  <c r="P83" i="11"/>
  <c r="O83" i="11"/>
  <c r="N83" i="11"/>
  <c r="M83" i="11"/>
  <c r="L83" i="11"/>
  <c r="BI82" i="11"/>
  <c r="BH82" i="11"/>
  <c r="AU82" i="11"/>
  <c r="AT82" i="11"/>
  <c r="AO82" i="11"/>
  <c r="AN82" i="11"/>
  <c r="AM82" i="11"/>
  <c r="AL82" i="11"/>
  <c r="AK82" i="11"/>
  <c r="AJ82" i="11"/>
  <c r="AI82" i="11"/>
  <c r="AH82" i="11"/>
  <c r="AG82" i="11"/>
  <c r="AF82" i="11"/>
  <c r="AE82" i="11"/>
  <c r="AD82" i="11"/>
  <c r="W82" i="11"/>
  <c r="V82" i="11"/>
  <c r="U82" i="11"/>
  <c r="T82" i="11"/>
  <c r="S82" i="11"/>
  <c r="R82" i="11"/>
  <c r="Q82" i="11"/>
  <c r="P82" i="11"/>
  <c r="O82" i="11"/>
  <c r="N82" i="11"/>
  <c r="M82" i="11"/>
  <c r="L82" i="11"/>
  <c r="BI81" i="11"/>
  <c r="BH81" i="11"/>
  <c r="AU81" i="11"/>
  <c r="AT81" i="11"/>
  <c r="AS81" i="11"/>
  <c r="AR81" i="11"/>
  <c r="AO81" i="11"/>
  <c r="AN81" i="11"/>
  <c r="AM81" i="11"/>
  <c r="AL81" i="11"/>
  <c r="AK81" i="11"/>
  <c r="AJ81" i="11"/>
  <c r="AI81" i="11"/>
  <c r="AH81" i="11"/>
  <c r="AG81" i="11"/>
  <c r="AF81" i="11"/>
  <c r="AE81" i="11"/>
  <c r="AD81" i="11"/>
  <c r="W81" i="11"/>
  <c r="V81" i="11"/>
  <c r="U81" i="11"/>
  <c r="T81" i="11"/>
  <c r="S81" i="11"/>
  <c r="R81" i="11"/>
  <c r="Q81" i="11"/>
  <c r="P81" i="11"/>
  <c r="O81" i="11"/>
  <c r="N81" i="11"/>
  <c r="M81" i="11"/>
  <c r="L81" i="11"/>
  <c r="AS80" i="11"/>
  <c r="AQ80" i="11"/>
  <c r="BI80" i="11" s="1"/>
  <c r="AP80" i="11"/>
  <c r="BH80" i="11" s="1"/>
  <c r="AC80" i="11"/>
  <c r="AU80" i="11" s="1"/>
  <c r="AB80" i="11"/>
  <c r="AT80" i="11" s="1"/>
  <c r="Y80" i="11"/>
  <c r="X80" i="11"/>
  <c r="AT79" i="11"/>
  <c r="W230" i="4" l="1"/>
  <c r="W204" i="4"/>
  <c r="W146" i="4"/>
  <c r="W172" i="4"/>
  <c r="X148" i="4"/>
  <c r="U355" i="4"/>
  <c r="BB95" i="11"/>
  <c r="BC83" i="11"/>
  <c r="BG90" i="11"/>
  <c r="BB83" i="11"/>
  <c r="AV84" i="11"/>
  <c r="BG96" i="11"/>
  <c r="BB92" i="11"/>
  <c r="BD81" i="11"/>
  <c r="BG93" i="11"/>
  <c r="BG84" i="11"/>
  <c r="BA95" i="11"/>
  <c r="BE81" i="11"/>
  <c r="BC92" i="11"/>
  <c r="BC84" i="11"/>
  <c r="AV86" i="11"/>
  <c r="BF96" i="11"/>
  <c r="AX82" i="11"/>
  <c r="BF81" i="11"/>
  <c r="AN89" i="11"/>
  <c r="AY83" i="11"/>
  <c r="BF90" i="11"/>
  <c r="BG81" i="11"/>
  <c r="BE86" i="11"/>
  <c r="AX83" i="11"/>
  <c r="AW94" i="11"/>
  <c r="BE95" i="11"/>
  <c r="AX91" i="11"/>
  <c r="BC85" i="11"/>
  <c r="BB81" i="11"/>
  <c r="BF95" i="11"/>
  <c r="M89" i="11"/>
  <c r="AZ85" i="11"/>
  <c r="AX92" i="11"/>
  <c r="BD93" i="11"/>
  <c r="AY92" i="11"/>
  <c r="BA94" i="11"/>
  <c r="BE83" i="11"/>
  <c r="AV85" i="11"/>
  <c r="AX87" i="11"/>
  <c r="W80" i="11"/>
  <c r="AX96" i="11"/>
  <c r="AV83" i="11"/>
  <c r="AY96" i="11"/>
  <c r="BA87" i="11"/>
  <c r="AL89" i="11"/>
  <c r="N80" i="11"/>
  <c r="AV94" i="11"/>
  <c r="BC93" i="11"/>
  <c r="AZ94" i="11"/>
  <c r="R80" i="11"/>
  <c r="BE91" i="11"/>
  <c r="S80" i="11"/>
  <c r="BE82" i="11"/>
  <c r="BF87" i="11"/>
  <c r="BE90" i="11"/>
  <c r="AW91" i="11"/>
  <c r="BD82" i="11"/>
  <c r="AF80" i="11"/>
  <c r="BD90" i="11"/>
  <c r="AM80" i="11"/>
  <c r="AW82" i="11"/>
  <c r="L80" i="11"/>
  <c r="L79" i="11" s="1"/>
  <c r="AJ80" i="11"/>
  <c r="U89" i="11"/>
  <c r="BA81" i="11"/>
  <c r="AK80" i="11"/>
  <c r="BF91" i="11"/>
  <c r="AV93" i="11"/>
  <c r="BC90" i="11"/>
  <c r="AY86" i="11"/>
  <c r="AX84" i="11"/>
  <c r="U80" i="11"/>
  <c r="N89" i="11"/>
  <c r="AN80" i="11"/>
  <c r="BB86" i="11"/>
  <c r="AV87" i="11"/>
  <c r="AV92" i="11"/>
  <c r="AZ93" i="11"/>
  <c r="BD94" i="11"/>
  <c r="AV95" i="11"/>
  <c r="AW92" i="11"/>
  <c r="BA93" i="11"/>
  <c r="BE94" i="11"/>
  <c r="AW95" i="11"/>
  <c r="BA96" i="11"/>
  <c r="BB93" i="11"/>
  <c r="BF94" i="11"/>
  <c r="AX95" i="11"/>
  <c r="BB96" i="11"/>
  <c r="BG91" i="11"/>
  <c r="BG94" i="11"/>
  <c r="AY95" i="11"/>
  <c r="BC96" i="11"/>
  <c r="L89" i="11"/>
  <c r="L88" i="11" s="1"/>
  <c r="AV91" i="11"/>
  <c r="AZ92" i="11"/>
  <c r="AZ95" i="11"/>
  <c r="BD96" i="11"/>
  <c r="AV90" i="11"/>
  <c r="BA92" i="11"/>
  <c r="BE93" i="11"/>
  <c r="BE96" i="11"/>
  <c r="AW90" i="11"/>
  <c r="BF93" i="11"/>
  <c r="AX94" i="11"/>
  <c r="AX90" i="11"/>
  <c r="O89" i="11"/>
  <c r="AY94" i="11"/>
  <c r="BC95" i="11"/>
  <c r="AY90" i="11"/>
  <c r="P89" i="11"/>
  <c r="AZ91" i="11"/>
  <c r="BD95" i="11"/>
  <c r="AV96" i="11"/>
  <c r="AZ90" i="11"/>
  <c r="Q89" i="11"/>
  <c r="AI89" i="11"/>
  <c r="AM89" i="11"/>
  <c r="AW96" i="11"/>
  <c r="BA90" i="11"/>
  <c r="R89" i="11"/>
  <c r="AJ89" i="11"/>
  <c r="V89" i="11"/>
  <c r="BF92" i="11"/>
  <c r="AX93" i="11"/>
  <c r="BB90" i="11"/>
  <c r="S89" i="11"/>
  <c r="AK89" i="11"/>
  <c r="BG92" i="11"/>
  <c r="AY93" i="11"/>
  <c r="BC94" i="11"/>
  <c r="BD92" i="11"/>
  <c r="AW93" i="11"/>
  <c r="AE89" i="11"/>
  <c r="BB94" i="11"/>
  <c r="AY91" i="11"/>
  <c r="AG89" i="11"/>
  <c r="T89" i="11"/>
  <c r="BG95" i="11"/>
  <c r="AO89" i="11"/>
  <c r="AZ96" i="11"/>
  <c r="W89" i="11"/>
  <c r="AD89" i="11"/>
  <c r="AF89" i="11"/>
  <c r="BA91" i="11"/>
  <c r="BB91" i="11"/>
  <c r="AH89" i="11"/>
  <c r="BC91" i="11"/>
  <c r="BD91" i="11"/>
  <c r="BE92" i="11"/>
  <c r="AZ84" i="11"/>
  <c r="AW85" i="11"/>
  <c r="AZ81" i="11"/>
  <c r="AH80" i="11"/>
  <c r="BB87" i="11"/>
  <c r="BD87" i="11"/>
  <c r="AD80" i="11"/>
  <c r="AD79" i="11" s="1"/>
  <c r="BE87" i="11"/>
  <c r="Q80" i="11"/>
  <c r="AI80" i="11"/>
  <c r="V80" i="11"/>
  <c r="BF83" i="11"/>
  <c r="AY84" i="11"/>
  <c r="BD85" i="11"/>
  <c r="AW86" i="11"/>
  <c r="BC87" i="11"/>
  <c r="BA84" i="11"/>
  <c r="AZ86" i="11"/>
  <c r="BG82" i="11"/>
  <c r="AZ83" i="11"/>
  <c r="BE84" i="11"/>
  <c r="AX85" i="11"/>
  <c r="BC86" i="11"/>
  <c r="AW87" i="11"/>
  <c r="BG83" i="11"/>
  <c r="T80" i="11"/>
  <c r="BG85" i="11"/>
  <c r="BA86" i="11"/>
  <c r="BF82" i="11"/>
  <c r="AV81" i="11"/>
  <c r="AV82" i="11"/>
  <c r="BA83" i="11"/>
  <c r="BF84" i="11"/>
  <c r="AY85" i="11"/>
  <c r="BD86" i="11"/>
  <c r="BC81" i="11"/>
  <c r="BB84" i="11"/>
  <c r="BD84" i="11"/>
  <c r="AW81" i="11"/>
  <c r="AY87" i="11"/>
  <c r="BF85" i="11"/>
  <c r="AX81" i="11"/>
  <c r="BA85" i="11"/>
  <c r="BF86" i="11"/>
  <c r="P80" i="11"/>
  <c r="AZ87" i="11"/>
  <c r="AW83" i="11"/>
  <c r="BG87" i="11"/>
  <c r="AY81" i="11"/>
  <c r="O80" i="11"/>
  <c r="AY82" i="11"/>
  <c r="AZ82" i="11"/>
  <c r="AL80" i="11"/>
  <c r="M80" i="11"/>
  <c r="AE80" i="11"/>
  <c r="BB85" i="11"/>
  <c r="BG86" i="11"/>
  <c r="AO80" i="11"/>
  <c r="BA82" i="11"/>
  <c r="BE85" i="11"/>
  <c r="AX86" i="11"/>
  <c r="AW84" i="11"/>
  <c r="AG80" i="11"/>
  <c r="BB82" i="11"/>
  <c r="BC82" i="11"/>
  <c r="BD83" i="11"/>
  <c r="X172" i="4" l="1"/>
  <c r="X230" i="4"/>
  <c r="D96" i="11"/>
  <c r="BA89" i="11"/>
  <c r="AX80" i="11"/>
  <c r="BB89" i="11"/>
  <c r="M79" i="11"/>
  <c r="N79" i="11" s="1"/>
  <c r="O79" i="11" s="1"/>
  <c r="P79" i="11" s="1"/>
  <c r="Q79" i="11" s="1"/>
  <c r="R79" i="11" s="1"/>
  <c r="S79" i="11" s="1"/>
  <c r="T79" i="11" s="1"/>
  <c r="U79" i="11" s="1"/>
  <c r="V79" i="11" s="1"/>
  <c r="W79" i="11" s="1"/>
  <c r="X79" i="11" s="1"/>
  <c r="Y79" i="11" s="1"/>
  <c r="BE80" i="11"/>
  <c r="BD89" i="11"/>
  <c r="D90" i="11"/>
  <c r="BA80" i="11"/>
  <c r="BE89" i="11"/>
  <c r="D81" i="11"/>
  <c r="C87" i="11"/>
  <c r="BC80" i="11"/>
  <c r="BF89" i="11"/>
  <c r="D93" i="11"/>
  <c r="AW80" i="11"/>
  <c r="BF80" i="11"/>
  <c r="BB80" i="11"/>
  <c r="D95" i="11"/>
  <c r="C81" i="11"/>
  <c r="AW89" i="11"/>
  <c r="C91" i="11"/>
  <c r="BG80" i="11"/>
  <c r="M88" i="11"/>
  <c r="N88" i="11" s="1"/>
  <c r="O88" i="11" s="1"/>
  <c r="P88" i="11" s="1"/>
  <c r="Q88" i="11" s="1"/>
  <c r="R88" i="11" s="1"/>
  <c r="S88" i="11" s="1"/>
  <c r="T88" i="11" s="1"/>
  <c r="U88" i="11" s="1"/>
  <c r="V88" i="11" s="1"/>
  <c r="W88" i="11" s="1"/>
  <c r="X88" i="11" s="1"/>
  <c r="Y88" i="11" s="1"/>
  <c r="C85" i="11"/>
  <c r="AY80" i="11"/>
  <c r="C84" i="11"/>
  <c r="D85" i="11"/>
  <c r="C83" i="11"/>
  <c r="AZ89" i="11"/>
  <c r="C95" i="11"/>
  <c r="C86" i="11"/>
  <c r="BC89" i="11"/>
  <c r="AE79" i="11"/>
  <c r="D86" i="11"/>
  <c r="AZ80" i="11"/>
  <c r="BD80" i="11"/>
  <c r="AX89" i="11"/>
  <c r="C92" i="11"/>
  <c r="C90" i="11"/>
  <c r="C96" i="11"/>
  <c r="D92" i="11"/>
  <c r="AY89" i="11"/>
  <c r="C94" i="11"/>
  <c r="D94" i="11"/>
  <c r="C93" i="11"/>
  <c r="D91" i="11"/>
  <c r="AD88" i="11"/>
  <c r="AV88" i="11" s="1"/>
  <c r="AV89" i="11"/>
  <c r="BG89" i="11"/>
  <c r="AV80" i="11"/>
  <c r="AV79" i="11"/>
  <c r="D87" i="11"/>
  <c r="C82" i="11"/>
  <c r="D83" i="11"/>
  <c r="D84" i="11"/>
  <c r="D82" i="11"/>
  <c r="E91" i="11" l="1"/>
  <c r="AB9" i="8" s="1"/>
  <c r="E95" i="11"/>
  <c r="AF9" i="8" s="1"/>
  <c r="AW79" i="11"/>
  <c r="E81" i="11"/>
  <c r="Z8" i="8" s="1"/>
  <c r="E92" i="11"/>
  <c r="AC9" i="8" s="1"/>
  <c r="E87" i="11"/>
  <c r="AG8" i="8" s="1"/>
  <c r="E93" i="11"/>
  <c r="AD9" i="8" s="1"/>
  <c r="E90" i="11"/>
  <c r="Z9" i="8" s="1"/>
  <c r="D80" i="11"/>
  <c r="E85" i="11"/>
  <c r="AE8" i="8" s="1"/>
  <c r="E86" i="11"/>
  <c r="AF8" i="8" s="1"/>
  <c r="E84" i="11"/>
  <c r="AD8" i="8" s="1"/>
  <c r="E96" i="11"/>
  <c r="AG9" i="8" s="1"/>
  <c r="AF79" i="11"/>
  <c r="AG79" i="11" s="1"/>
  <c r="C80" i="11"/>
  <c r="E83" i="11"/>
  <c r="AC8" i="8" s="1"/>
  <c r="D89" i="11"/>
  <c r="C89" i="11"/>
  <c r="E94" i="11"/>
  <c r="AE9" i="8" s="1"/>
  <c r="AE88" i="11"/>
  <c r="E82" i="11"/>
  <c r="AB8" i="8" s="1"/>
  <c r="E80" i="11" l="1"/>
  <c r="AA8" i="8" s="1"/>
  <c r="AX79" i="11"/>
  <c r="E89" i="11"/>
  <c r="AA9" i="8" s="1"/>
  <c r="AW88" i="11"/>
  <c r="AF88" i="11"/>
  <c r="AY79" i="11"/>
  <c r="AH79" i="11"/>
  <c r="AX88" i="11" l="1"/>
  <c r="AG88" i="11"/>
  <c r="AI79" i="11"/>
  <c r="AZ79" i="11"/>
  <c r="AY88" i="11" l="1"/>
  <c r="AH88" i="11"/>
  <c r="BA79" i="11"/>
  <c r="C79" i="11"/>
  <c r="AJ79" i="11"/>
  <c r="AZ88" i="11" l="1"/>
  <c r="AI88" i="11"/>
  <c r="BB79" i="11"/>
  <c r="AK79" i="11"/>
  <c r="BA88" i="11" l="1"/>
  <c r="C88" i="11"/>
  <c r="AJ88" i="11"/>
  <c r="AL79" i="11"/>
  <c r="BC79" i="11"/>
  <c r="BB88" i="11" l="1"/>
  <c r="AK88" i="11"/>
  <c r="AM79" i="11"/>
  <c r="BD79" i="11"/>
  <c r="AL88" i="11" l="1"/>
  <c r="BC88" i="11"/>
  <c r="BE79" i="11"/>
  <c r="AN79" i="11"/>
  <c r="AM88" i="11" l="1"/>
  <c r="BD88" i="11"/>
  <c r="AO79" i="11"/>
  <c r="BF79" i="11"/>
  <c r="AN88" i="11" l="1"/>
  <c r="BE88" i="11"/>
  <c r="AP79" i="11"/>
  <c r="BG79" i="11"/>
  <c r="AO88" i="11" l="1"/>
  <c r="BF88" i="11"/>
  <c r="AQ79" i="11"/>
  <c r="BH79" i="11"/>
  <c r="AP88" i="11" l="1"/>
  <c r="BG88" i="11"/>
  <c r="D79" i="11"/>
  <c r="E79" i="11" s="1"/>
  <c r="BI79" i="11"/>
  <c r="AR79" i="11"/>
  <c r="AS79" i="11" s="1"/>
  <c r="BH88" i="11" l="1"/>
  <c r="AQ88" i="11"/>
  <c r="D88" i="11" l="1"/>
  <c r="E88" i="11" s="1"/>
  <c r="BI88" i="11"/>
  <c r="AR88" i="11"/>
  <c r="AS88" i="11" s="1"/>
  <c r="AO78" i="11" l="1"/>
  <c r="AN78" i="11"/>
  <c r="AM78" i="11"/>
  <c r="AL78" i="11"/>
  <c r="AK78" i="11"/>
  <c r="AJ78" i="11"/>
  <c r="AI78" i="11"/>
  <c r="AH78" i="11"/>
  <c r="AG78" i="11"/>
  <c r="AF78" i="11"/>
  <c r="AE78" i="11"/>
  <c r="AD78" i="11"/>
  <c r="AO77" i="11"/>
  <c r="AN77" i="11"/>
  <c r="AM77" i="11"/>
  <c r="AL77" i="11"/>
  <c r="AK77" i="11"/>
  <c r="AJ77" i="11"/>
  <c r="AI77" i="11"/>
  <c r="AH77" i="11"/>
  <c r="AG77" i="11"/>
  <c r="AF77" i="11"/>
  <c r="AE77" i="11"/>
  <c r="AD77" i="11"/>
  <c r="AO76" i="11"/>
  <c r="AN76" i="11"/>
  <c r="AM76" i="11"/>
  <c r="AL76" i="11"/>
  <c r="AK76" i="11"/>
  <c r="AJ76" i="11"/>
  <c r="AI76" i="11"/>
  <c r="AH76" i="11"/>
  <c r="AG76" i="11"/>
  <c r="AF76" i="11"/>
  <c r="AE76" i="11"/>
  <c r="AD76" i="11"/>
  <c r="AO75" i="11"/>
  <c r="AN75" i="11"/>
  <c r="AM75" i="11"/>
  <c r="AL75" i="11"/>
  <c r="AK75" i="11"/>
  <c r="AJ75" i="11"/>
  <c r="AI75" i="11"/>
  <c r="AH75" i="11"/>
  <c r="AG75" i="11"/>
  <c r="AF75" i="11"/>
  <c r="AE75" i="11"/>
  <c r="AD75" i="11"/>
  <c r="AO74" i="11"/>
  <c r="AN74" i="11"/>
  <c r="AM74" i="11"/>
  <c r="AL74" i="11"/>
  <c r="AK74" i="11"/>
  <c r="AJ74" i="11"/>
  <c r="AI74" i="11"/>
  <c r="AH74" i="11"/>
  <c r="AG74" i="11"/>
  <c r="AF74" i="11"/>
  <c r="AE74" i="11"/>
  <c r="AD74" i="11"/>
  <c r="AM73" i="11"/>
  <c r="AL73" i="11"/>
  <c r="AK73" i="11"/>
  <c r="AJ73" i="11"/>
  <c r="AI73" i="11"/>
  <c r="AH73" i="11"/>
  <c r="AG73" i="11"/>
  <c r="AF73" i="11"/>
  <c r="AE73" i="11"/>
  <c r="AD73" i="11"/>
  <c r="AO72" i="11"/>
  <c r="AN72" i="11"/>
  <c r="AM72" i="11"/>
  <c r="AL72" i="11"/>
  <c r="AK72" i="11"/>
  <c r="AJ72" i="11"/>
  <c r="AI72" i="11"/>
  <c r="AH72" i="11"/>
  <c r="AG72" i="11"/>
  <c r="AF72" i="11"/>
  <c r="AE72" i="11"/>
  <c r="AD72" i="11"/>
  <c r="W78" i="11"/>
  <c r="V78" i="11"/>
  <c r="U78" i="11"/>
  <c r="T78" i="11"/>
  <c r="S78" i="11"/>
  <c r="R78" i="11"/>
  <c r="Q78" i="11"/>
  <c r="P78" i="11"/>
  <c r="O78" i="11"/>
  <c r="N78" i="11"/>
  <c r="M78" i="11"/>
  <c r="L78" i="11"/>
  <c r="W77" i="11"/>
  <c r="V77" i="11"/>
  <c r="U77" i="11"/>
  <c r="T77" i="11"/>
  <c r="S77" i="11"/>
  <c r="R77" i="11"/>
  <c r="Q77" i="11"/>
  <c r="P77" i="11"/>
  <c r="O77" i="11"/>
  <c r="N77" i="11"/>
  <c r="M77" i="11"/>
  <c r="L77" i="11"/>
  <c r="W76" i="11"/>
  <c r="V76" i="11"/>
  <c r="U76" i="11"/>
  <c r="T76" i="11"/>
  <c r="S76" i="11"/>
  <c r="R76" i="11"/>
  <c r="Q76" i="11"/>
  <c r="P76" i="11"/>
  <c r="O76" i="11"/>
  <c r="N76" i="11"/>
  <c r="M76" i="11"/>
  <c r="L76" i="11"/>
  <c r="W75" i="11"/>
  <c r="V75" i="11"/>
  <c r="U75" i="11"/>
  <c r="T75" i="11"/>
  <c r="S75" i="11"/>
  <c r="R75" i="11"/>
  <c r="Q75" i="11"/>
  <c r="P75" i="11"/>
  <c r="O75" i="11"/>
  <c r="N75" i="11"/>
  <c r="M75" i="11"/>
  <c r="L75" i="11"/>
  <c r="W74" i="11"/>
  <c r="V74" i="11"/>
  <c r="U74" i="11"/>
  <c r="T74" i="11"/>
  <c r="S74" i="11"/>
  <c r="R74" i="11"/>
  <c r="Q74" i="11"/>
  <c r="P74" i="11"/>
  <c r="O74" i="11"/>
  <c r="N74" i="11"/>
  <c r="M74" i="11"/>
  <c r="L74" i="11"/>
  <c r="W73" i="11"/>
  <c r="V73" i="11"/>
  <c r="U73" i="11"/>
  <c r="T73" i="11"/>
  <c r="S73" i="11"/>
  <c r="R73" i="11"/>
  <c r="Q73" i="11"/>
  <c r="P73" i="11"/>
  <c r="O73" i="11"/>
  <c r="N73" i="11"/>
  <c r="M73" i="11"/>
  <c r="L73" i="11"/>
  <c r="W72" i="11"/>
  <c r="V72" i="11"/>
  <c r="U72" i="11"/>
  <c r="T72" i="11"/>
  <c r="S72" i="11"/>
  <c r="R72" i="11"/>
  <c r="Q72" i="11"/>
  <c r="P72" i="11"/>
  <c r="O72" i="11"/>
  <c r="N72" i="11"/>
  <c r="M72" i="11"/>
  <c r="L72" i="11"/>
  <c r="O178" i="5"/>
  <c r="N178" i="5"/>
  <c r="M178" i="5"/>
  <c r="L178" i="5"/>
  <c r="K178" i="5"/>
  <c r="J178" i="5"/>
  <c r="I178" i="5"/>
  <c r="H178" i="5"/>
  <c r="G178" i="5"/>
  <c r="F178" i="5"/>
  <c r="E178" i="5"/>
  <c r="D178" i="5"/>
  <c r="O159" i="5"/>
  <c r="N159" i="5"/>
  <c r="L159" i="5"/>
  <c r="K159" i="5"/>
  <c r="J159" i="5"/>
  <c r="I159" i="5"/>
  <c r="H159" i="5"/>
  <c r="G159" i="5"/>
  <c r="F159" i="5"/>
  <c r="E159" i="5"/>
  <c r="D159" i="5"/>
  <c r="O140" i="5"/>
  <c r="N140" i="5"/>
  <c r="M140" i="5"/>
  <c r="L140" i="5"/>
  <c r="K140" i="5"/>
  <c r="J140" i="5"/>
  <c r="I140" i="5"/>
  <c r="H140" i="5"/>
  <c r="G140" i="5"/>
  <c r="F140" i="5"/>
  <c r="E140" i="5"/>
  <c r="D140" i="5"/>
  <c r="O121" i="5"/>
  <c r="N121" i="5"/>
  <c r="L121" i="5"/>
  <c r="K121" i="5"/>
  <c r="J121" i="5"/>
  <c r="I121" i="5"/>
  <c r="H121" i="5"/>
  <c r="G121" i="5"/>
  <c r="F121" i="5"/>
  <c r="E121" i="5"/>
  <c r="D121" i="5"/>
  <c r="O102" i="5"/>
  <c r="N102" i="5"/>
  <c r="M102" i="5"/>
  <c r="L102" i="5"/>
  <c r="K102" i="5"/>
  <c r="J102" i="5"/>
  <c r="I102" i="5"/>
  <c r="H102" i="5"/>
  <c r="G102" i="5"/>
  <c r="F102" i="5"/>
  <c r="E102" i="5"/>
  <c r="D102" i="5"/>
  <c r="O101" i="5"/>
  <c r="N101" i="5"/>
  <c r="M101" i="5"/>
  <c r="L101" i="5"/>
  <c r="K101" i="5"/>
  <c r="J101" i="5"/>
  <c r="I101" i="5"/>
  <c r="H101" i="5"/>
  <c r="G101" i="5"/>
  <c r="F101" i="5"/>
  <c r="E101" i="5"/>
  <c r="D101" i="5"/>
  <c r="O83" i="5"/>
  <c r="N83" i="5"/>
  <c r="M83" i="5"/>
  <c r="L83" i="5"/>
  <c r="K83" i="5"/>
  <c r="J83" i="5"/>
  <c r="I83" i="5"/>
  <c r="H83" i="5"/>
  <c r="G83" i="5"/>
  <c r="F83" i="5"/>
  <c r="E83" i="5"/>
  <c r="D83" i="5"/>
  <c r="O82" i="5"/>
  <c r="N82" i="5"/>
  <c r="M82" i="5"/>
  <c r="L82" i="5"/>
  <c r="K82" i="5"/>
  <c r="J82" i="5"/>
  <c r="I82" i="5"/>
  <c r="H82" i="5"/>
  <c r="G82" i="5"/>
  <c r="F82" i="5"/>
  <c r="E82" i="5"/>
  <c r="D82" i="5"/>
  <c r="O64" i="5"/>
  <c r="N64" i="5"/>
  <c r="M64" i="5"/>
  <c r="L64" i="5"/>
  <c r="K64" i="5"/>
  <c r="J64" i="5"/>
  <c r="I64" i="5"/>
  <c r="H64" i="5"/>
  <c r="G64" i="5"/>
  <c r="F64" i="5"/>
  <c r="E64" i="5"/>
  <c r="D64" i="5"/>
  <c r="O63" i="5"/>
  <c r="N63" i="5"/>
  <c r="M63" i="5"/>
  <c r="L63" i="5"/>
  <c r="K63" i="5"/>
  <c r="J63" i="5"/>
  <c r="I63" i="5"/>
  <c r="H63" i="5"/>
  <c r="G63" i="5"/>
  <c r="F63" i="5"/>
  <c r="E63" i="5"/>
  <c r="D63" i="5"/>
  <c r="O45" i="5"/>
  <c r="N45" i="5"/>
  <c r="M45" i="5"/>
  <c r="L45" i="5"/>
  <c r="K45" i="5"/>
  <c r="J45" i="5"/>
  <c r="I45" i="5"/>
  <c r="H45" i="5"/>
  <c r="G45" i="5"/>
  <c r="F45" i="5"/>
  <c r="E45" i="5"/>
  <c r="D45" i="5"/>
  <c r="O44" i="5"/>
  <c r="N44" i="5"/>
  <c r="M44" i="5"/>
  <c r="L44" i="5"/>
  <c r="K44" i="5"/>
  <c r="J44" i="5"/>
  <c r="I44" i="5"/>
  <c r="H44" i="5"/>
  <c r="G44" i="5"/>
  <c r="F44" i="5"/>
  <c r="E44" i="5"/>
  <c r="D44" i="5"/>
  <c r="O27" i="5"/>
  <c r="N27" i="5"/>
  <c r="L27" i="5"/>
  <c r="K27" i="5"/>
  <c r="J27" i="5"/>
  <c r="I27" i="5"/>
  <c r="H27" i="5"/>
  <c r="G27" i="5"/>
  <c r="F27" i="5"/>
  <c r="E27" i="5"/>
  <c r="D27" i="5"/>
  <c r="M9" i="5"/>
  <c r="L9" i="5"/>
  <c r="K9" i="5"/>
  <c r="I9" i="5"/>
  <c r="H9" i="5"/>
  <c r="G9" i="5"/>
  <c r="F9" i="5"/>
  <c r="E9" i="5"/>
  <c r="D9" i="5"/>
  <c r="O8" i="5"/>
  <c r="N8" i="5"/>
  <c r="M8" i="5"/>
  <c r="L8" i="5"/>
  <c r="K8" i="5"/>
  <c r="J8" i="5"/>
  <c r="I8" i="5"/>
  <c r="H8" i="5"/>
  <c r="G8" i="5"/>
  <c r="F8" i="5"/>
  <c r="E8" i="5"/>
  <c r="D8" i="5"/>
  <c r="AB33" i="8"/>
  <c r="AE38" i="8"/>
  <c r="AD38" i="8"/>
  <c r="AC38" i="8"/>
  <c r="AG37" i="8"/>
  <c r="AG38" i="8" s="1"/>
  <c r="AF37" i="8"/>
  <c r="AF38" i="8" s="1"/>
  <c r="AE37" i="8"/>
  <c r="AD37" i="8"/>
  <c r="AC37" i="8"/>
  <c r="AB37" i="8"/>
  <c r="AG36" i="8"/>
  <c r="AF36" i="8"/>
  <c r="AE36" i="8"/>
  <c r="AD36" i="8"/>
  <c r="AC36" i="8"/>
  <c r="AB36" i="8"/>
  <c r="AH36" i="8" s="1"/>
  <c r="AC33" i="8"/>
  <c r="AD33" i="8"/>
  <c r="AE33" i="8"/>
  <c r="AF33" i="8"/>
  <c r="AG33" i="8"/>
  <c r="AH32" i="8"/>
  <c r="AH33" i="8" s="1"/>
  <c r="AH31" i="8"/>
  <c r="AB38" i="8" l="1"/>
  <c r="AH37" i="8"/>
  <c r="AH38" i="8" s="1"/>
  <c r="G357" i="4"/>
  <c r="H357" i="4" s="1"/>
  <c r="I357" i="4" s="1"/>
  <c r="J357" i="4" s="1"/>
  <c r="K357" i="4" s="1"/>
  <c r="L357" i="4" s="1"/>
  <c r="M357" i="4" s="1"/>
  <c r="N357" i="4" s="1"/>
  <c r="O357" i="4" s="1"/>
  <c r="P357" i="4" s="1"/>
  <c r="Q357" i="4" s="1"/>
  <c r="R357" i="4" s="1"/>
  <c r="S60" i="6" l="1"/>
  <c r="S371" i="6" l="1"/>
  <c r="Y21" i="8"/>
  <c r="Y19" i="8"/>
  <c r="L44" i="11"/>
  <c r="L45" i="11"/>
  <c r="L46" i="11"/>
  <c r="L47" i="11"/>
  <c r="L48" i="11"/>
  <c r="L49" i="11"/>
  <c r="AM44" i="11"/>
  <c r="AM43" i="11"/>
  <c r="S12" i="8"/>
  <c r="S5" i="8"/>
  <c r="S6" i="8"/>
  <c r="S7" i="8"/>
  <c r="S10" i="8"/>
  <c r="S11" i="8"/>
  <c r="AB62" i="11"/>
  <c r="AC62" i="11"/>
  <c r="AD62" i="11"/>
  <c r="AE62" i="11"/>
  <c r="AF62" i="11"/>
  <c r="AG62" i="11"/>
  <c r="AH62" i="11"/>
  <c r="AI62" i="11"/>
  <c r="AJ62" i="11"/>
  <c r="AK62" i="11"/>
  <c r="AL62" i="11"/>
  <c r="AM62" i="11"/>
  <c r="AN62" i="11"/>
  <c r="AO62" i="11"/>
  <c r="AP62" i="11"/>
  <c r="AQ62" i="11"/>
  <c r="AB63" i="11"/>
  <c r="AT63" i="11" s="1"/>
  <c r="AC63" i="11"/>
  <c r="AD63" i="11"/>
  <c r="AE63" i="11"/>
  <c r="AF63" i="11"/>
  <c r="AG63" i="11"/>
  <c r="AH63" i="11"/>
  <c r="AI63" i="11"/>
  <c r="AJ63" i="11"/>
  <c r="AK63" i="11"/>
  <c r="AL63" i="11"/>
  <c r="AM63" i="11"/>
  <c r="AN63" i="11"/>
  <c r="AP63" i="11"/>
  <c r="AQ63" i="11"/>
  <c r="AB64" i="11"/>
  <c r="AC64" i="11"/>
  <c r="AD64" i="11"/>
  <c r="AE64" i="11"/>
  <c r="AF64" i="11"/>
  <c r="AG64" i="11"/>
  <c r="AH64" i="11"/>
  <c r="AI64" i="11"/>
  <c r="AJ64" i="11"/>
  <c r="AK64" i="11"/>
  <c r="AL64" i="11"/>
  <c r="AM64" i="11"/>
  <c r="AN64" i="11"/>
  <c r="AO64" i="11"/>
  <c r="AP64" i="11"/>
  <c r="AQ64" i="11"/>
  <c r="AB65" i="11"/>
  <c r="AC65" i="11"/>
  <c r="AD65" i="11"/>
  <c r="AE65" i="11"/>
  <c r="AF65" i="11"/>
  <c r="AG65" i="11"/>
  <c r="AH65" i="11"/>
  <c r="AI65" i="11"/>
  <c r="AJ65" i="11"/>
  <c r="AK65" i="11"/>
  <c r="AL65" i="11"/>
  <c r="AM65" i="11"/>
  <c r="AN65" i="11"/>
  <c r="AO65" i="11"/>
  <c r="AP65" i="11"/>
  <c r="AQ65" i="11"/>
  <c r="AB66" i="11"/>
  <c r="AC66" i="11"/>
  <c r="AD66" i="11"/>
  <c r="AE66" i="11"/>
  <c r="AF66" i="11"/>
  <c r="AG66" i="11"/>
  <c r="AH66" i="11"/>
  <c r="AI66" i="11"/>
  <c r="AJ66" i="11"/>
  <c r="AK66" i="11"/>
  <c r="AL66" i="11"/>
  <c r="AM66" i="11"/>
  <c r="AN66" i="11"/>
  <c r="AO66" i="11"/>
  <c r="AP66" i="11"/>
  <c r="AQ66" i="11"/>
  <c r="AB67" i="11"/>
  <c r="AC67" i="11"/>
  <c r="AD67" i="11"/>
  <c r="AE67" i="11"/>
  <c r="AF67" i="11"/>
  <c r="AG67" i="11"/>
  <c r="AH67" i="11"/>
  <c r="AI67" i="11"/>
  <c r="AJ67" i="11"/>
  <c r="AK67" i="11"/>
  <c r="AL67" i="11"/>
  <c r="AM67" i="11"/>
  <c r="AN67" i="11"/>
  <c r="AO67" i="11"/>
  <c r="AP67" i="11"/>
  <c r="AQ67" i="11"/>
  <c r="AB53" i="11"/>
  <c r="AC53" i="11"/>
  <c r="AD53" i="11"/>
  <c r="AE53" i="11"/>
  <c r="AF53" i="11"/>
  <c r="AG53" i="11"/>
  <c r="AH53" i="11"/>
  <c r="AI53" i="11"/>
  <c r="AJ53" i="11"/>
  <c r="AK53" i="11"/>
  <c r="AL53" i="11"/>
  <c r="AM53" i="11"/>
  <c r="AN53" i="11"/>
  <c r="AO53" i="11"/>
  <c r="AP53" i="11"/>
  <c r="AQ53" i="11"/>
  <c r="AB54" i="11"/>
  <c r="AC54" i="11"/>
  <c r="AD54" i="11"/>
  <c r="AE54" i="11"/>
  <c r="AF54" i="11"/>
  <c r="AG54" i="11"/>
  <c r="AH54" i="11"/>
  <c r="AI54" i="11"/>
  <c r="AJ54" i="11"/>
  <c r="AK54" i="11"/>
  <c r="AL54" i="11"/>
  <c r="AM54" i="11"/>
  <c r="AN54" i="11"/>
  <c r="AP54" i="11"/>
  <c r="AQ54" i="11"/>
  <c r="AB55" i="11"/>
  <c r="AC55" i="11"/>
  <c r="AD55" i="11"/>
  <c r="AE55" i="11"/>
  <c r="AF55" i="11"/>
  <c r="AG55" i="11"/>
  <c r="AH55" i="11"/>
  <c r="AI55" i="11"/>
  <c r="AJ55" i="11"/>
  <c r="AK55" i="11"/>
  <c r="AL55" i="11"/>
  <c r="AM55" i="11"/>
  <c r="AN55" i="11"/>
  <c r="AO55" i="11"/>
  <c r="AP55" i="11"/>
  <c r="AQ55" i="11"/>
  <c r="AB56" i="11"/>
  <c r="AC56" i="11"/>
  <c r="AD56" i="11"/>
  <c r="AE56" i="11"/>
  <c r="AF56" i="11"/>
  <c r="AG56" i="11"/>
  <c r="AH56" i="11"/>
  <c r="AI56" i="11"/>
  <c r="AJ56" i="11"/>
  <c r="AK56" i="11"/>
  <c r="AL56" i="11"/>
  <c r="AM56" i="11"/>
  <c r="AN56" i="11"/>
  <c r="AO56" i="11"/>
  <c r="AP56" i="11"/>
  <c r="AQ56" i="11"/>
  <c r="AB57" i="11"/>
  <c r="AC57" i="11"/>
  <c r="AD57" i="11"/>
  <c r="AE57" i="11"/>
  <c r="AF57" i="11"/>
  <c r="AG57" i="11"/>
  <c r="AH57" i="11"/>
  <c r="AI57" i="11"/>
  <c r="AJ57" i="11"/>
  <c r="AK57" i="11"/>
  <c r="AL57" i="11"/>
  <c r="AM57" i="11"/>
  <c r="AN57" i="11"/>
  <c r="AO57" i="11"/>
  <c r="AP57" i="11"/>
  <c r="AQ57" i="11"/>
  <c r="AB58" i="11"/>
  <c r="AC58" i="11"/>
  <c r="AD58" i="11"/>
  <c r="AE58" i="11"/>
  <c r="AF58" i="11"/>
  <c r="AG58" i="11"/>
  <c r="AH58" i="11"/>
  <c r="AI58" i="11"/>
  <c r="AJ58" i="11"/>
  <c r="AK58" i="11"/>
  <c r="AL58" i="11"/>
  <c r="AM58" i="11"/>
  <c r="AN58" i="11"/>
  <c r="AO58" i="11"/>
  <c r="AP58" i="11"/>
  <c r="AQ58" i="11"/>
  <c r="AB44" i="11"/>
  <c r="AC44" i="11"/>
  <c r="AD44" i="11"/>
  <c r="AE44" i="11"/>
  <c r="AF44" i="11"/>
  <c r="AG44" i="11"/>
  <c r="AH44" i="11"/>
  <c r="AI44" i="11"/>
  <c r="AJ44" i="11"/>
  <c r="AK44" i="11"/>
  <c r="AL44" i="11"/>
  <c r="AN44" i="11"/>
  <c r="AO44" i="11"/>
  <c r="AP44" i="11"/>
  <c r="AQ44" i="11"/>
  <c r="AB45" i="11"/>
  <c r="AC45" i="11"/>
  <c r="AD45" i="11"/>
  <c r="AE45" i="11"/>
  <c r="AF45" i="11"/>
  <c r="AG45" i="11"/>
  <c r="AH45" i="11"/>
  <c r="AI45" i="11"/>
  <c r="AJ45" i="11"/>
  <c r="AK45" i="11"/>
  <c r="AL45" i="11"/>
  <c r="AM45" i="11"/>
  <c r="AN45" i="11"/>
  <c r="AP45" i="11"/>
  <c r="AQ45" i="11"/>
  <c r="AB46" i="11"/>
  <c r="AC46" i="11"/>
  <c r="AD46" i="11"/>
  <c r="AE46" i="11"/>
  <c r="AF46" i="11"/>
  <c r="AG46" i="11"/>
  <c r="AH46" i="11"/>
  <c r="AI46" i="11"/>
  <c r="AJ46" i="11"/>
  <c r="AK46" i="11"/>
  <c r="AL46" i="11"/>
  <c r="AM46" i="11"/>
  <c r="AN46" i="11"/>
  <c r="AO46" i="11"/>
  <c r="AP46" i="11"/>
  <c r="AQ46" i="11"/>
  <c r="AB47" i="11"/>
  <c r="AC47" i="11"/>
  <c r="AD47" i="11"/>
  <c r="AE47" i="11"/>
  <c r="AF47" i="11"/>
  <c r="AG47" i="11"/>
  <c r="AH47" i="11"/>
  <c r="AI47" i="11"/>
  <c r="AJ47" i="11"/>
  <c r="AK47" i="11"/>
  <c r="AL47" i="11"/>
  <c r="AM47" i="11"/>
  <c r="AN47" i="11"/>
  <c r="AO47" i="11"/>
  <c r="AP47" i="11"/>
  <c r="AQ47" i="11"/>
  <c r="AB48" i="11"/>
  <c r="AC48" i="11"/>
  <c r="AD48" i="11"/>
  <c r="AE48" i="11"/>
  <c r="AF48" i="11"/>
  <c r="AG48" i="11"/>
  <c r="AH48" i="11"/>
  <c r="AI48" i="11"/>
  <c r="AJ48" i="11"/>
  <c r="AK48" i="11"/>
  <c r="AL48" i="11"/>
  <c r="AM48" i="11"/>
  <c r="AN48" i="11"/>
  <c r="AO48" i="11"/>
  <c r="AP48" i="11"/>
  <c r="AQ48" i="11"/>
  <c r="AB49" i="11"/>
  <c r="AT49" i="11" s="1"/>
  <c r="AC49" i="11"/>
  <c r="AD49" i="11"/>
  <c r="AE49" i="11"/>
  <c r="AF49" i="11"/>
  <c r="AG49" i="11"/>
  <c r="AH49" i="11"/>
  <c r="AI49" i="11"/>
  <c r="AJ49" i="11"/>
  <c r="AK49" i="11"/>
  <c r="AL49" i="11"/>
  <c r="AM49" i="11"/>
  <c r="AN49" i="11"/>
  <c r="AO49" i="11"/>
  <c r="AP49" i="11"/>
  <c r="AQ49" i="11"/>
  <c r="AB35" i="11"/>
  <c r="AC35" i="11"/>
  <c r="AD35" i="11"/>
  <c r="AE35" i="11"/>
  <c r="AF35" i="11"/>
  <c r="AG35" i="11"/>
  <c r="AH35" i="11"/>
  <c r="AI35" i="11"/>
  <c r="AJ35" i="11"/>
  <c r="AK35" i="11"/>
  <c r="AL35" i="11"/>
  <c r="AM35" i="11"/>
  <c r="AN35" i="11"/>
  <c r="AO35" i="11"/>
  <c r="AP35" i="11"/>
  <c r="AQ35" i="11"/>
  <c r="AB36" i="11"/>
  <c r="AC36" i="11"/>
  <c r="AD36" i="11"/>
  <c r="AE36" i="11"/>
  <c r="AF36" i="11"/>
  <c r="AG36" i="11"/>
  <c r="AH36" i="11"/>
  <c r="AI36" i="11"/>
  <c r="AJ36" i="11"/>
  <c r="AK36" i="11"/>
  <c r="AL36" i="11"/>
  <c r="AM36" i="11"/>
  <c r="AN36" i="11"/>
  <c r="AO36" i="11"/>
  <c r="AP36" i="11"/>
  <c r="AQ36" i="11"/>
  <c r="AB37" i="11"/>
  <c r="AC37" i="11"/>
  <c r="AD37" i="11"/>
  <c r="AE37" i="11"/>
  <c r="AF37" i="11"/>
  <c r="AG37" i="11"/>
  <c r="AH37" i="11"/>
  <c r="AI37" i="11"/>
  <c r="AJ37" i="11"/>
  <c r="AK37" i="11"/>
  <c r="AL37" i="11"/>
  <c r="AM37" i="11"/>
  <c r="AN37" i="11"/>
  <c r="AO37" i="11"/>
  <c r="AP37" i="11"/>
  <c r="AQ37" i="11"/>
  <c r="AB38" i="11"/>
  <c r="AC38" i="11"/>
  <c r="AD38" i="11"/>
  <c r="AE38" i="11"/>
  <c r="AF38" i="11"/>
  <c r="AG38" i="11"/>
  <c r="AH38" i="11"/>
  <c r="AI38" i="11"/>
  <c r="AJ38" i="11"/>
  <c r="AK38" i="11"/>
  <c r="AL38" i="11"/>
  <c r="AM38" i="11"/>
  <c r="AN38" i="11"/>
  <c r="AO38" i="11"/>
  <c r="AP38" i="11"/>
  <c r="AQ38" i="11"/>
  <c r="AB39" i="11"/>
  <c r="AC39" i="11"/>
  <c r="AD39" i="11"/>
  <c r="AE39" i="11"/>
  <c r="AF39" i="11"/>
  <c r="AG39" i="11"/>
  <c r="AH39" i="11"/>
  <c r="AI39" i="11"/>
  <c r="AJ39" i="11"/>
  <c r="AK39" i="11"/>
  <c r="AL39" i="11"/>
  <c r="AM39" i="11"/>
  <c r="AN39" i="11"/>
  <c r="AO39" i="11"/>
  <c r="AP39" i="11"/>
  <c r="AQ39" i="11"/>
  <c r="AB40" i="11"/>
  <c r="AC40" i="11"/>
  <c r="AD40" i="11"/>
  <c r="AE40" i="11"/>
  <c r="AF40" i="11"/>
  <c r="AG40" i="11"/>
  <c r="AH40" i="11"/>
  <c r="AI40" i="11"/>
  <c r="AJ40" i="11"/>
  <c r="AK40" i="11"/>
  <c r="AL40" i="11"/>
  <c r="AM40" i="11"/>
  <c r="AN40" i="11"/>
  <c r="AO40" i="11"/>
  <c r="AP40" i="11"/>
  <c r="AQ40" i="11"/>
  <c r="AB26" i="11"/>
  <c r="AC26" i="11"/>
  <c r="AD26" i="11"/>
  <c r="AE26" i="11"/>
  <c r="AF26" i="11"/>
  <c r="AG26" i="11"/>
  <c r="AH26" i="11"/>
  <c r="AI26" i="11"/>
  <c r="AJ26" i="11"/>
  <c r="AK26" i="11"/>
  <c r="AL26" i="11"/>
  <c r="AM26" i="11"/>
  <c r="AN26" i="11"/>
  <c r="AO26" i="11"/>
  <c r="AP26" i="11"/>
  <c r="AQ26" i="11"/>
  <c r="AB27" i="11"/>
  <c r="AC27" i="11"/>
  <c r="AD27" i="11"/>
  <c r="AE27" i="11"/>
  <c r="AF27" i="11"/>
  <c r="AG27" i="11"/>
  <c r="AH27" i="11"/>
  <c r="AI27" i="11"/>
  <c r="AJ27" i="11"/>
  <c r="AK27" i="11"/>
  <c r="AL27" i="11"/>
  <c r="AM27" i="11"/>
  <c r="AN27" i="11"/>
  <c r="AO27" i="11"/>
  <c r="AP27" i="11"/>
  <c r="AQ27" i="11"/>
  <c r="AB28" i="11"/>
  <c r="AC28" i="11"/>
  <c r="AD28" i="11"/>
  <c r="AE28" i="11"/>
  <c r="AF28" i="11"/>
  <c r="AG28" i="11"/>
  <c r="AH28" i="11"/>
  <c r="AI28" i="11"/>
  <c r="AJ28" i="11"/>
  <c r="AK28" i="11"/>
  <c r="AL28" i="11"/>
  <c r="AM28" i="11"/>
  <c r="AN28" i="11"/>
  <c r="AO28" i="11"/>
  <c r="AP28" i="11"/>
  <c r="AQ28" i="11"/>
  <c r="AB29" i="11"/>
  <c r="AC29" i="11"/>
  <c r="AD29" i="11"/>
  <c r="AE29" i="11"/>
  <c r="AF29" i="11"/>
  <c r="AG29" i="11"/>
  <c r="AH29" i="11"/>
  <c r="AI29" i="11"/>
  <c r="AJ29" i="11"/>
  <c r="AK29" i="11"/>
  <c r="AL29" i="11"/>
  <c r="AM29" i="11"/>
  <c r="AN29" i="11"/>
  <c r="AO29" i="11"/>
  <c r="AP29" i="11"/>
  <c r="AQ29" i="11"/>
  <c r="AB30" i="11"/>
  <c r="AC30" i="11"/>
  <c r="AD30" i="11"/>
  <c r="AE30" i="11"/>
  <c r="AF30" i="11"/>
  <c r="AG30" i="11"/>
  <c r="AH30" i="11"/>
  <c r="AI30" i="11"/>
  <c r="AJ30" i="11"/>
  <c r="AK30" i="11"/>
  <c r="AL30" i="11"/>
  <c r="AM30" i="11"/>
  <c r="AN30" i="11"/>
  <c r="AO30" i="11"/>
  <c r="AP30" i="11"/>
  <c r="AQ30" i="11"/>
  <c r="AB31" i="11"/>
  <c r="AC31" i="11"/>
  <c r="AD31" i="11"/>
  <c r="AE31" i="11"/>
  <c r="AF31" i="11"/>
  <c r="AG31" i="11"/>
  <c r="AH31" i="11"/>
  <c r="AI31" i="11"/>
  <c r="AJ31" i="11"/>
  <c r="AK31" i="11"/>
  <c r="AL31" i="11"/>
  <c r="AM31" i="11"/>
  <c r="AN31" i="11"/>
  <c r="AO31" i="11"/>
  <c r="AP31" i="11"/>
  <c r="AQ31" i="11"/>
  <c r="AB17" i="11"/>
  <c r="AC17" i="11"/>
  <c r="AD17" i="11"/>
  <c r="AE17" i="11"/>
  <c r="AF17" i="11"/>
  <c r="AG17" i="11"/>
  <c r="AH17" i="11"/>
  <c r="AI17" i="11"/>
  <c r="AJ17" i="11"/>
  <c r="AK17" i="11"/>
  <c r="AM17" i="11"/>
  <c r="AN17" i="11"/>
  <c r="AO17" i="11"/>
  <c r="AP17" i="11"/>
  <c r="AQ17" i="11"/>
  <c r="AB18" i="11"/>
  <c r="AC18" i="11"/>
  <c r="AD18" i="11"/>
  <c r="AE18" i="11"/>
  <c r="AF18" i="11"/>
  <c r="AG18" i="11"/>
  <c r="AH18" i="11"/>
  <c r="AI18" i="11"/>
  <c r="AJ18" i="11"/>
  <c r="AK18" i="11"/>
  <c r="AL18" i="11"/>
  <c r="AM18" i="11"/>
  <c r="AN18" i="11"/>
  <c r="AO18" i="11"/>
  <c r="AP18" i="11"/>
  <c r="AQ18" i="11"/>
  <c r="AB19" i="11"/>
  <c r="AC19" i="11"/>
  <c r="AD19" i="11"/>
  <c r="AE19" i="11"/>
  <c r="AF19" i="11"/>
  <c r="AG19" i="11"/>
  <c r="AH19" i="11"/>
  <c r="AI19" i="11"/>
  <c r="AJ19" i="11"/>
  <c r="AK19" i="11"/>
  <c r="AL19" i="11"/>
  <c r="AM19" i="11"/>
  <c r="AN19" i="11"/>
  <c r="AO19" i="11"/>
  <c r="AP19" i="11"/>
  <c r="AQ19" i="11"/>
  <c r="AB20" i="11"/>
  <c r="AC20" i="11"/>
  <c r="AD20" i="11"/>
  <c r="AE20" i="11"/>
  <c r="AF20" i="11"/>
  <c r="AG20" i="11"/>
  <c r="AH20" i="11"/>
  <c r="AI20" i="11"/>
  <c r="AJ20" i="11"/>
  <c r="AK20" i="11"/>
  <c r="AL20" i="11"/>
  <c r="AM20" i="11"/>
  <c r="AN20" i="11"/>
  <c r="AO20" i="11"/>
  <c r="AP20" i="11"/>
  <c r="AQ20" i="11"/>
  <c r="AB21" i="11"/>
  <c r="AC21" i="11"/>
  <c r="AD21" i="11"/>
  <c r="AE21" i="11"/>
  <c r="AF21" i="11"/>
  <c r="AG21" i="11"/>
  <c r="AH21" i="11"/>
  <c r="AI21" i="11"/>
  <c r="AJ21" i="11"/>
  <c r="AK21" i="11"/>
  <c r="AL21" i="11"/>
  <c r="AM21" i="11"/>
  <c r="AN21" i="11"/>
  <c r="AO21" i="11"/>
  <c r="AP21" i="11"/>
  <c r="AQ21" i="11"/>
  <c r="AB22" i="11"/>
  <c r="AC22" i="11"/>
  <c r="AD22" i="11"/>
  <c r="AE22" i="11"/>
  <c r="AF22" i="11"/>
  <c r="AG22" i="11"/>
  <c r="AH22" i="11"/>
  <c r="AI22" i="11"/>
  <c r="AJ22" i="11"/>
  <c r="AK22" i="11"/>
  <c r="AL22" i="11"/>
  <c r="AM22" i="11"/>
  <c r="AN22" i="11"/>
  <c r="AO22" i="11"/>
  <c r="AP22" i="11"/>
  <c r="AQ22" i="11"/>
  <c r="AB9" i="11"/>
  <c r="AC9" i="11"/>
  <c r="AD9" i="11"/>
  <c r="AE9" i="11"/>
  <c r="AF9" i="11"/>
  <c r="AG9" i="11"/>
  <c r="AH9" i="11"/>
  <c r="AI9" i="11"/>
  <c r="AJ9" i="11"/>
  <c r="AK9" i="11"/>
  <c r="AL9" i="11"/>
  <c r="AM9" i="11"/>
  <c r="AN9" i="11"/>
  <c r="AO9" i="11"/>
  <c r="AP9" i="11"/>
  <c r="AQ9" i="11"/>
  <c r="AB10" i="11"/>
  <c r="AC10" i="11"/>
  <c r="AE10" i="11"/>
  <c r="AF10" i="11"/>
  <c r="AG10" i="11"/>
  <c r="AH10" i="11"/>
  <c r="AI10" i="11"/>
  <c r="AJ10" i="11"/>
  <c r="AK10" i="11"/>
  <c r="AL10" i="11"/>
  <c r="AM10" i="11"/>
  <c r="AN10" i="11"/>
  <c r="AO10" i="11"/>
  <c r="AP10" i="11"/>
  <c r="AQ10" i="11"/>
  <c r="AB11" i="11"/>
  <c r="AC11" i="11"/>
  <c r="AD11" i="11"/>
  <c r="AE11" i="11"/>
  <c r="AF11" i="11"/>
  <c r="AG11" i="11"/>
  <c r="AH11" i="11"/>
  <c r="AI11" i="11"/>
  <c r="AJ11" i="11"/>
  <c r="AK11" i="11"/>
  <c r="AL11" i="11"/>
  <c r="AM11" i="11"/>
  <c r="AN11" i="11"/>
  <c r="AO11" i="11"/>
  <c r="AP11" i="11"/>
  <c r="AQ11" i="11"/>
  <c r="AB12" i="11"/>
  <c r="AC12" i="11"/>
  <c r="AD12" i="11"/>
  <c r="AE12" i="11"/>
  <c r="AF12" i="11"/>
  <c r="AG12" i="11"/>
  <c r="AH12" i="11"/>
  <c r="AI12" i="11"/>
  <c r="AJ12" i="11"/>
  <c r="AK12" i="11"/>
  <c r="AL12" i="11"/>
  <c r="AM12" i="11"/>
  <c r="AN12" i="11"/>
  <c r="AO12" i="11"/>
  <c r="AP12" i="11"/>
  <c r="AQ12" i="11"/>
  <c r="AB13" i="11"/>
  <c r="AC13" i="11"/>
  <c r="AD13" i="11"/>
  <c r="AE13" i="11"/>
  <c r="AF13" i="11"/>
  <c r="AG13" i="11"/>
  <c r="AH13" i="11"/>
  <c r="AI13" i="11"/>
  <c r="AJ13" i="11"/>
  <c r="AK13" i="11"/>
  <c r="AL13" i="11"/>
  <c r="AM13" i="11"/>
  <c r="AN13" i="11"/>
  <c r="AO13" i="11"/>
  <c r="AP13" i="11"/>
  <c r="AQ13" i="11"/>
  <c r="AC8" i="11"/>
  <c r="AE8" i="11"/>
  <c r="AF8" i="11"/>
  <c r="AG8" i="11"/>
  <c r="AH8" i="11"/>
  <c r="AI8" i="11"/>
  <c r="AJ8" i="11"/>
  <c r="AK8" i="11"/>
  <c r="AL8" i="11"/>
  <c r="AM8" i="11"/>
  <c r="AN8" i="11"/>
  <c r="AO8" i="11"/>
  <c r="AP8" i="11"/>
  <c r="AQ8" i="11"/>
  <c r="AB8" i="11"/>
  <c r="L62" i="11"/>
  <c r="M62" i="11"/>
  <c r="N62" i="11"/>
  <c r="O62" i="11"/>
  <c r="P62" i="11"/>
  <c r="Q62" i="11"/>
  <c r="R62" i="11"/>
  <c r="S62" i="11"/>
  <c r="T62" i="11"/>
  <c r="U62" i="11"/>
  <c r="V62" i="11"/>
  <c r="W62" i="11"/>
  <c r="X62" i="11"/>
  <c r="Y62" i="11"/>
  <c r="L63" i="11"/>
  <c r="M63" i="11"/>
  <c r="N63" i="11"/>
  <c r="O63" i="11"/>
  <c r="P63" i="11"/>
  <c r="Q63" i="11"/>
  <c r="R63" i="11"/>
  <c r="S63" i="11"/>
  <c r="T63" i="11"/>
  <c r="U63" i="11"/>
  <c r="V63" i="11"/>
  <c r="W63" i="11"/>
  <c r="X63" i="11"/>
  <c r="Y63" i="11"/>
  <c r="L64" i="11"/>
  <c r="M64" i="11"/>
  <c r="N64" i="11"/>
  <c r="O64" i="11"/>
  <c r="P64" i="11"/>
  <c r="Q64" i="11"/>
  <c r="R64" i="11"/>
  <c r="S64" i="11"/>
  <c r="T64" i="11"/>
  <c r="U64" i="11"/>
  <c r="V64" i="11"/>
  <c r="W64" i="11"/>
  <c r="X64" i="11"/>
  <c r="Y64" i="11"/>
  <c r="L65" i="11"/>
  <c r="M65" i="11"/>
  <c r="N65" i="11"/>
  <c r="O65" i="11"/>
  <c r="P65" i="11"/>
  <c r="Q65" i="11"/>
  <c r="R65" i="11"/>
  <c r="S65" i="11"/>
  <c r="T65" i="11"/>
  <c r="U65" i="11"/>
  <c r="V65" i="11"/>
  <c r="W65" i="11"/>
  <c r="X65" i="11"/>
  <c r="Y65" i="11"/>
  <c r="L66" i="11"/>
  <c r="M66" i="11"/>
  <c r="N66" i="11"/>
  <c r="O66" i="11"/>
  <c r="P66" i="11"/>
  <c r="Q66" i="11"/>
  <c r="R66" i="11"/>
  <c r="S66" i="11"/>
  <c r="T66" i="11"/>
  <c r="U66" i="11"/>
  <c r="V66" i="11"/>
  <c r="W66" i="11"/>
  <c r="X66" i="11"/>
  <c r="Y66" i="11"/>
  <c r="L67" i="11"/>
  <c r="M67" i="11"/>
  <c r="N67" i="11"/>
  <c r="O67" i="11"/>
  <c r="P67" i="11"/>
  <c r="Q67" i="11"/>
  <c r="R67" i="11"/>
  <c r="S67" i="11"/>
  <c r="T67" i="11"/>
  <c r="U67" i="11"/>
  <c r="V67" i="11"/>
  <c r="W67" i="11"/>
  <c r="X67" i="11"/>
  <c r="Y67" i="11"/>
  <c r="J53" i="11"/>
  <c r="K53" i="11"/>
  <c r="L53" i="11"/>
  <c r="M53" i="11"/>
  <c r="N53" i="11"/>
  <c r="O53" i="11"/>
  <c r="P53" i="11"/>
  <c r="Q53" i="11"/>
  <c r="R53" i="11"/>
  <c r="S53" i="11"/>
  <c r="T53" i="11"/>
  <c r="U53" i="11"/>
  <c r="V53" i="11"/>
  <c r="W53" i="11"/>
  <c r="X53" i="11"/>
  <c r="Y53" i="11"/>
  <c r="J54" i="11"/>
  <c r="K54" i="11"/>
  <c r="L54" i="11"/>
  <c r="M54" i="11"/>
  <c r="N54" i="11"/>
  <c r="O54" i="11"/>
  <c r="P54" i="11"/>
  <c r="Q54" i="11"/>
  <c r="R54" i="11"/>
  <c r="S54" i="11"/>
  <c r="T54" i="11"/>
  <c r="U54" i="11"/>
  <c r="V54" i="11"/>
  <c r="W54" i="11"/>
  <c r="X54" i="11"/>
  <c r="Y54" i="11"/>
  <c r="J55" i="11"/>
  <c r="K55" i="11"/>
  <c r="L55" i="11"/>
  <c r="M55" i="11"/>
  <c r="N55" i="11"/>
  <c r="O55" i="11"/>
  <c r="P55" i="11"/>
  <c r="Q55" i="11"/>
  <c r="R55" i="11"/>
  <c r="S55" i="11"/>
  <c r="T55" i="11"/>
  <c r="U55" i="11"/>
  <c r="V55" i="11"/>
  <c r="W55" i="11"/>
  <c r="X55" i="11"/>
  <c r="Y55" i="11"/>
  <c r="J56" i="11"/>
  <c r="K56" i="11"/>
  <c r="L56" i="11"/>
  <c r="M56" i="11"/>
  <c r="N56" i="11"/>
  <c r="O56" i="11"/>
  <c r="P56" i="11"/>
  <c r="Q56" i="11"/>
  <c r="R56" i="11"/>
  <c r="S56" i="11"/>
  <c r="T56" i="11"/>
  <c r="U56" i="11"/>
  <c r="V56" i="11"/>
  <c r="W56" i="11"/>
  <c r="X56" i="11"/>
  <c r="Y56" i="11"/>
  <c r="J57" i="11"/>
  <c r="K57" i="11"/>
  <c r="L57" i="11"/>
  <c r="M57" i="11"/>
  <c r="N57" i="11"/>
  <c r="O57" i="11"/>
  <c r="P57" i="11"/>
  <c r="Q57" i="11"/>
  <c r="R57" i="11"/>
  <c r="S57" i="11"/>
  <c r="T57" i="11"/>
  <c r="U57" i="11"/>
  <c r="V57" i="11"/>
  <c r="W57" i="11"/>
  <c r="X57" i="11"/>
  <c r="Y57" i="11"/>
  <c r="J58" i="11"/>
  <c r="K58" i="11"/>
  <c r="L58" i="11"/>
  <c r="M58" i="11"/>
  <c r="N58" i="11"/>
  <c r="O58" i="11"/>
  <c r="P58" i="11"/>
  <c r="Q58" i="11"/>
  <c r="R58" i="11"/>
  <c r="S58" i="11"/>
  <c r="T58" i="11"/>
  <c r="U58" i="11"/>
  <c r="V58" i="11"/>
  <c r="W58" i="11"/>
  <c r="X58" i="11"/>
  <c r="Y58" i="11"/>
  <c r="M44" i="11"/>
  <c r="N44" i="11"/>
  <c r="O44" i="11"/>
  <c r="P44" i="11"/>
  <c r="Q44" i="11"/>
  <c r="R44" i="11"/>
  <c r="S44" i="11"/>
  <c r="T44" i="11"/>
  <c r="U44" i="11"/>
  <c r="V44" i="11"/>
  <c r="W44" i="11"/>
  <c r="X44" i="11"/>
  <c r="Y44" i="11"/>
  <c r="M45" i="11"/>
  <c r="N45" i="11"/>
  <c r="O45" i="11"/>
  <c r="P45" i="11"/>
  <c r="Q45" i="11"/>
  <c r="R45" i="11"/>
  <c r="S45" i="11"/>
  <c r="T45" i="11"/>
  <c r="U45" i="11"/>
  <c r="V45" i="11"/>
  <c r="W45" i="11"/>
  <c r="X45" i="11"/>
  <c r="Y45" i="11"/>
  <c r="M46" i="11"/>
  <c r="N46" i="11"/>
  <c r="O46" i="11"/>
  <c r="P46" i="11"/>
  <c r="Q46" i="11"/>
  <c r="R46" i="11"/>
  <c r="S46" i="11"/>
  <c r="T46" i="11"/>
  <c r="U46" i="11"/>
  <c r="V46" i="11"/>
  <c r="W46" i="11"/>
  <c r="X46" i="11"/>
  <c r="Y46" i="11"/>
  <c r="M47" i="11"/>
  <c r="N47" i="11"/>
  <c r="O47" i="11"/>
  <c r="P47" i="11"/>
  <c r="Q47" i="11"/>
  <c r="R47" i="11"/>
  <c r="S47" i="11"/>
  <c r="T47" i="11"/>
  <c r="U47" i="11"/>
  <c r="V47" i="11"/>
  <c r="W47" i="11"/>
  <c r="X47" i="11"/>
  <c r="Y47" i="11"/>
  <c r="M48" i="11"/>
  <c r="N48" i="11"/>
  <c r="O48" i="11"/>
  <c r="P48" i="11"/>
  <c r="Q48" i="11"/>
  <c r="R48" i="11"/>
  <c r="S48" i="11"/>
  <c r="T48" i="11"/>
  <c r="U48" i="11"/>
  <c r="V48" i="11"/>
  <c r="W48" i="11"/>
  <c r="X48" i="11"/>
  <c r="Y48" i="11"/>
  <c r="M49" i="11"/>
  <c r="N49" i="11"/>
  <c r="O49" i="11"/>
  <c r="P49" i="11"/>
  <c r="Q49" i="11"/>
  <c r="R49" i="11"/>
  <c r="S49" i="11"/>
  <c r="T49" i="11"/>
  <c r="U49" i="11"/>
  <c r="V49" i="11"/>
  <c r="W49" i="11"/>
  <c r="X49" i="11"/>
  <c r="Y49" i="11"/>
  <c r="J35" i="11"/>
  <c r="K35" i="11"/>
  <c r="L35" i="11"/>
  <c r="M35" i="11"/>
  <c r="N35" i="11"/>
  <c r="O35" i="11"/>
  <c r="P35" i="11"/>
  <c r="Q35" i="11"/>
  <c r="R35" i="11"/>
  <c r="S35" i="11"/>
  <c r="T35" i="11"/>
  <c r="U35" i="11"/>
  <c r="V35" i="11"/>
  <c r="W35" i="11"/>
  <c r="X35" i="11"/>
  <c r="Y35" i="11"/>
  <c r="J36" i="11"/>
  <c r="K36" i="11"/>
  <c r="L36" i="11"/>
  <c r="M36" i="11"/>
  <c r="N36" i="11"/>
  <c r="O36" i="11"/>
  <c r="P36" i="11"/>
  <c r="Q36" i="11"/>
  <c r="R36" i="11"/>
  <c r="S36" i="11"/>
  <c r="T36" i="11"/>
  <c r="U36" i="11"/>
  <c r="V36" i="11"/>
  <c r="W36" i="11"/>
  <c r="X36" i="11"/>
  <c r="Y36" i="11"/>
  <c r="J37" i="11"/>
  <c r="K37" i="11"/>
  <c r="L37" i="11"/>
  <c r="M37" i="11"/>
  <c r="N37" i="11"/>
  <c r="O37" i="11"/>
  <c r="P37" i="11"/>
  <c r="Q37" i="11"/>
  <c r="R37" i="11"/>
  <c r="S37" i="11"/>
  <c r="T37" i="11"/>
  <c r="U37" i="11"/>
  <c r="V37" i="11"/>
  <c r="W37" i="11"/>
  <c r="X37" i="11"/>
  <c r="Y37" i="11"/>
  <c r="J38" i="11"/>
  <c r="K38" i="11"/>
  <c r="L38" i="11"/>
  <c r="M38" i="11"/>
  <c r="N38" i="11"/>
  <c r="O38" i="11"/>
  <c r="P38" i="11"/>
  <c r="Q38" i="11"/>
  <c r="R38" i="11"/>
  <c r="S38" i="11"/>
  <c r="T38" i="11"/>
  <c r="U38" i="11"/>
  <c r="V38" i="11"/>
  <c r="W38" i="11"/>
  <c r="X38" i="11"/>
  <c r="Y38" i="11"/>
  <c r="J39" i="11"/>
  <c r="K39" i="11"/>
  <c r="L39" i="11"/>
  <c r="M39" i="11"/>
  <c r="N39" i="11"/>
  <c r="O39" i="11"/>
  <c r="P39" i="11"/>
  <c r="Q39" i="11"/>
  <c r="R39" i="11"/>
  <c r="S39" i="11"/>
  <c r="T39" i="11"/>
  <c r="U39" i="11"/>
  <c r="V39" i="11"/>
  <c r="W39" i="11"/>
  <c r="X39" i="11"/>
  <c r="Y39" i="11"/>
  <c r="J40" i="11"/>
  <c r="K40" i="11"/>
  <c r="L40" i="11"/>
  <c r="M40" i="11"/>
  <c r="N40" i="11"/>
  <c r="O40" i="11"/>
  <c r="P40" i="11"/>
  <c r="Q40" i="11"/>
  <c r="R40" i="11"/>
  <c r="S40" i="11"/>
  <c r="T40" i="11"/>
  <c r="U40" i="11"/>
  <c r="V40" i="11"/>
  <c r="W40" i="11"/>
  <c r="X40" i="11"/>
  <c r="Y40" i="11"/>
  <c r="J26" i="11"/>
  <c r="K26" i="11"/>
  <c r="L26" i="11"/>
  <c r="M26" i="11"/>
  <c r="N26" i="11"/>
  <c r="O26" i="11"/>
  <c r="P26" i="11"/>
  <c r="Q26" i="11"/>
  <c r="R26" i="11"/>
  <c r="S26" i="11"/>
  <c r="T26" i="11"/>
  <c r="U26" i="11"/>
  <c r="V26" i="11"/>
  <c r="W26" i="11"/>
  <c r="X26" i="11"/>
  <c r="Y26" i="11"/>
  <c r="J27" i="11"/>
  <c r="K27" i="11"/>
  <c r="L27" i="11"/>
  <c r="M27" i="11"/>
  <c r="N27" i="11"/>
  <c r="O27" i="11"/>
  <c r="P27" i="11"/>
  <c r="Q27" i="11"/>
  <c r="R27" i="11"/>
  <c r="S27" i="11"/>
  <c r="T27" i="11"/>
  <c r="U27" i="11"/>
  <c r="V27" i="11"/>
  <c r="W27" i="11"/>
  <c r="X27" i="11"/>
  <c r="Y27" i="11"/>
  <c r="J28" i="11"/>
  <c r="K28" i="11"/>
  <c r="L28" i="11"/>
  <c r="M28" i="11"/>
  <c r="N28" i="11"/>
  <c r="O28" i="11"/>
  <c r="P28" i="11"/>
  <c r="Q28" i="11"/>
  <c r="R28" i="11"/>
  <c r="S28" i="11"/>
  <c r="T28" i="11"/>
  <c r="U28" i="11"/>
  <c r="V28" i="11"/>
  <c r="W28" i="11"/>
  <c r="X28" i="11"/>
  <c r="Y28" i="11"/>
  <c r="J29" i="11"/>
  <c r="K29" i="11"/>
  <c r="L29" i="11"/>
  <c r="M29" i="11"/>
  <c r="N29" i="11"/>
  <c r="O29" i="11"/>
  <c r="P29" i="11"/>
  <c r="Q29" i="11"/>
  <c r="R29" i="11"/>
  <c r="S29" i="11"/>
  <c r="T29" i="11"/>
  <c r="U29" i="11"/>
  <c r="V29" i="11"/>
  <c r="W29" i="11"/>
  <c r="X29" i="11"/>
  <c r="Y29" i="11"/>
  <c r="J30" i="11"/>
  <c r="K30" i="11"/>
  <c r="L30" i="11"/>
  <c r="M30" i="11"/>
  <c r="N30" i="11"/>
  <c r="O30" i="11"/>
  <c r="P30" i="11"/>
  <c r="Q30" i="11"/>
  <c r="R30" i="11"/>
  <c r="S30" i="11"/>
  <c r="T30" i="11"/>
  <c r="U30" i="11"/>
  <c r="V30" i="11"/>
  <c r="W30" i="11"/>
  <c r="X30" i="11"/>
  <c r="Y30" i="11"/>
  <c r="J31" i="11"/>
  <c r="K31" i="11"/>
  <c r="L31" i="11"/>
  <c r="M31" i="11"/>
  <c r="N31" i="11"/>
  <c r="O31" i="11"/>
  <c r="P31" i="11"/>
  <c r="Q31" i="11"/>
  <c r="R31" i="11"/>
  <c r="S31" i="11"/>
  <c r="T31" i="11"/>
  <c r="U31" i="11"/>
  <c r="V31" i="11"/>
  <c r="W31" i="11"/>
  <c r="X31" i="11"/>
  <c r="Y31" i="11"/>
  <c r="J17" i="11"/>
  <c r="K17" i="11"/>
  <c r="L17" i="11"/>
  <c r="M17" i="11"/>
  <c r="N17" i="11"/>
  <c r="O17" i="11"/>
  <c r="P17" i="11"/>
  <c r="Q17" i="11"/>
  <c r="R17" i="11"/>
  <c r="S17" i="11"/>
  <c r="T17" i="11"/>
  <c r="U17" i="11"/>
  <c r="V17" i="11"/>
  <c r="W17" i="11"/>
  <c r="X17" i="11"/>
  <c r="Y17" i="11"/>
  <c r="J18" i="11"/>
  <c r="K18" i="11"/>
  <c r="L18" i="11"/>
  <c r="M18" i="11"/>
  <c r="N18" i="11"/>
  <c r="O18" i="11"/>
  <c r="P18" i="11"/>
  <c r="Q18" i="11"/>
  <c r="R18" i="11"/>
  <c r="S18" i="11"/>
  <c r="T18" i="11"/>
  <c r="U18" i="11"/>
  <c r="V18" i="11"/>
  <c r="W18" i="11"/>
  <c r="X18" i="11"/>
  <c r="Y18" i="11"/>
  <c r="J19" i="11"/>
  <c r="K19" i="11"/>
  <c r="L19" i="11"/>
  <c r="M19" i="11"/>
  <c r="N19" i="11"/>
  <c r="O19" i="11"/>
  <c r="P19" i="11"/>
  <c r="Q19" i="11"/>
  <c r="R19" i="11"/>
  <c r="S19" i="11"/>
  <c r="T19" i="11"/>
  <c r="U19" i="11"/>
  <c r="V19" i="11"/>
  <c r="W19" i="11"/>
  <c r="X19" i="11"/>
  <c r="Y19" i="11"/>
  <c r="J20" i="11"/>
  <c r="K20" i="11"/>
  <c r="L20" i="11"/>
  <c r="M20" i="11"/>
  <c r="N20" i="11"/>
  <c r="O20" i="11"/>
  <c r="P20" i="11"/>
  <c r="Q20" i="11"/>
  <c r="R20" i="11"/>
  <c r="S20" i="11"/>
  <c r="T20" i="11"/>
  <c r="U20" i="11"/>
  <c r="V20" i="11"/>
  <c r="W20" i="11"/>
  <c r="X20" i="11"/>
  <c r="Y20" i="11"/>
  <c r="J21" i="11"/>
  <c r="K21" i="11"/>
  <c r="L21" i="11"/>
  <c r="M21" i="11"/>
  <c r="N21" i="11"/>
  <c r="O21" i="11"/>
  <c r="P21" i="11"/>
  <c r="Q21" i="11"/>
  <c r="R21" i="11"/>
  <c r="S21" i="11"/>
  <c r="T21" i="11"/>
  <c r="U21" i="11"/>
  <c r="V21" i="11"/>
  <c r="W21" i="11"/>
  <c r="X21" i="11"/>
  <c r="Y21" i="11"/>
  <c r="J22" i="11"/>
  <c r="K22" i="11"/>
  <c r="L22" i="11"/>
  <c r="M22" i="11"/>
  <c r="N22" i="11"/>
  <c r="O22" i="11"/>
  <c r="P22" i="11"/>
  <c r="Q22" i="11"/>
  <c r="R22" i="11"/>
  <c r="S22" i="11"/>
  <c r="T22" i="11"/>
  <c r="U22" i="11"/>
  <c r="V22" i="11"/>
  <c r="W22" i="11"/>
  <c r="X22" i="11"/>
  <c r="Y22" i="11"/>
  <c r="J9" i="11"/>
  <c r="K9" i="11"/>
  <c r="L9" i="11"/>
  <c r="M9" i="11"/>
  <c r="N9" i="11"/>
  <c r="O9" i="11"/>
  <c r="P9" i="11"/>
  <c r="Q9" i="11"/>
  <c r="R9" i="11"/>
  <c r="S9" i="11"/>
  <c r="T9" i="11"/>
  <c r="U9" i="11"/>
  <c r="V9" i="11"/>
  <c r="W9" i="11"/>
  <c r="X9" i="11"/>
  <c r="Y9" i="11"/>
  <c r="J10" i="11"/>
  <c r="K10" i="11"/>
  <c r="L10" i="11"/>
  <c r="M10" i="11"/>
  <c r="N10" i="11"/>
  <c r="O10" i="11"/>
  <c r="P10" i="11"/>
  <c r="Q10" i="11"/>
  <c r="R10" i="11"/>
  <c r="S10" i="11"/>
  <c r="T10" i="11"/>
  <c r="U10" i="11"/>
  <c r="V10" i="11"/>
  <c r="W10" i="11"/>
  <c r="X10" i="11"/>
  <c r="Y10" i="11"/>
  <c r="J11" i="11"/>
  <c r="K11" i="11"/>
  <c r="L11" i="11"/>
  <c r="M11" i="11"/>
  <c r="N11" i="11"/>
  <c r="O11" i="11"/>
  <c r="P11" i="11"/>
  <c r="Q11" i="11"/>
  <c r="R11" i="11"/>
  <c r="S11" i="11"/>
  <c r="T11" i="11"/>
  <c r="U11" i="11"/>
  <c r="V11" i="11"/>
  <c r="W11" i="11"/>
  <c r="X11" i="11"/>
  <c r="Y11" i="11"/>
  <c r="J12" i="11"/>
  <c r="K12" i="11"/>
  <c r="L12" i="11"/>
  <c r="M12" i="11"/>
  <c r="N12" i="11"/>
  <c r="O12" i="11"/>
  <c r="P12" i="11"/>
  <c r="Q12" i="11"/>
  <c r="R12" i="11"/>
  <c r="S12" i="11"/>
  <c r="T12" i="11"/>
  <c r="U12" i="11"/>
  <c r="V12" i="11"/>
  <c r="W12" i="11"/>
  <c r="X12" i="11"/>
  <c r="Y12" i="11"/>
  <c r="J13" i="11"/>
  <c r="K13" i="11"/>
  <c r="L13" i="11"/>
  <c r="M13" i="11"/>
  <c r="N13" i="11"/>
  <c r="O13" i="11"/>
  <c r="P13" i="11"/>
  <c r="Q13" i="11"/>
  <c r="R13" i="11"/>
  <c r="S13" i="11"/>
  <c r="T13" i="11"/>
  <c r="U13" i="11"/>
  <c r="V13" i="11"/>
  <c r="W13" i="11"/>
  <c r="X13" i="11"/>
  <c r="Y13" i="11"/>
  <c r="R8" i="11"/>
  <c r="S8" i="11"/>
  <c r="T8" i="11"/>
  <c r="U8" i="11"/>
  <c r="V8" i="11"/>
  <c r="W8" i="11"/>
  <c r="X8" i="11"/>
  <c r="Y8" i="11"/>
  <c r="O8" i="11"/>
  <c r="P8" i="11"/>
  <c r="Q8" i="11"/>
  <c r="J8" i="11"/>
  <c r="K8" i="11"/>
  <c r="L8" i="11"/>
  <c r="M8" i="11"/>
  <c r="N8" i="11"/>
  <c r="AB61" i="11"/>
  <c r="AC61" i="11"/>
  <c r="AD61" i="11"/>
  <c r="AE61" i="11"/>
  <c r="AF61" i="11"/>
  <c r="AG61" i="11"/>
  <c r="AH61" i="11"/>
  <c r="AI61" i="11"/>
  <c r="AJ61" i="11"/>
  <c r="AK61" i="11"/>
  <c r="AL61" i="11"/>
  <c r="AM61" i="11"/>
  <c r="AN61" i="11"/>
  <c r="AO61" i="11"/>
  <c r="AP61" i="11"/>
  <c r="AQ61" i="11"/>
  <c r="AB52" i="11"/>
  <c r="AC52" i="11"/>
  <c r="AD52" i="11"/>
  <c r="AE52" i="11"/>
  <c r="AF52" i="11"/>
  <c r="AG52" i="11"/>
  <c r="AH52" i="11"/>
  <c r="AI52" i="11"/>
  <c r="AJ52" i="11"/>
  <c r="AK52" i="11"/>
  <c r="AL52" i="11"/>
  <c r="AM52" i="11"/>
  <c r="AN52" i="11"/>
  <c r="AO52" i="11"/>
  <c r="AP52" i="11"/>
  <c r="AQ52" i="11"/>
  <c r="AB43" i="11"/>
  <c r="AC43" i="11"/>
  <c r="AD43" i="11"/>
  <c r="AE43" i="11"/>
  <c r="AF43" i="11"/>
  <c r="AG43" i="11"/>
  <c r="AH43" i="11"/>
  <c r="AI43" i="11"/>
  <c r="AJ43" i="11"/>
  <c r="AK43" i="11"/>
  <c r="AL43" i="11"/>
  <c r="AN43" i="11"/>
  <c r="AO43" i="11"/>
  <c r="AP43" i="11"/>
  <c r="AQ43" i="11"/>
  <c r="AB34" i="11"/>
  <c r="AC34" i="11"/>
  <c r="AD34" i="11"/>
  <c r="AE34" i="11"/>
  <c r="AF34" i="11"/>
  <c r="AG34" i="11"/>
  <c r="AH34" i="11"/>
  <c r="AI34" i="11"/>
  <c r="AJ34" i="11"/>
  <c r="AK34" i="11"/>
  <c r="AL34" i="11"/>
  <c r="AM34" i="11"/>
  <c r="AN34" i="11"/>
  <c r="AO34" i="11"/>
  <c r="AP34" i="11"/>
  <c r="AQ34" i="11"/>
  <c r="AB25" i="11"/>
  <c r="AC25" i="11"/>
  <c r="AD25" i="11"/>
  <c r="AE25" i="11"/>
  <c r="AF25" i="11"/>
  <c r="AG25" i="11"/>
  <c r="AH25" i="11"/>
  <c r="AI25" i="11"/>
  <c r="AJ25" i="11"/>
  <c r="AK25" i="11"/>
  <c r="AL25" i="11"/>
  <c r="AM25" i="11"/>
  <c r="AN25" i="11"/>
  <c r="AO25" i="11"/>
  <c r="AP25" i="11"/>
  <c r="AQ25" i="11"/>
  <c r="AB16" i="11"/>
  <c r="AC16" i="11"/>
  <c r="AD16" i="11"/>
  <c r="AE16" i="11"/>
  <c r="AF16" i="11"/>
  <c r="AG16" i="11"/>
  <c r="AH16" i="11"/>
  <c r="AI16" i="11"/>
  <c r="AJ16" i="11"/>
  <c r="AK16" i="11"/>
  <c r="AL16" i="11"/>
  <c r="AM16" i="11"/>
  <c r="AN16" i="11"/>
  <c r="AO16" i="11"/>
  <c r="AP16" i="11"/>
  <c r="AQ16" i="11"/>
  <c r="AN7" i="11"/>
  <c r="AO7" i="11"/>
  <c r="AP7" i="11"/>
  <c r="AQ7" i="11"/>
  <c r="AL7" i="11"/>
  <c r="AM7" i="11"/>
  <c r="AC7" i="11"/>
  <c r="AD7" i="11"/>
  <c r="AE7" i="11"/>
  <c r="AF7" i="11"/>
  <c r="AG7" i="11"/>
  <c r="AH7" i="11"/>
  <c r="AI7" i="11"/>
  <c r="AJ7" i="11"/>
  <c r="AK7" i="11"/>
  <c r="AB7" i="11"/>
  <c r="K61" i="11"/>
  <c r="L61" i="11"/>
  <c r="M61" i="11"/>
  <c r="N61" i="11"/>
  <c r="O61" i="11"/>
  <c r="P61" i="11"/>
  <c r="Q61" i="11"/>
  <c r="R61" i="11"/>
  <c r="S61" i="11"/>
  <c r="T61" i="11"/>
  <c r="U61" i="11"/>
  <c r="V61" i="11"/>
  <c r="W61" i="11"/>
  <c r="X61" i="11"/>
  <c r="Y61" i="11"/>
  <c r="K52" i="11"/>
  <c r="L52" i="11"/>
  <c r="M52" i="11"/>
  <c r="N52" i="11"/>
  <c r="O52" i="11"/>
  <c r="P52" i="11"/>
  <c r="Q52" i="11"/>
  <c r="R52" i="11"/>
  <c r="S52" i="11"/>
  <c r="T52" i="11"/>
  <c r="U52" i="11"/>
  <c r="V52" i="11"/>
  <c r="W52" i="11"/>
  <c r="X52" i="11"/>
  <c r="Y52" i="11"/>
  <c r="K43" i="11"/>
  <c r="L43" i="11"/>
  <c r="M43" i="11"/>
  <c r="N43" i="11"/>
  <c r="O43" i="11"/>
  <c r="P43" i="11"/>
  <c r="Q43" i="11"/>
  <c r="R43" i="11"/>
  <c r="S43" i="11"/>
  <c r="T43" i="11"/>
  <c r="U43" i="11"/>
  <c r="V43" i="11"/>
  <c r="W43" i="11"/>
  <c r="X43" i="11"/>
  <c r="Y43" i="11"/>
  <c r="K34" i="11"/>
  <c r="L34" i="11"/>
  <c r="M34" i="11"/>
  <c r="N34" i="11"/>
  <c r="O34" i="11"/>
  <c r="P34" i="11"/>
  <c r="Q34" i="11"/>
  <c r="R34" i="11"/>
  <c r="S34" i="11"/>
  <c r="T34" i="11"/>
  <c r="U34" i="11"/>
  <c r="V34" i="11"/>
  <c r="W34" i="11"/>
  <c r="X34" i="11"/>
  <c r="Y34" i="11"/>
  <c r="K25" i="11"/>
  <c r="L25" i="11"/>
  <c r="M25" i="11"/>
  <c r="N25" i="11"/>
  <c r="O25" i="11"/>
  <c r="P25" i="11"/>
  <c r="Q25" i="11"/>
  <c r="R25" i="11"/>
  <c r="S25" i="11"/>
  <c r="T25" i="11"/>
  <c r="U25" i="11"/>
  <c r="V25" i="11"/>
  <c r="W25" i="11"/>
  <c r="X25" i="11"/>
  <c r="Y25" i="11"/>
  <c r="K16" i="11"/>
  <c r="L16" i="11"/>
  <c r="M16" i="11"/>
  <c r="N16" i="11"/>
  <c r="O16" i="11"/>
  <c r="P16" i="11"/>
  <c r="Q16" i="11"/>
  <c r="R16" i="11"/>
  <c r="S16" i="11"/>
  <c r="T16" i="11"/>
  <c r="U16" i="11"/>
  <c r="V16" i="11"/>
  <c r="W16" i="11"/>
  <c r="X16" i="11"/>
  <c r="Y16" i="11"/>
  <c r="K7" i="11"/>
  <c r="L7" i="11"/>
  <c r="M7" i="11"/>
  <c r="N7" i="11"/>
  <c r="O7" i="11"/>
  <c r="P7" i="11"/>
  <c r="Q7" i="11"/>
  <c r="R7" i="11"/>
  <c r="S7" i="11"/>
  <c r="T7" i="11"/>
  <c r="U7" i="11"/>
  <c r="V7" i="11"/>
  <c r="W7" i="11"/>
  <c r="X7" i="11"/>
  <c r="Y7" i="11"/>
  <c r="J61" i="11"/>
  <c r="J59" i="11" s="1"/>
  <c r="AT59" i="11" s="1"/>
  <c r="J52" i="11"/>
  <c r="J43" i="11"/>
  <c r="J41" i="11" s="1"/>
  <c r="AT41" i="11" s="1"/>
  <c r="J34" i="11"/>
  <c r="J25" i="11"/>
  <c r="J16" i="11"/>
  <c r="J7" i="11"/>
  <c r="AT78" i="11"/>
  <c r="BI78" i="11"/>
  <c r="BH78" i="11"/>
  <c r="AU78" i="11"/>
  <c r="AT77" i="11"/>
  <c r="BI77" i="11"/>
  <c r="BH77" i="11"/>
  <c r="AU77" i="11"/>
  <c r="AT76" i="11"/>
  <c r="BI76" i="11"/>
  <c r="BH76" i="11"/>
  <c r="AU76" i="11"/>
  <c r="AU75" i="11"/>
  <c r="AT75" i="11"/>
  <c r="BI75" i="11"/>
  <c r="BH75" i="11"/>
  <c r="AU74" i="11"/>
  <c r="AT74" i="11"/>
  <c r="BI74" i="11"/>
  <c r="BH74" i="11"/>
  <c r="AU73" i="11"/>
  <c r="AT73" i="11"/>
  <c r="BH73" i="11"/>
  <c r="AU72" i="11"/>
  <c r="AT72" i="11"/>
  <c r="AS72" i="11"/>
  <c r="AR72" i="11"/>
  <c r="AS71" i="11"/>
  <c r="AQ71" i="11"/>
  <c r="AP71" i="11"/>
  <c r="AC71" i="11"/>
  <c r="AU71" i="11" s="1"/>
  <c r="AB71" i="11"/>
  <c r="AT71" i="11" s="1"/>
  <c r="AU70" i="11"/>
  <c r="AT70" i="11"/>
  <c r="E68" i="11"/>
  <c r="AS61" i="11"/>
  <c r="AR61" i="11"/>
  <c r="AS60" i="11"/>
  <c r="AU59" i="11"/>
  <c r="AS52" i="11"/>
  <c r="AR52" i="11"/>
  <c r="AS51" i="11"/>
  <c r="AS43" i="11"/>
  <c r="AR43" i="11"/>
  <c r="AS42" i="11"/>
  <c r="AS34" i="11"/>
  <c r="AR34" i="11"/>
  <c r="AS33" i="11"/>
  <c r="AA32" i="11"/>
  <c r="AS25" i="11"/>
  <c r="AR25" i="11"/>
  <c r="AS24" i="11"/>
  <c r="AA23" i="11"/>
  <c r="AA1" i="11" s="1"/>
  <c r="AS16" i="11"/>
  <c r="AR16" i="11"/>
  <c r="AS15" i="11"/>
  <c r="AA14" i="11"/>
  <c r="AS14" i="11" s="1"/>
  <c r="AR8" i="11"/>
  <c r="AS7" i="11"/>
  <c r="AR7" i="11"/>
  <c r="AS6" i="11"/>
  <c r="AA5" i="11"/>
  <c r="AS5" i="11" s="1"/>
  <c r="BJ1" i="11"/>
  <c r="R444" i="6"/>
  <c r="AL17" i="11" s="1"/>
  <c r="BH13" i="11" l="1"/>
  <c r="BA67" i="11"/>
  <c r="BF63" i="11"/>
  <c r="AV49" i="11"/>
  <c r="BB67" i="11"/>
  <c r="AT13" i="11"/>
  <c r="AX63" i="11"/>
  <c r="BC38" i="11"/>
  <c r="BA57" i="11"/>
  <c r="AV22" i="11"/>
  <c r="AZ18" i="11"/>
  <c r="BD29" i="11"/>
  <c r="BI56" i="11"/>
  <c r="BF21" i="11"/>
  <c r="BE53" i="11"/>
  <c r="BH37" i="11"/>
  <c r="BH49" i="11"/>
  <c r="AY12" i="11"/>
  <c r="BD44" i="11"/>
  <c r="BH58" i="11"/>
  <c r="BD53" i="11"/>
  <c r="BH67" i="11"/>
  <c r="AV67" i="11"/>
  <c r="AU61" i="11"/>
  <c r="AY19" i="11"/>
  <c r="AX27" i="11"/>
  <c r="BF12" i="11"/>
  <c r="AT12" i="11"/>
  <c r="BI19" i="11"/>
  <c r="AW19" i="11"/>
  <c r="BE29" i="11"/>
  <c r="BA39" i="11"/>
  <c r="BA36" i="11"/>
  <c r="AD42" i="11"/>
  <c r="AD41" i="11" s="1"/>
  <c r="BC67" i="11"/>
  <c r="AX64" i="11"/>
  <c r="K41" i="11"/>
  <c r="AU41" i="11" s="1"/>
  <c r="BF67" i="11"/>
  <c r="L42" i="11"/>
  <c r="AX30" i="11"/>
  <c r="AT37" i="11"/>
  <c r="BE65" i="11"/>
  <c r="S71" i="11"/>
  <c r="AV40" i="11"/>
  <c r="BI52" i="11"/>
  <c r="AZ72" i="11"/>
  <c r="AI71" i="11"/>
  <c r="BI13" i="11"/>
  <c r="BI27" i="11"/>
  <c r="BB17" i="11"/>
  <c r="BD27" i="11"/>
  <c r="BD39" i="11"/>
  <c r="AV56" i="11"/>
  <c r="AW52" i="11"/>
  <c r="BG21" i="11"/>
  <c r="BB47" i="11"/>
  <c r="AT67" i="11"/>
  <c r="BI17" i="11"/>
  <c r="AW56" i="11"/>
  <c r="BH38" i="11"/>
  <c r="AT29" i="11"/>
  <c r="AP24" i="11"/>
  <c r="BH36" i="11"/>
  <c r="AT61" i="11"/>
  <c r="AX31" i="11"/>
  <c r="T51" i="11"/>
  <c r="M15" i="11"/>
  <c r="BB44" i="11"/>
  <c r="AT64" i="11"/>
  <c r="BI39" i="11"/>
  <c r="BD30" i="11"/>
  <c r="AV13" i="11"/>
  <c r="BD11" i="11"/>
  <c r="BE12" i="11"/>
  <c r="AV65" i="11"/>
  <c r="BC35" i="11"/>
  <c r="AY36" i="11"/>
  <c r="BG37" i="11"/>
  <c r="AU46" i="11"/>
  <c r="BC47" i="11"/>
  <c r="AY48" i="11"/>
  <c r="BC56" i="11"/>
  <c r="AU64" i="11"/>
  <c r="AU67" i="11"/>
  <c r="BG67" i="11"/>
  <c r="O24" i="11"/>
  <c r="W60" i="11"/>
  <c r="BG29" i="11"/>
  <c r="AU65" i="11"/>
  <c r="P24" i="11"/>
  <c r="AW17" i="11"/>
  <c r="AT22" i="11"/>
  <c r="BF37" i="11"/>
  <c r="AT46" i="11"/>
  <c r="AX48" i="11"/>
  <c r="BF13" i="11"/>
  <c r="AX57" i="11"/>
  <c r="BA43" i="11"/>
  <c r="P6" i="11"/>
  <c r="AU18" i="11"/>
  <c r="AV30" i="11"/>
  <c r="BH30" i="11"/>
  <c r="BD40" i="11"/>
  <c r="BF22" i="11"/>
  <c r="BE13" i="11"/>
  <c r="AW30" i="11"/>
  <c r="BI30" i="11"/>
  <c r="BE31" i="11"/>
  <c r="AW36" i="11"/>
  <c r="AW45" i="11"/>
  <c r="BA56" i="11"/>
  <c r="AW57" i="11"/>
  <c r="BA25" i="11"/>
  <c r="BH11" i="11"/>
  <c r="AV26" i="11"/>
  <c r="AZ31" i="11"/>
  <c r="BD36" i="11"/>
  <c r="AV38" i="11"/>
  <c r="AZ40" i="11"/>
  <c r="BD48" i="11"/>
  <c r="BD54" i="11"/>
  <c r="AZ55" i="11"/>
  <c r="BD57" i="11"/>
  <c r="BH65" i="11"/>
  <c r="AZ67" i="11"/>
  <c r="BC75" i="11"/>
  <c r="AZ56" i="11"/>
  <c r="BD31" i="11"/>
  <c r="AX19" i="11"/>
  <c r="BB36" i="11"/>
  <c r="AX46" i="11"/>
  <c r="BB48" i="11"/>
  <c r="AT62" i="11"/>
  <c r="AY8" i="11"/>
  <c r="BC18" i="11"/>
  <c r="AU20" i="11"/>
  <c r="BG20" i="11"/>
  <c r="AU29" i="11"/>
  <c r="BC36" i="11"/>
  <c r="AY40" i="11"/>
  <c r="AU44" i="11"/>
  <c r="BG44" i="11"/>
  <c r="AU47" i="11"/>
  <c r="BC48" i="11"/>
  <c r="BC54" i="11"/>
  <c r="AY55" i="11"/>
  <c r="AU56" i="11"/>
  <c r="BG56" i="11"/>
  <c r="AU62" i="11"/>
  <c r="BG62" i="11"/>
  <c r="BG65" i="11"/>
  <c r="AT43" i="11"/>
  <c r="AU43" i="11"/>
  <c r="BC34" i="11"/>
  <c r="BD34" i="11"/>
  <c r="BH34" i="11"/>
  <c r="BG43" i="11"/>
  <c r="AY52" i="11"/>
  <c r="BA52" i="11"/>
  <c r="AW61" i="11"/>
  <c r="BF61" i="11"/>
  <c r="BG61" i="11"/>
  <c r="BD75" i="11"/>
  <c r="BE75" i="11"/>
  <c r="AZ77" i="11"/>
  <c r="AX78" i="11"/>
  <c r="AY78" i="11"/>
  <c r="AW72" i="11"/>
  <c r="AX72" i="11"/>
  <c r="AY72" i="11"/>
  <c r="AB33" i="11"/>
  <c r="AB32" i="11" s="1"/>
  <c r="BF45" i="11"/>
  <c r="AC15" i="11"/>
  <c r="BG18" i="11"/>
  <c r="AC24" i="11"/>
  <c r="AY35" i="11"/>
  <c r="AC33" i="11"/>
  <c r="AU45" i="11"/>
  <c r="BG75" i="11"/>
  <c r="BB16" i="11"/>
  <c r="BB31" i="11"/>
  <c r="AX53" i="11"/>
  <c r="O71" i="11"/>
  <c r="BA78" i="11"/>
  <c r="BE7" i="11"/>
  <c r="BE16" i="11"/>
  <c r="BD25" i="11"/>
  <c r="BC74" i="11"/>
  <c r="AY75" i="11"/>
  <c r="AW43" i="11"/>
  <c r="V71" i="11"/>
  <c r="AW77" i="11"/>
  <c r="L71" i="11"/>
  <c r="L70" i="11" s="1"/>
  <c r="AX75" i="11"/>
  <c r="AX12" i="11"/>
  <c r="AZ78" i="11"/>
  <c r="AV77" i="11"/>
  <c r="N51" i="11"/>
  <c r="BC16" i="11"/>
  <c r="BD52" i="11"/>
  <c r="BD16" i="11"/>
  <c r="L60" i="11"/>
  <c r="L59" i="11" s="1"/>
  <c r="AT7" i="11"/>
  <c r="AX34" i="11"/>
  <c r="BD74" i="11"/>
  <c r="AT25" i="11"/>
  <c r="BF25" i="11"/>
  <c r="BI43" i="11"/>
  <c r="AL71" i="11"/>
  <c r="BD7" i="11"/>
  <c r="BC25" i="11"/>
  <c r="BF7" i="11"/>
  <c r="AZ7" i="11"/>
  <c r="AU25" i="11"/>
  <c r="BG25" i="11"/>
  <c r="AZ34" i="11"/>
  <c r="BI72" i="11"/>
  <c r="BG76" i="11"/>
  <c r="BH22" i="11"/>
  <c r="BB78" i="11"/>
  <c r="BE25" i="11"/>
  <c r="AZ25" i="11"/>
  <c r="BD43" i="11"/>
  <c r="AX52" i="11"/>
  <c r="N71" i="11"/>
  <c r="BI11" i="11"/>
  <c r="AW11" i="11"/>
  <c r="BB13" i="11"/>
  <c r="AX29" i="11"/>
  <c r="AT47" i="11"/>
  <c r="BF62" i="11"/>
  <c r="AT66" i="11"/>
  <c r="BA13" i="11"/>
  <c r="BE66" i="11"/>
  <c r="BC40" i="11"/>
  <c r="BB57" i="11"/>
  <c r="BD10" i="11"/>
  <c r="BB39" i="11"/>
  <c r="AZ47" i="11"/>
  <c r="BE48" i="11"/>
  <c r="BA49" i="11"/>
  <c r="BG57" i="11"/>
  <c r="BC19" i="11"/>
  <c r="BI47" i="11"/>
  <c r="AW62" i="11"/>
  <c r="BI62" i="11"/>
  <c r="BE57" i="11"/>
  <c r="AX62" i="11"/>
  <c r="BC10" i="11"/>
  <c r="BB12" i="11"/>
  <c r="AW20" i="11"/>
  <c r="AY47" i="11"/>
  <c r="BF57" i="11"/>
  <c r="AY62" i="11"/>
  <c r="BD19" i="11"/>
  <c r="AW38" i="11"/>
  <c r="BI38" i="11"/>
  <c r="AU48" i="11"/>
  <c r="AU63" i="11"/>
  <c r="BB10" i="11"/>
  <c r="BE10" i="11"/>
  <c r="AY11" i="11"/>
  <c r="BE21" i="11"/>
  <c r="AT48" i="11"/>
  <c r="BF48" i="11"/>
  <c r="BE67" i="11"/>
  <c r="BA20" i="11"/>
  <c r="BC22" i="11"/>
  <c r="AT54" i="11"/>
  <c r="AV63" i="11"/>
  <c r="BH63" i="11"/>
  <c r="AY18" i="11"/>
  <c r="AX26" i="11"/>
  <c r="AV29" i="11"/>
  <c r="BH29" i="11"/>
  <c r="BD37" i="11"/>
  <c r="AT44" i="11"/>
  <c r="AZ53" i="11"/>
  <c r="AW63" i="11"/>
  <c r="AW65" i="11"/>
  <c r="BD9" i="11"/>
  <c r="BC9" i="11"/>
  <c r="AF6" i="11"/>
  <c r="O42" i="11"/>
  <c r="BH46" i="11"/>
  <c r="AF51" i="11"/>
  <c r="N24" i="11"/>
  <c r="BF36" i="11"/>
  <c r="Y33" i="11"/>
  <c r="AT57" i="11"/>
  <c r="AV61" i="11"/>
  <c r="BH61" i="11"/>
  <c r="R6" i="11"/>
  <c r="AV37" i="11"/>
  <c r="AV46" i="11"/>
  <c r="R51" i="11"/>
  <c r="BC66" i="11"/>
  <c r="AX7" i="11"/>
  <c r="AX11" i="11"/>
  <c r="AY7" i="11"/>
  <c r="BF18" i="11"/>
  <c r="W33" i="11"/>
  <c r="AE42" i="11"/>
  <c r="AV48" i="11"/>
  <c r="BB49" i="11"/>
  <c r="BA55" i="11"/>
  <c r="AU57" i="11"/>
  <c r="Q60" i="11"/>
  <c r="BH72" i="11"/>
  <c r="BB74" i="11"/>
  <c r="AW75" i="11"/>
  <c r="BB9" i="11"/>
  <c r="BC21" i="11"/>
  <c r="BH25" i="11"/>
  <c r="AB51" i="11"/>
  <c r="AB50" i="11" s="1"/>
  <c r="BI7" i="11"/>
  <c r="AV25" i="11"/>
  <c r="AZ75" i="11"/>
  <c r="AX73" i="11"/>
  <c r="BF74" i="11"/>
  <c r="BF76" i="11"/>
  <c r="AY77" i="11"/>
  <c r="V6" i="11"/>
  <c r="AX16" i="11"/>
  <c r="AV28" i="11"/>
  <c r="BH28" i="11"/>
  <c r="BC30" i="11"/>
  <c r="AY43" i="11"/>
  <c r="AY46" i="11"/>
  <c r="BE52" i="11"/>
  <c r="BB55" i="11"/>
  <c r="BE56" i="11"/>
  <c r="AV57" i="11"/>
  <c r="BH57" i="11"/>
  <c r="AX61" i="11"/>
  <c r="U60" i="11"/>
  <c r="BG64" i="11"/>
  <c r="AY73" i="11"/>
  <c r="BE9" i="11"/>
  <c r="BC12" i="11"/>
  <c r="AU13" i="11"/>
  <c r="BG13" i="11"/>
  <c r="BC20" i="11"/>
  <c r="BA7" i="11"/>
  <c r="BA11" i="11"/>
  <c r="BD12" i="11"/>
  <c r="AV20" i="11"/>
  <c r="BH20" i="11"/>
  <c r="AU31" i="11"/>
  <c r="AT34" i="11"/>
  <c r="BF34" i="11"/>
  <c r="AT35" i="11"/>
  <c r="AZ43" i="11"/>
  <c r="AZ46" i="11"/>
  <c r="BD49" i="11"/>
  <c r="BC55" i="11"/>
  <c r="AY61" i="11"/>
  <c r="BH64" i="11"/>
  <c r="BA77" i="11"/>
  <c r="AZ20" i="11"/>
  <c r="BG22" i="11"/>
  <c r="M60" i="11"/>
  <c r="BC78" i="11"/>
  <c r="AG24" i="11"/>
  <c r="BB7" i="11"/>
  <c r="BD8" i="11"/>
  <c r="BB11" i="11"/>
  <c r="AV17" i="11"/>
  <c r="AW18" i="11"/>
  <c r="BE19" i="11"/>
  <c r="AV21" i="11"/>
  <c r="BH21" i="11"/>
  <c r="BD22" i="11"/>
  <c r="AX28" i="11"/>
  <c r="BE30" i="11"/>
  <c r="AY34" i="11"/>
  <c r="AU34" i="11"/>
  <c r="BG34" i="11"/>
  <c r="BE43" i="11"/>
  <c r="BB45" i="11"/>
  <c r="BA46" i="11"/>
  <c r="AX47" i="11"/>
  <c r="AW49" i="11"/>
  <c r="BE49" i="11"/>
  <c r="AZ61" i="11"/>
  <c r="BD63" i="11"/>
  <c r="BC65" i="11"/>
  <c r="AV66" i="11"/>
  <c r="BH66" i="11"/>
  <c r="AW76" i="11"/>
  <c r="BB77" i="11"/>
  <c r="AW7" i="11"/>
  <c r="AU22" i="11"/>
  <c r="BC7" i="11"/>
  <c r="AW8" i="11"/>
  <c r="BI8" i="11"/>
  <c r="BC11" i="11"/>
  <c r="BA16" i="11"/>
  <c r="AW16" i="11"/>
  <c r="AT19" i="11"/>
  <c r="BF19" i="11"/>
  <c r="BB19" i="11"/>
  <c r="BF20" i="11"/>
  <c r="BI21" i="11"/>
  <c r="BE22" i="11"/>
  <c r="BA22" i="11"/>
  <c r="AY27" i="11"/>
  <c r="BF38" i="11"/>
  <c r="BA40" i="11"/>
  <c r="AY45" i="11"/>
  <c r="BF49" i="11"/>
  <c r="AZ52" i="11"/>
  <c r="BH52" i="11"/>
  <c r="BA54" i="11"/>
  <c r="BE55" i="11"/>
  <c r="AY57" i="11"/>
  <c r="AH51" i="11"/>
  <c r="BE63" i="11"/>
  <c r="BD65" i="11"/>
  <c r="AW66" i="11"/>
  <c r="BI66" i="11"/>
  <c r="S24" i="11"/>
  <c r="AV7" i="11"/>
  <c r="AX8" i="11"/>
  <c r="AQ6" i="11"/>
  <c r="AF15" i="11"/>
  <c r="O15" i="11"/>
  <c r="AV27" i="11"/>
  <c r="BH27" i="11"/>
  <c r="BD28" i="11"/>
  <c r="AY30" i="11"/>
  <c r="BI34" i="11"/>
  <c r="BC37" i="11"/>
  <c r="AU38" i="11"/>
  <c r="BG38" i="11"/>
  <c r="S33" i="11"/>
  <c r="BC43" i="11"/>
  <c r="AN42" i="11"/>
  <c r="BA48" i="11"/>
  <c r="BB54" i="11"/>
  <c r="BC64" i="11"/>
  <c r="BA74" i="11"/>
  <c r="T15" i="11"/>
  <c r="Y24" i="11"/>
  <c r="AW25" i="11"/>
  <c r="BI25" i="11"/>
  <c r="O33" i="11"/>
  <c r="BB52" i="11"/>
  <c r="BI65" i="11"/>
  <c r="BA66" i="11"/>
  <c r="BE8" i="11"/>
  <c r="K15" i="11"/>
  <c r="AO24" i="11"/>
  <c r="T42" i="11"/>
  <c r="AZ62" i="11"/>
  <c r="AX20" i="11"/>
  <c r="AD24" i="11"/>
  <c r="AZ26" i="11"/>
  <c r="AV74" i="11"/>
  <c r="AW21" i="11"/>
  <c r="AE15" i="11"/>
  <c r="BH7" i="11"/>
  <c r="AL24" i="11"/>
  <c r="BA26" i="11"/>
  <c r="BI28" i="11"/>
  <c r="AX43" i="11"/>
  <c r="BI49" i="11"/>
  <c r="AT55" i="11"/>
  <c r="BF55" i="11"/>
  <c r="BG7" i="11"/>
  <c r="AU7" i="11"/>
  <c r="AP6" i="11"/>
  <c r="AX10" i="11"/>
  <c r="AT18" i="11"/>
  <c r="AV11" i="11"/>
  <c r="AT16" i="11"/>
  <c r="BF16" i="11"/>
  <c r="N15" i="11"/>
  <c r="AY28" i="11"/>
  <c r="AB24" i="11"/>
  <c r="AB23" i="11" s="1"/>
  <c r="AN24" i="11"/>
  <c r="N33" i="11"/>
  <c r="AV39" i="11"/>
  <c r="BH39" i="11"/>
  <c r="BA47" i="11"/>
  <c r="AU17" i="11"/>
  <c r="AO15" i="11"/>
  <c r="Q42" i="11"/>
  <c r="M51" i="11"/>
  <c r="Y51" i="11"/>
  <c r="AM51" i="11"/>
  <c r="BE54" i="11"/>
  <c r="BD58" i="11"/>
  <c r="AW28" i="11"/>
  <c r="BI29" i="11"/>
  <c r="BH31" i="11"/>
  <c r="AX38" i="11"/>
  <c r="AY39" i="11"/>
  <c r="BB46" i="11"/>
  <c r="BD47" i="11"/>
  <c r="BI55" i="11"/>
  <c r="BC58" i="11"/>
  <c r="BA61" i="11"/>
  <c r="AX74" i="11"/>
  <c r="P15" i="11"/>
  <c r="BA31" i="11"/>
  <c r="BB34" i="11"/>
  <c r="AY38" i="11"/>
  <c r="BE45" i="11"/>
  <c r="BA45" i="11"/>
  <c r="BG46" i="11"/>
  <c r="BC46" i="11"/>
  <c r="AW47" i="11"/>
  <c r="BE47" i="11"/>
  <c r="BH48" i="11"/>
  <c r="AX55" i="11"/>
  <c r="AV62" i="11"/>
  <c r="AW64" i="11"/>
  <c r="BI64" i="11"/>
  <c r="Q15" i="11"/>
  <c r="BB22" i="11"/>
  <c r="AX22" i="11"/>
  <c r="AY29" i="11"/>
  <c r="AU35" i="11"/>
  <c r="AW37" i="11"/>
  <c r="BI37" i="11"/>
  <c r="BH40" i="11"/>
  <c r="BD46" i="11"/>
  <c r="BF47" i="11"/>
  <c r="P51" i="11"/>
  <c r="AV53" i="11"/>
  <c r="BH53" i="11"/>
  <c r="BB56" i="11"/>
  <c r="BE58" i="11"/>
  <c r="BB65" i="11"/>
  <c r="BF66" i="11"/>
  <c r="BG72" i="11"/>
  <c r="BF75" i="11"/>
  <c r="BD78" i="11"/>
  <c r="AV31" i="11"/>
  <c r="AW55" i="11"/>
  <c r="BC57" i="11"/>
  <c r="AD60" i="11"/>
  <c r="AV64" i="11"/>
  <c r="AV9" i="11"/>
  <c r="BH9" i="11"/>
  <c r="BA10" i="11"/>
  <c r="AW10" i="11"/>
  <c r="BI10" i="11"/>
  <c r="BC13" i="11"/>
  <c r="AY13" i="11"/>
  <c r="BA18" i="11"/>
  <c r="BE20" i="11"/>
  <c r="BD21" i="11"/>
  <c r="AZ21" i="11"/>
  <c r="AY22" i="11"/>
  <c r="AZ27" i="11"/>
  <c r="AZ28" i="11"/>
  <c r="AZ29" i="11"/>
  <c r="AZ30" i="11"/>
  <c r="AX37" i="11"/>
  <c r="AJ42" i="11"/>
  <c r="Q51" i="11"/>
  <c r="AW53" i="11"/>
  <c r="BI53" i="11"/>
  <c r="AC60" i="11"/>
  <c r="AU60" i="11" s="1"/>
  <c r="AU66" i="11"/>
  <c r="AV72" i="11"/>
  <c r="AZ76" i="11"/>
  <c r="BE78" i="11"/>
  <c r="AW29" i="11"/>
  <c r="AV19" i="11"/>
  <c r="AZ8" i="11"/>
  <c r="AH6" i="11"/>
  <c r="BD13" i="11"/>
  <c r="S15" i="11"/>
  <c r="AG15" i="11"/>
  <c r="BB18" i="11"/>
  <c r="AX18" i="11"/>
  <c r="AT20" i="11"/>
  <c r="BB20" i="11"/>
  <c r="BA28" i="11"/>
  <c r="BA30" i="11"/>
  <c r="BE34" i="11"/>
  <c r="M33" i="11"/>
  <c r="BE35" i="11"/>
  <c r="AT38" i="11"/>
  <c r="BB38" i="11"/>
  <c r="BG39" i="11"/>
  <c r="AT40" i="11"/>
  <c r="BF40" i="11"/>
  <c r="BF43" i="11"/>
  <c r="BB43" i="11"/>
  <c r="AE51" i="11"/>
  <c r="L51" i="11"/>
  <c r="BF78" i="11"/>
  <c r="AX49" i="11"/>
  <c r="AX56" i="11"/>
  <c r="AE60" i="11"/>
  <c r="BB66" i="11"/>
  <c r="AX66" i="11"/>
  <c r="BA76" i="11"/>
  <c r="BC77" i="11"/>
  <c r="AU30" i="11"/>
  <c r="BG30" i="11"/>
  <c r="BG35" i="11"/>
  <c r="AO33" i="11"/>
  <c r="BE37" i="11"/>
  <c r="AU8" i="11"/>
  <c r="W6" i="11"/>
  <c r="AU11" i="11"/>
  <c r="BG11" i="11"/>
  <c r="AU12" i="11"/>
  <c r="BG12" i="11"/>
  <c r="L24" i="11"/>
  <c r="X24" i="11"/>
  <c r="BG31" i="11"/>
  <c r="AV34" i="11"/>
  <c r="AT39" i="11"/>
  <c r="BF39" i="11"/>
  <c r="AY49" i="11"/>
  <c r="AQ51" i="11"/>
  <c r="BD55" i="11"/>
  <c r="AY63" i="11"/>
  <c r="BG66" i="11"/>
  <c r="BD73" i="11"/>
  <c r="BG74" i="11"/>
  <c r="BB76" i="11"/>
  <c r="AY64" i="11"/>
  <c r="AY66" i="11"/>
  <c r="AY74" i="11"/>
  <c r="BA75" i="11"/>
  <c r="AV78" i="11"/>
  <c r="N6" i="11"/>
  <c r="AT9" i="11"/>
  <c r="AN6" i="11"/>
  <c r="AY10" i="11"/>
  <c r="AU10" i="11"/>
  <c r="BG10" i="11"/>
  <c r="AV12" i="11"/>
  <c r="BH12" i="11"/>
  <c r="AY16" i="11"/>
  <c r="AU16" i="11"/>
  <c r="BG16" i="11"/>
  <c r="AV18" i="11"/>
  <c r="BH18" i="11"/>
  <c r="BD18" i="11"/>
  <c r="AT21" i="11"/>
  <c r="BB25" i="11"/>
  <c r="V24" i="11"/>
  <c r="AT27" i="11"/>
  <c r="BF27" i="11"/>
  <c r="BB28" i="11"/>
  <c r="BF29" i="11"/>
  <c r="BI36" i="11"/>
  <c r="AY37" i="11"/>
  <c r="T33" i="11"/>
  <c r="AH33" i="11"/>
  <c r="AW40" i="11"/>
  <c r="BI40" i="11"/>
  <c r="AV43" i="11"/>
  <c r="BH43" i="11"/>
  <c r="U42" i="11"/>
  <c r="BC45" i="11"/>
  <c r="BE46" i="11"/>
  <c r="AV54" i="11"/>
  <c r="AP51" i="11"/>
  <c r="AU55" i="11"/>
  <c r="BG55" i="11"/>
  <c r="BI57" i="11"/>
  <c r="AT58" i="11"/>
  <c r="BF58" i="11"/>
  <c r="BB61" i="11"/>
  <c r="BB62" i="11"/>
  <c r="BD64" i="11"/>
  <c r="AZ64" i="11"/>
  <c r="BD66" i="11"/>
  <c r="AZ66" i="11"/>
  <c r="BB75" i="11"/>
  <c r="BD76" i="11"/>
  <c r="AW78" i="11"/>
  <c r="AU9" i="11"/>
  <c r="AZ10" i="11"/>
  <c r="BH10" i="11"/>
  <c r="AW12" i="11"/>
  <c r="BI12" i="11"/>
  <c r="AZ16" i="11"/>
  <c r="AV16" i="11"/>
  <c r="BH16" i="11"/>
  <c r="AX17" i="11"/>
  <c r="AT17" i="11"/>
  <c r="BF17" i="11"/>
  <c r="BE18" i="11"/>
  <c r="BI20" i="11"/>
  <c r="AU21" i="11"/>
  <c r="Y15" i="11"/>
  <c r="AM15" i="11"/>
  <c r="BG26" i="11"/>
  <c r="AU27" i="11"/>
  <c r="BG27" i="11"/>
  <c r="BC27" i="11"/>
  <c r="AU28" i="11"/>
  <c r="BG28" i="11"/>
  <c r="BC28" i="11"/>
  <c r="AT30" i="11"/>
  <c r="BB30" i="11"/>
  <c r="AY31" i="11"/>
  <c r="AX36" i="11"/>
  <c r="AZ37" i="11"/>
  <c r="BA38" i="11"/>
  <c r="AX39" i="11"/>
  <c r="AX40" i="11"/>
  <c r="BF44" i="11"/>
  <c r="S51" i="11"/>
  <c r="AG51" i="11"/>
  <c r="AV55" i="11"/>
  <c r="BH55" i="11"/>
  <c r="AU58" i="11"/>
  <c r="BG58" i="11"/>
  <c r="BC61" i="11"/>
  <c r="BC62" i="11"/>
  <c r="BE64" i="11"/>
  <c r="BA64" i="11"/>
  <c r="BA65" i="11"/>
  <c r="BE76" i="11"/>
  <c r="AG33" i="11"/>
  <c r="AZ36" i="11"/>
  <c r="AZ48" i="11"/>
  <c r="BC49" i="11"/>
  <c r="AU52" i="11"/>
  <c r="BG52" i="11"/>
  <c r="BC52" i="11"/>
  <c r="AY53" i="11"/>
  <c r="AY56" i="11"/>
  <c r="BA58" i="11"/>
  <c r="AW58" i="11"/>
  <c r="BI58" i="11"/>
  <c r="BI61" i="11"/>
  <c r="BE61" i="11"/>
  <c r="BD67" i="11"/>
  <c r="BA72" i="11"/>
  <c r="BB21" i="11"/>
  <c r="AZ22" i="11"/>
  <c r="AX25" i="11"/>
  <c r="AT31" i="11"/>
  <c r="BF31" i="11"/>
  <c r="AU37" i="11"/>
  <c r="BE40" i="11"/>
  <c r="Y42" i="11"/>
  <c r="AV52" i="11"/>
  <c r="BB58" i="11"/>
  <c r="Y60" i="11"/>
  <c r="AM60" i="11"/>
  <c r="BB72" i="11"/>
  <c r="AV75" i="11"/>
  <c r="AV76" i="11"/>
  <c r="AX77" i="11"/>
  <c r="M42" i="11"/>
  <c r="M41" i="11" s="1"/>
  <c r="AW44" i="11"/>
  <c r="AM42" i="11"/>
  <c r="BE44" i="11"/>
  <c r="AJ24" i="11"/>
  <c r="BB26" i="11"/>
  <c r="W24" i="11"/>
  <c r="T24" i="11"/>
  <c r="AH24" i="11"/>
  <c r="AY26" i="11"/>
  <c r="BC31" i="11"/>
  <c r="K6" i="11"/>
  <c r="O6" i="11"/>
  <c r="AO6" i="11"/>
  <c r="AD15" i="11"/>
  <c r="AI24" i="11"/>
  <c r="BA8" i="11"/>
  <c r="AI6" i="11"/>
  <c r="AT26" i="11"/>
  <c r="J24" i="11"/>
  <c r="J23" i="11" s="1"/>
  <c r="AZ74" i="11"/>
  <c r="P71" i="11"/>
  <c r="J6" i="11"/>
  <c r="J5" i="11" s="1"/>
  <c r="AT8" i="11"/>
  <c r="AW9" i="11"/>
  <c r="AE6" i="11"/>
  <c r="BI18" i="11"/>
  <c r="AQ15" i="11"/>
  <c r="J51" i="11"/>
  <c r="J50" i="11" s="1"/>
  <c r="AT53" i="11"/>
  <c r="BI73" i="11"/>
  <c r="Y71" i="11"/>
  <c r="BI71" i="11" s="1"/>
  <c r="X6" i="11"/>
  <c r="BH8" i="11"/>
  <c r="BA17" i="11"/>
  <c r="AI15" i="11"/>
  <c r="AY17" i="11"/>
  <c r="AJ33" i="11"/>
  <c r="K51" i="11"/>
  <c r="AU53" i="11"/>
  <c r="W51" i="11"/>
  <c r="BG53" i="11"/>
  <c r="BC53" i="11"/>
  <c r="AK51" i="11"/>
  <c r="AB6" i="11"/>
  <c r="M6" i="11"/>
  <c r="Y6" i="11"/>
  <c r="AM6" i="11"/>
  <c r="BG8" i="11"/>
  <c r="T6" i="11"/>
  <c r="AT36" i="11"/>
  <c r="J33" i="11"/>
  <c r="J32" i="11" s="1"/>
  <c r="AZ38" i="11"/>
  <c r="U6" i="11"/>
  <c r="AH15" i="11"/>
  <c r="AZ17" i="11"/>
  <c r="BC17" i="11"/>
  <c r="R15" i="11"/>
  <c r="BF35" i="11"/>
  <c r="AN33" i="11"/>
  <c r="N60" i="11"/>
  <c r="AT65" i="11"/>
  <c r="AB60" i="11"/>
  <c r="AT60" i="11" s="1"/>
  <c r="AN60" i="11"/>
  <c r="BF65" i="11"/>
  <c r="BB8" i="11"/>
  <c r="AJ6" i="11"/>
  <c r="BE38" i="11"/>
  <c r="U33" i="11"/>
  <c r="AI33" i="11"/>
  <c r="V51" i="11"/>
  <c r="BF53" i="11"/>
  <c r="L6" i="11"/>
  <c r="BF8" i="11"/>
  <c r="AC6" i="11"/>
  <c r="BF9" i="11"/>
  <c r="L15" i="11"/>
  <c r="BI16" i="11"/>
  <c r="X15" i="11"/>
  <c r="BH17" i="11"/>
  <c r="AL15" i="11"/>
  <c r="BD17" i="11"/>
  <c r="AQ24" i="11"/>
  <c r="BI44" i="11"/>
  <c r="BI9" i="11"/>
  <c r="K24" i="11"/>
  <c r="AU26" i="11"/>
  <c r="BC8" i="11"/>
  <c r="AK6" i="11"/>
  <c r="AW73" i="11"/>
  <c r="M71" i="11"/>
  <c r="AL6" i="11"/>
  <c r="S6" i="11"/>
  <c r="U15" i="11"/>
  <c r="BE17" i="11"/>
  <c r="BH19" i="11"/>
  <c r="AP15" i="11"/>
  <c r="AZ11" i="11"/>
  <c r="AW13" i="11"/>
  <c r="P33" i="11"/>
  <c r="AD33" i="11"/>
  <c r="AV35" i="11"/>
  <c r="BH35" i="11"/>
  <c r="AP33" i="11"/>
  <c r="BA9" i="11"/>
  <c r="Q6" i="11"/>
  <c r="BC26" i="11"/>
  <c r="AK24" i="11"/>
  <c r="BB53" i="11"/>
  <c r="AJ51" i="11"/>
  <c r="AG6" i="11"/>
  <c r="AZ19" i="11"/>
  <c r="Q24" i="11"/>
  <c r="AW27" i="11"/>
  <c r="AE24" i="11"/>
  <c r="BA35" i="11"/>
  <c r="Q33" i="11"/>
  <c r="AE33" i="11"/>
  <c r="AW35" i="11"/>
  <c r="BI35" i="11"/>
  <c r="AQ33" i="11"/>
  <c r="AV45" i="11"/>
  <c r="X42" i="11"/>
  <c r="BH45" i="11"/>
  <c r="BD45" i="11"/>
  <c r="AL42" i="11"/>
  <c r="AQ60" i="11"/>
  <c r="BI63" i="11"/>
  <c r="BG9" i="11"/>
  <c r="BE11" i="11"/>
  <c r="AX21" i="11"/>
  <c r="BD26" i="11"/>
  <c r="BH26" i="11"/>
  <c r="BE28" i="11"/>
  <c r="BF30" i="11"/>
  <c r="R33" i="11"/>
  <c r="AX35" i="11"/>
  <c r="AF33" i="11"/>
  <c r="P42" i="11"/>
  <c r="AZ44" i="11"/>
  <c r="AV44" i="11"/>
  <c r="AP42" i="11"/>
  <c r="BH44" i="11"/>
  <c r="AT11" i="11"/>
  <c r="BF11" i="11"/>
  <c r="AX13" i="11"/>
  <c r="AN15" i="11"/>
  <c r="W15" i="11"/>
  <c r="AK15" i="11"/>
  <c r="BA19" i="11"/>
  <c r="AY21" i="11"/>
  <c r="AY25" i="11"/>
  <c r="M24" i="11"/>
  <c r="AW26" i="11"/>
  <c r="AM24" i="11"/>
  <c r="BE26" i="11"/>
  <c r="BI26" i="11"/>
  <c r="BA29" i="11"/>
  <c r="BF26" i="11"/>
  <c r="BB29" i="11"/>
  <c r="AX9" i="11"/>
  <c r="AZ13" i="11"/>
  <c r="U24" i="11"/>
  <c r="BE27" i="11"/>
  <c r="BA27" i="11"/>
  <c r="BD61" i="11"/>
  <c r="BA73" i="11"/>
  <c r="BB27" i="11"/>
  <c r="AU39" i="11"/>
  <c r="K33" i="11"/>
  <c r="AK33" i="11"/>
  <c r="BC39" i="11"/>
  <c r="AH42" i="11"/>
  <c r="AZ45" i="11"/>
  <c r="AN51" i="11"/>
  <c r="BF54" i="11"/>
  <c r="AY9" i="11"/>
  <c r="AZ9" i="11"/>
  <c r="AZ12" i="11"/>
  <c r="BG17" i="11"/>
  <c r="AT10" i="11"/>
  <c r="BF10" i="11"/>
  <c r="BA12" i="11"/>
  <c r="AB15" i="11"/>
  <c r="AY20" i="11"/>
  <c r="AW22" i="11"/>
  <c r="BI22" i="11"/>
  <c r="R24" i="11"/>
  <c r="AF24" i="11"/>
  <c r="AW34" i="11"/>
  <c r="BE39" i="11"/>
  <c r="AM33" i="11"/>
  <c r="BF46" i="11"/>
  <c r="V42" i="11"/>
  <c r="BG47" i="11"/>
  <c r="W42" i="11"/>
  <c r="AU49" i="11"/>
  <c r="AC42" i="11"/>
  <c r="AU42" i="11" s="1"/>
  <c r="BG49" i="11"/>
  <c r="O51" i="11"/>
  <c r="AU54" i="11"/>
  <c r="AC51" i="11"/>
  <c r="J15" i="11"/>
  <c r="J14" i="11" s="1"/>
  <c r="V15" i="11"/>
  <c r="AJ15" i="11"/>
  <c r="BA21" i="11"/>
  <c r="AZ35" i="11"/>
  <c r="BE36" i="11"/>
  <c r="BD38" i="11"/>
  <c r="AW39" i="11"/>
  <c r="BB40" i="11"/>
  <c r="N42" i="11"/>
  <c r="AB42" i="11"/>
  <c r="AT42" i="11" s="1"/>
  <c r="BD20" i="11"/>
  <c r="R42" i="11"/>
  <c r="AW48" i="11"/>
  <c r="BI48" i="11"/>
  <c r="V60" i="11"/>
  <c r="BF64" i="11"/>
  <c r="BB64" i="11"/>
  <c r="AJ60" i="11"/>
  <c r="AK71" i="11"/>
  <c r="AT28" i="11"/>
  <c r="V33" i="11"/>
  <c r="BA37" i="11"/>
  <c r="BC44" i="11"/>
  <c r="S42" i="11"/>
  <c r="AY44" i="11"/>
  <c r="AG42" i="11"/>
  <c r="BF28" i="11"/>
  <c r="BA34" i="11"/>
  <c r="BB35" i="11"/>
  <c r="AU19" i="11"/>
  <c r="BG19" i="11"/>
  <c r="AW31" i="11"/>
  <c r="BI31" i="11"/>
  <c r="AV36" i="11"/>
  <c r="BB37" i="11"/>
  <c r="AZ39" i="11"/>
  <c r="AQ42" i="11"/>
  <c r="BI45" i="11"/>
  <c r="W71" i="11"/>
  <c r="AM71" i="11"/>
  <c r="BE73" i="11"/>
  <c r="AX76" i="11"/>
  <c r="L33" i="11"/>
  <c r="X33" i="11"/>
  <c r="BD35" i="11"/>
  <c r="AL33" i="11"/>
  <c r="BA44" i="11"/>
  <c r="AI42" i="11"/>
  <c r="X51" i="11"/>
  <c r="BH56" i="11"/>
  <c r="BD56" i="11"/>
  <c r="AL51" i="11"/>
  <c r="AD71" i="11"/>
  <c r="AJ71" i="11"/>
  <c r="U71" i="11"/>
  <c r="BE74" i="11"/>
  <c r="BD77" i="11"/>
  <c r="AF42" i="11"/>
  <c r="P60" i="11"/>
  <c r="AP60" i="11"/>
  <c r="AI60" i="11"/>
  <c r="BA62" i="11"/>
  <c r="O60" i="11"/>
  <c r="AY76" i="11"/>
  <c r="BC29" i="11"/>
  <c r="AU36" i="11"/>
  <c r="BG36" i="11"/>
  <c r="AU40" i="11"/>
  <c r="BG40" i="11"/>
  <c r="AK42" i="11"/>
  <c r="AX44" i="11"/>
  <c r="AZ49" i="11"/>
  <c r="AV58" i="11"/>
  <c r="AD51" i="11"/>
  <c r="BC72" i="11"/>
  <c r="BH62" i="11"/>
  <c r="X60" i="11"/>
  <c r="BD62" i="11"/>
  <c r="AL60" i="11"/>
  <c r="BE62" i="11"/>
  <c r="X71" i="11"/>
  <c r="BH71" i="11" s="1"/>
  <c r="BD72" i="11"/>
  <c r="AX45" i="11"/>
  <c r="AT45" i="11"/>
  <c r="T71" i="11"/>
  <c r="BB73" i="11"/>
  <c r="U51" i="11"/>
  <c r="BA53" i="11"/>
  <c r="AI51" i="11"/>
  <c r="BC73" i="11"/>
  <c r="Q71" i="11"/>
  <c r="AG71" i="11"/>
  <c r="BG78" i="11"/>
  <c r="BG48" i="11"/>
  <c r="AT52" i="11"/>
  <c r="BF52" i="11"/>
  <c r="BH54" i="11"/>
  <c r="AT56" i="11"/>
  <c r="BF56" i="11"/>
  <c r="AX58" i="11"/>
  <c r="AW67" i="11"/>
  <c r="BI67" i="11"/>
  <c r="BE72" i="11"/>
  <c r="AV73" i="11"/>
  <c r="BE77" i="11"/>
  <c r="AW54" i="11"/>
  <c r="BI54" i="11"/>
  <c r="AY58" i="11"/>
  <c r="AK60" i="11"/>
  <c r="AZ63" i="11"/>
  <c r="AX67" i="11"/>
  <c r="BF72" i="11"/>
  <c r="BF77" i="11"/>
  <c r="AV47" i="11"/>
  <c r="BH47" i="11"/>
  <c r="AX54" i="11"/>
  <c r="AZ58" i="11"/>
  <c r="R60" i="11"/>
  <c r="AF60" i="11"/>
  <c r="BA63" i="11"/>
  <c r="AX65" i="11"/>
  <c r="AY67" i="11"/>
  <c r="AF71" i="11"/>
  <c r="BG77" i="11"/>
  <c r="AY54" i="11"/>
  <c r="S60" i="11"/>
  <c r="AG60" i="11"/>
  <c r="BB63" i="11"/>
  <c r="AY65" i="11"/>
  <c r="AW46" i="11"/>
  <c r="BI46" i="11"/>
  <c r="AZ54" i="11"/>
  <c r="AZ57" i="11"/>
  <c r="T60" i="11"/>
  <c r="AH60" i="11"/>
  <c r="BC63" i="11"/>
  <c r="AZ65" i="11"/>
  <c r="R71" i="11"/>
  <c r="AH71" i="11"/>
  <c r="AZ73" i="11"/>
  <c r="AW74" i="11"/>
  <c r="AE71" i="11"/>
  <c r="BC76" i="11"/>
  <c r="O121" i="7"/>
  <c r="N121" i="7"/>
  <c r="M121" i="7"/>
  <c r="L121" i="7"/>
  <c r="K121" i="7"/>
  <c r="I121" i="7"/>
  <c r="G121" i="7"/>
  <c r="F121" i="7"/>
  <c r="E121" i="7"/>
  <c r="D121" i="7"/>
  <c r="O120" i="7"/>
  <c r="N120" i="7"/>
  <c r="M120" i="7"/>
  <c r="L120" i="7"/>
  <c r="K120" i="7"/>
  <c r="J120" i="7"/>
  <c r="I120" i="7"/>
  <c r="H120" i="7"/>
  <c r="G120" i="7"/>
  <c r="F120" i="7"/>
  <c r="E120" i="7"/>
  <c r="D120" i="7"/>
  <c r="O102" i="7"/>
  <c r="N102" i="7"/>
  <c r="M102" i="7"/>
  <c r="L102" i="7"/>
  <c r="K102" i="7"/>
  <c r="J102" i="7"/>
  <c r="I102" i="7"/>
  <c r="H102" i="7"/>
  <c r="G102" i="7"/>
  <c r="F102" i="7"/>
  <c r="E102" i="7"/>
  <c r="D102" i="7"/>
  <c r="O101" i="7"/>
  <c r="N101" i="7"/>
  <c r="M101" i="7"/>
  <c r="L101" i="7"/>
  <c r="K101" i="7"/>
  <c r="J101" i="7"/>
  <c r="I101" i="7"/>
  <c r="H101" i="7"/>
  <c r="G101" i="7"/>
  <c r="F101" i="7"/>
  <c r="E101" i="7"/>
  <c r="D101" i="7"/>
  <c r="O83" i="7"/>
  <c r="N83" i="7"/>
  <c r="L83" i="7"/>
  <c r="K83" i="7"/>
  <c r="J83" i="7"/>
  <c r="H83" i="7"/>
  <c r="G83" i="7"/>
  <c r="F83" i="7"/>
  <c r="E83" i="7"/>
  <c r="D83" i="7"/>
  <c r="O82" i="7"/>
  <c r="N82" i="7"/>
  <c r="M82" i="7"/>
  <c r="L82" i="7"/>
  <c r="K82" i="7"/>
  <c r="J82" i="7"/>
  <c r="I82" i="7"/>
  <c r="H82" i="7"/>
  <c r="G82" i="7"/>
  <c r="F82" i="7"/>
  <c r="E82" i="7"/>
  <c r="D82" i="7"/>
  <c r="O64" i="7"/>
  <c r="N64" i="7"/>
  <c r="L64" i="7"/>
  <c r="K64" i="7"/>
  <c r="J64" i="7"/>
  <c r="H64" i="7"/>
  <c r="G64" i="7"/>
  <c r="F64" i="7"/>
  <c r="E64" i="7"/>
  <c r="D64" i="7"/>
  <c r="O63" i="7"/>
  <c r="N63" i="7"/>
  <c r="M63" i="7"/>
  <c r="L63" i="7"/>
  <c r="K63" i="7"/>
  <c r="J63" i="7"/>
  <c r="I63" i="7"/>
  <c r="H63" i="7"/>
  <c r="G63" i="7"/>
  <c r="F63" i="7"/>
  <c r="E63" i="7"/>
  <c r="D63" i="7"/>
  <c r="O45" i="7"/>
  <c r="N45" i="7"/>
  <c r="L45" i="7"/>
  <c r="K45" i="7"/>
  <c r="J45" i="7"/>
  <c r="H45" i="7"/>
  <c r="G45" i="7"/>
  <c r="F45" i="7"/>
  <c r="E45" i="7"/>
  <c r="D45" i="7"/>
  <c r="O44" i="7"/>
  <c r="N44" i="7"/>
  <c r="M44" i="7"/>
  <c r="L44" i="7"/>
  <c r="K44" i="7"/>
  <c r="J44" i="7"/>
  <c r="I44" i="7"/>
  <c r="H44" i="7"/>
  <c r="G44" i="7"/>
  <c r="F44" i="7"/>
  <c r="E44" i="7"/>
  <c r="D44" i="7"/>
  <c r="O27" i="7"/>
  <c r="N27" i="7"/>
  <c r="M27" i="7"/>
  <c r="L27" i="7"/>
  <c r="K27" i="7"/>
  <c r="J27" i="7"/>
  <c r="I27" i="7"/>
  <c r="H27" i="7"/>
  <c r="G27" i="7"/>
  <c r="F27" i="7"/>
  <c r="E27" i="7"/>
  <c r="D27" i="7"/>
  <c r="O26" i="7"/>
  <c r="N26" i="7"/>
  <c r="M26" i="7"/>
  <c r="L26" i="7"/>
  <c r="K26" i="7"/>
  <c r="J26" i="7"/>
  <c r="I26" i="7"/>
  <c r="H26" i="7"/>
  <c r="G26" i="7"/>
  <c r="F26" i="7"/>
  <c r="E26" i="7"/>
  <c r="D26" i="7"/>
  <c r="O9" i="7"/>
  <c r="N9" i="7"/>
  <c r="M9" i="7"/>
  <c r="L9" i="7"/>
  <c r="K9" i="7"/>
  <c r="J9" i="7"/>
  <c r="I9" i="7"/>
  <c r="H9" i="7"/>
  <c r="G9" i="7"/>
  <c r="F9" i="7"/>
  <c r="E9" i="7"/>
  <c r="D9" i="7"/>
  <c r="O8" i="7"/>
  <c r="N8" i="7"/>
  <c r="M8" i="7"/>
  <c r="L8" i="7"/>
  <c r="K8" i="7"/>
  <c r="J8" i="7"/>
  <c r="I8" i="7"/>
  <c r="H8" i="7"/>
  <c r="G8" i="7"/>
  <c r="F8" i="7"/>
  <c r="E8" i="7"/>
  <c r="D8" i="7"/>
  <c r="J183" i="5"/>
  <c r="C183" i="5"/>
  <c r="C184" i="5" s="1"/>
  <c r="D43" i="11" l="1"/>
  <c r="C52" i="11"/>
  <c r="C72" i="11"/>
  <c r="C16" i="11"/>
  <c r="C7" i="11"/>
  <c r="C43" i="11"/>
  <c r="D7" i="11"/>
  <c r="D61" i="11"/>
  <c r="D34" i="11"/>
  <c r="D52" i="11"/>
  <c r="D25" i="11"/>
  <c r="C61" i="11"/>
  <c r="D72" i="11"/>
  <c r="C34" i="11"/>
  <c r="C25" i="11"/>
  <c r="D16" i="11"/>
  <c r="BC71" i="11"/>
  <c r="BD51" i="11"/>
  <c r="AW15" i="11"/>
  <c r="BH24" i="11"/>
  <c r="BA71" i="11"/>
  <c r="BD71" i="11"/>
  <c r="AZ24" i="11"/>
  <c r="AY15" i="11"/>
  <c r="AX71" i="11"/>
  <c r="AX51" i="11"/>
  <c r="C76" i="11"/>
  <c r="BD24" i="11"/>
  <c r="AY24" i="11"/>
  <c r="AX24" i="11"/>
  <c r="AC32" i="11"/>
  <c r="AD32" i="11" s="1"/>
  <c r="AE32" i="11" s="1"/>
  <c r="AZ6" i="11"/>
  <c r="BB51" i="11"/>
  <c r="AU24" i="11"/>
  <c r="BG33" i="11"/>
  <c r="BC24" i="11"/>
  <c r="AY33" i="11"/>
  <c r="AU15" i="11"/>
  <c r="AZ60" i="11"/>
  <c r="C77" i="11"/>
  <c r="C78" i="11"/>
  <c r="AW71" i="11"/>
  <c r="BE33" i="11"/>
  <c r="BI51" i="11"/>
  <c r="BI33" i="11"/>
  <c r="AZ51" i="11"/>
  <c r="BD15" i="11"/>
  <c r="AT32" i="11"/>
  <c r="AY71" i="11"/>
  <c r="BB42" i="11"/>
  <c r="K14" i="11"/>
  <c r="L14" i="11" s="1"/>
  <c r="M14" i="11" s="1"/>
  <c r="N14" i="11" s="1"/>
  <c r="O14" i="11" s="1"/>
  <c r="P14" i="11" s="1"/>
  <c r="Q14" i="11" s="1"/>
  <c r="R14" i="11" s="1"/>
  <c r="S14" i="11" s="1"/>
  <c r="T14" i="11" s="1"/>
  <c r="U14" i="11" s="1"/>
  <c r="V14" i="11" s="1"/>
  <c r="W14" i="11" s="1"/>
  <c r="X14" i="11" s="1"/>
  <c r="Y14" i="11" s="1"/>
  <c r="BF42" i="11"/>
  <c r="BC33" i="11"/>
  <c r="AW51" i="11"/>
  <c r="AU33" i="11"/>
  <c r="D10" i="11"/>
  <c r="BA51" i="11"/>
  <c r="C75" i="11"/>
  <c r="BE51" i="11"/>
  <c r="BG24" i="11"/>
  <c r="D21" i="11"/>
  <c r="AV60" i="11"/>
  <c r="BE60" i="11"/>
  <c r="AY51" i="11"/>
  <c r="BH6" i="11"/>
  <c r="D57" i="11"/>
  <c r="BG15" i="11"/>
  <c r="BI6" i="11"/>
  <c r="AX6" i="11"/>
  <c r="D66" i="11"/>
  <c r="C63" i="11"/>
  <c r="C62" i="11"/>
  <c r="D22" i="11"/>
  <c r="C29" i="11"/>
  <c r="D64" i="11"/>
  <c r="C37" i="11"/>
  <c r="BH42" i="11"/>
  <c r="C64" i="11"/>
  <c r="D18" i="11"/>
  <c r="AW60" i="11"/>
  <c r="AT51" i="11"/>
  <c r="D12" i="11"/>
  <c r="D58" i="11"/>
  <c r="C18" i="11"/>
  <c r="C48" i="11"/>
  <c r="C20" i="11"/>
  <c r="AV24" i="11"/>
  <c r="BE42" i="11"/>
  <c r="C67" i="11"/>
  <c r="BD42" i="11"/>
  <c r="BF6" i="11"/>
  <c r="K5" i="11"/>
  <c r="L5" i="11" s="1"/>
  <c r="M5" i="11" s="1"/>
  <c r="N5" i="11" s="1"/>
  <c r="O5" i="11" s="1"/>
  <c r="P5" i="11" s="1"/>
  <c r="Q5" i="11" s="1"/>
  <c r="R5" i="11" s="1"/>
  <c r="S5" i="11" s="1"/>
  <c r="T5" i="11" s="1"/>
  <c r="U5" i="11" s="1"/>
  <c r="V5" i="11" s="1"/>
  <c r="W5" i="11" s="1"/>
  <c r="X5" i="11" s="1"/>
  <c r="Y5" i="11" s="1"/>
  <c r="D75" i="11"/>
  <c r="D65" i="11"/>
  <c r="D31" i="11"/>
  <c r="D55" i="11"/>
  <c r="C57" i="11"/>
  <c r="D13" i="11"/>
  <c r="BA60" i="11"/>
  <c r="C46" i="11"/>
  <c r="D49" i="11"/>
  <c r="D27" i="11"/>
  <c r="AD59" i="11"/>
  <c r="AE59" i="11" s="1"/>
  <c r="AX15" i="11"/>
  <c r="D48" i="11"/>
  <c r="C74" i="11"/>
  <c r="D77" i="11"/>
  <c r="D78" i="11"/>
  <c r="BH51" i="11"/>
  <c r="BI42" i="11"/>
  <c r="AY42" i="11"/>
  <c r="M59" i="11"/>
  <c r="N59" i="11" s="1"/>
  <c r="O59" i="11" s="1"/>
  <c r="P59" i="11" s="1"/>
  <c r="Q59" i="11" s="1"/>
  <c r="R59" i="11" s="1"/>
  <c r="S59" i="11" s="1"/>
  <c r="T59" i="11" s="1"/>
  <c r="U59" i="11" s="1"/>
  <c r="V59" i="11" s="1"/>
  <c r="W59" i="11" s="1"/>
  <c r="X59" i="11" s="1"/>
  <c r="Y59" i="11" s="1"/>
  <c r="BC51" i="11"/>
  <c r="C55" i="11"/>
  <c r="C40" i="11"/>
  <c r="C49" i="11"/>
  <c r="D30" i="11"/>
  <c r="BF33" i="11"/>
  <c r="AW6" i="11"/>
  <c r="BE15" i="11"/>
  <c r="C30" i="11"/>
  <c r="BD60" i="11"/>
  <c r="D37" i="11"/>
  <c r="BB15" i="11"/>
  <c r="M70" i="11"/>
  <c r="N70" i="11" s="1"/>
  <c r="O70" i="11" s="1"/>
  <c r="P70" i="11" s="1"/>
  <c r="Q70" i="11" s="1"/>
  <c r="R70" i="11" s="1"/>
  <c r="S70" i="11" s="1"/>
  <c r="T70" i="11" s="1"/>
  <c r="U70" i="11" s="1"/>
  <c r="V70" i="11" s="1"/>
  <c r="W70" i="11" s="1"/>
  <c r="X70" i="11" s="1"/>
  <c r="Y70" i="11" s="1"/>
  <c r="BF24" i="11"/>
  <c r="D56" i="11"/>
  <c r="C47" i="11"/>
  <c r="BD33" i="11"/>
  <c r="AY6" i="11"/>
  <c r="BA15" i="11"/>
  <c r="BB6" i="11"/>
  <c r="C66" i="11"/>
  <c r="C44" i="11"/>
  <c r="AX42" i="11"/>
  <c r="C54" i="11"/>
  <c r="D28" i="11"/>
  <c r="BB24" i="11"/>
  <c r="BB60" i="11"/>
  <c r="D76" i="11"/>
  <c r="AV51" i="11"/>
  <c r="BA42" i="11"/>
  <c r="D38" i="11"/>
  <c r="C12" i="11"/>
  <c r="C19" i="11"/>
  <c r="BI24" i="11"/>
  <c r="C38" i="11"/>
  <c r="K50" i="11"/>
  <c r="L50" i="11" s="1"/>
  <c r="M50" i="11" s="1"/>
  <c r="N50" i="11" s="1"/>
  <c r="O50" i="11" s="1"/>
  <c r="P50" i="11" s="1"/>
  <c r="Q50" i="11" s="1"/>
  <c r="R50" i="11" s="1"/>
  <c r="S50" i="11" s="1"/>
  <c r="T50" i="11" s="1"/>
  <c r="U50" i="11" s="1"/>
  <c r="V50" i="11" s="1"/>
  <c r="W50" i="11" s="1"/>
  <c r="X50" i="11" s="1"/>
  <c r="Y50" i="11" s="1"/>
  <c r="AU51" i="11"/>
  <c r="AZ15" i="11"/>
  <c r="C58" i="11"/>
  <c r="D74" i="11"/>
  <c r="D36" i="11"/>
  <c r="D29" i="11"/>
  <c r="BD6" i="11"/>
  <c r="BI15" i="11"/>
  <c r="D44" i="11"/>
  <c r="C31" i="11"/>
  <c r="D11" i="11"/>
  <c r="C35" i="11"/>
  <c r="AZ33" i="11"/>
  <c r="BA33" i="11"/>
  <c r="C9" i="11"/>
  <c r="AT24" i="11"/>
  <c r="BC15" i="11"/>
  <c r="AZ71" i="11"/>
  <c r="AY60" i="11"/>
  <c r="BC42" i="11"/>
  <c r="D19" i="11"/>
  <c r="C22" i="11"/>
  <c r="AW33" i="11"/>
  <c r="C13" i="11"/>
  <c r="BC6" i="11"/>
  <c r="D47" i="11"/>
  <c r="C28" i="11"/>
  <c r="D20" i="11"/>
  <c r="AT15" i="11"/>
  <c r="AZ42" i="11"/>
  <c r="BE24" i="11"/>
  <c r="AX33" i="11"/>
  <c r="BI60" i="11"/>
  <c r="BG6" i="11"/>
  <c r="C21" i="11"/>
  <c r="D67" i="11"/>
  <c r="D46" i="11"/>
  <c r="D9" i="11"/>
  <c r="C27" i="11"/>
  <c r="C17" i="11"/>
  <c r="C56" i="11"/>
  <c r="BF60" i="11"/>
  <c r="C73" i="11"/>
  <c r="C39" i="11"/>
  <c r="AC50" i="11"/>
  <c r="AT50" i="11"/>
  <c r="D26" i="11"/>
  <c r="BF51" i="11"/>
  <c r="D40" i="11"/>
  <c r="AT33" i="11"/>
  <c r="C65" i="11"/>
  <c r="AB5" i="11"/>
  <c r="AT6" i="11"/>
  <c r="BA24" i="11"/>
  <c r="BB71" i="11"/>
  <c r="AV42" i="11"/>
  <c r="AB14" i="11"/>
  <c r="C53" i="11"/>
  <c r="K23" i="11"/>
  <c r="J1" i="11"/>
  <c r="BC60" i="11"/>
  <c r="C11" i="11"/>
  <c r="BH33" i="11"/>
  <c r="C26" i="11"/>
  <c r="N41" i="11"/>
  <c r="O41" i="11" s="1"/>
  <c r="P41" i="11" s="1"/>
  <c r="Q41" i="11" s="1"/>
  <c r="R41" i="11" s="1"/>
  <c r="S41" i="11" s="1"/>
  <c r="T41" i="11" s="1"/>
  <c r="U41" i="11" s="1"/>
  <c r="V41" i="11" s="1"/>
  <c r="W41" i="11" s="1"/>
  <c r="X41" i="11" s="1"/>
  <c r="Y41" i="11" s="1"/>
  <c r="AW42" i="11"/>
  <c r="K32" i="11"/>
  <c r="AV15" i="11"/>
  <c r="AV71" i="11"/>
  <c r="AD70" i="11"/>
  <c r="D53" i="11"/>
  <c r="BH60" i="11"/>
  <c r="D8" i="11"/>
  <c r="D17" i="11"/>
  <c r="BA6" i="11"/>
  <c r="AT23" i="11"/>
  <c r="AC23" i="11"/>
  <c r="AB1" i="11"/>
  <c r="C36" i="11"/>
  <c r="D35" i="11"/>
  <c r="D62" i="11"/>
  <c r="BF15" i="11"/>
  <c r="BH15" i="11"/>
  <c r="AX60" i="11"/>
  <c r="C45" i="11"/>
  <c r="D39" i="11"/>
  <c r="AU6" i="11"/>
  <c r="BB33" i="11"/>
  <c r="BE71" i="11"/>
  <c r="AW24" i="11"/>
  <c r="AV33" i="11"/>
  <c r="BE6" i="11"/>
  <c r="C185" i="5"/>
  <c r="E35" i="11" l="1"/>
  <c r="E61" i="11"/>
  <c r="C24" i="11"/>
  <c r="C71" i="11"/>
  <c r="C60" i="11"/>
  <c r="C42" i="11"/>
  <c r="E7" i="11"/>
  <c r="D24" i="11"/>
  <c r="C51" i="11"/>
  <c r="D33" i="11"/>
  <c r="D15" i="11"/>
  <c r="C15" i="11"/>
  <c r="D6" i="11"/>
  <c r="C33" i="11"/>
  <c r="E72" i="11"/>
  <c r="E58" i="11"/>
  <c r="E43" i="11"/>
  <c r="E74" i="11"/>
  <c r="E76" i="11"/>
  <c r="E34" i="11"/>
  <c r="E78" i="11"/>
  <c r="E77" i="11"/>
  <c r="E75" i="11"/>
  <c r="E27" i="11"/>
  <c r="E57" i="11"/>
  <c r="E25" i="11"/>
  <c r="AV59" i="11"/>
  <c r="E64" i="11"/>
  <c r="E21" i="11"/>
  <c r="E62" i="11"/>
  <c r="E22" i="11"/>
  <c r="E48" i="11"/>
  <c r="E16" i="11"/>
  <c r="E52" i="11"/>
  <c r="E20" i="11"/>
  <c r="E37" i="11"/>
  <c r="E12" i="11"/>
  <c r="E66" i="11"/>
  <c r="E18" i="11"/>
  <c r="E9" i="11"/>
  <c r="E47" i="11"/>
  <c r="E29" i="11"/>
  <c r="E30" i="11"/>
  <c r="E46" i="11"/>
  <c r="E67" i="11"/>
  <c r="E39" i="11"/>
  <c r="E65" i="11"/>
  <c r="E13" i="11"/>
  <c r="E55" i="11"/>
  <c r="E56" i="11"/>
  <c r="E49" i="11"/>
  <c r="E31" i="11"/>
  <c r="E17" i="11"/>
  <c r="E44" i="11"/>
  <c r="E11" i="11"/>
  <c r="E38" i="11"/>
  <c r="E53" i="11"/>
  <c r="E40" i="11"/>
  <c r="E36" i="11"/>
  <c r="E19" i="11"/>
  <c r="E28" i="11"/>
  <c r="L32" i="11"/>
  <c r="AU32" i="11"/>
  <c r="AW59" i="11"/>
  <c r="AF59" i="11"/>
  <c r="E26" i="11"/>
  <c r="AC14" i="11"/>
  <c r="AT14" i="11"/>
  <c r="AD50" i="11"/>
  <c r="AU50" i="11"/>
  <c r="AE41" i="11"/>
  <c r="AV41" i="11"/>
  <c r="L23" i="11"/>
  <c r="K1" i="11"/>
  <c r="AV70" i="11"/>
  <c r="AE70" i="11"/>
  <c r="AC5" i="11"/>
  <c r="AT5" i="11"/>
  <c r="AU23" i="11"/>
  <c r="AC1" i="11"/>
  <c r="AD23" i="11"/>
  <c r="AF32" i="11"/>
  <c r="E183" i="5"/>
  <c r="D183" i="5"/>
  <c r="P173" i="5"/>
  <c r="R294" i="4"/>
  <c r="Q294" i="4"/>
  <c r="P294" i="4"/>
  <c r="O294" i="4"/>
  <c r="N294" i="4"/>
  <c r="M294" i="4"/>
  <c r="L294" i="4"/>
  <c r="K294" i="4"/>
  <c r="J294" i="4"/>
  <c r="I294" i="4"/>
  <c r="H294" i="4"/>
  <c r="G294" i="4"/>
  <c r="AG19" i="8" l="1"/>
  <c r="AG23" i="8"/>
  <c r="AD23" i="8"/>
  <c r="AE20" i="8"/>
  <c r="AB21" i="8"/>
  <c r="AG22" i="8"/>
  <c r="AF23" i="8"/>
  <c r="AE22" i="8"/>
  <c r="AB17" i="8"/>
  <c r="AD18" i="8"/>
  <c r="Z19" i="8"/>
  <c r="AB19" i="8"/>
  <c r="AE23" i="8"/>
  <c r="AF20" i="8"/>
  <c r="Z21" i="8"/>
  <c r="AB20" i="8"/>
  <c r="AC22" i="8"/>
  <c r="AE18" i="8"/>
  <c r="AC23" i="8"/>
  <c r="Z18" i="8"/>
  <c r="AD20" i="8"/>
  <c r="AF21" i="8"/>
  <c r="AF22" i="8"/>
  <c r="AE21" i="8"/>
  <c r="AD21" i="8"/>
  <c r="AC18" i="8"/>
  <c r="AF18" i="8"/>
  <c r="AG21" i="8"/>
  <c r="Z17" i="8"/>
  <c r="Z20" i="8"/>
  <c r="AG20" i="8"/>
  <c r="AD19" i="8"/>
  <c r="Z22" i="8"/>
  <c r="AC17" i="8"/>
  <c r="AB18" i="8"/>
  <c r="AB23" i="8"/>
  <c r="AF17" i="8"/>
  <c r="Z23" i="8"/>
  <c r="AE17" i="8"/>
  <c r="AD17" i="8"/>
  <c r="AG18" i="8"/>
  <c r="AG17" i="8"/>
  <c r="AE19" i="8"/>
  <c r="AF19" i="8"/>
  <c r="AD4" i="8"/>
  <c r="AF4" i="8"/>
  <c r="AG4" i="8"/>
  <c r="AE4" i="8"/>
  <c r="AC4" i="8"/>
  <c r="Z4" i="8"/>
  <c r="E33" i="11"/>
  <c r="E15" i="11"/>
  <c r="E24" i="11"/>
  <c r="M23" i="11"/>
  <c r="L1" i="11"/>
  <c r="AG32" i="11"/>
  <c r="AF41" i="11"/>
  <c r="AW41" i="11"/>
  <c r="M32" i="11"/>
  <c r="AV32" i="11"/>
  <c r="AV23" i="11"/>
  <c r="AD1" i="11"/>
  <c r="AE23" i="11"/>
  <c r="AE50" i="11"/>
  <c r="AV50" i="11"/>
  <c r="AD14" i="11"/>
  <c r="AU14" i="11"/>
  <c r="AU5" i="11"/>
  <c r="AW70" i="11"/>
  <c r="AF70" i="11"/>
  <c r="AX59" i="11"/>
  <c r="AG59" i="11"/>
  <c r="E185" i="5"/>
  <c r="F183" i="5"/>
  <c r="D185" i="5"/>
  <c r="F185" i="5" l="1"/>
  <c r="AA17" i="8"/>
  <c r="AH17" i="8" s="1"/>
  <c r="AA18" i="8"/>
  <c r="AH18" i="8" s="1"/>
  <c r="AA23" i="8"/>
  <c r="N23" i="11"/>
  <c r="M1" i="11"/>
  <c r="AF50" i="11"/>
  <c r="AW50" i="11"/>
  <c r="AF23" i="11"/>
  <c r="AW23" i="11"/>
  <c r="AE1" i="11"/>
  <c r="AH59" i="11"/>
  <c r="AY59" i="11"/>
  <c r="AG70" i="11"/>
  <c r="AX70" i="11"/>
  <c r="N32" i="11"/>
  <c r="AW32" i="11"/>
  <c r="AV14" i="11"/>
  <c r="AE14" i="11"/>
  <c r="AG41" i="11"/>
  <c r="AX41" i="11"/>
  <c r="AH32" i="11"/>
  <c r="G183" i="5"/>
  <c r="G185" i="5" s="1"/>
  <c r="AH70" i="11" l="1"/>
  <c r="AY70" i="11"/>
  <c r="AI32" i="11"/>
  <c r="AI59" i="11"/>
  <c r="AZ59" i="11"/>
  <c r="AX23" i="11"/>
  <c r="AG23" i="11"/>
  <c r="AY41" i="11"/>
  <c r="AH41" i="11"/>
  <c r="O32" i="11"/>
  <c r="AX32" i="11"/>
  <c r="AW14" i="11"/>
  <c r="AF14" i="11"/>
  <c r="AX50" i="11"/>
  <c r="AG50" i="11"/>
  <c r="O23" i="11"/>
  <c r="H183" i="5"/>
  <c r="H185" i="5" s="1"/>
  <c r="P32" i="11" l="1"/>
  <c r="AY32" i="11"/>
  <c r="AI70" i="11"/>
  <c r="AZ70" i="11"/>
  <c r="AH23" i="11"/>
  <c r="AY23" i="11"/>
  <c r="AH50" i="11"/>
  <c r="AY50" i="11"/>
  <c r="AX14" i="11"/>
  <c r="AG14" i="11"/>
  <c r="AJ32" i="11"/>
  <c r="AZ41" i="11"/>
  <c r="AI41" i="11"/>
  <c r="P23" i="11"/>
  <c r="AJ59" i="11"/>
  <c r="C59" i="11"/>
  <c r="BA59" i="11"/>
  <c r="I185" i="5"/>
  <c r="AK59" i="11" l="1"/>
  <c r="BB59" i="11"/>
  <c r="AI23" i="11"/>
  <c r="AZ23" i="11"/>
  <c r="Q23" i="11"/>
  <c r="AY14" i="11"/>
  <c r="AH14" i="11"/>
  <c r="AZ50" i="11"/>
  <c r="AI50" i="11"/>
  <c r="BA41" i="11"/>
  <c r="C41" i="11"/>
  <c r="AJ41" i="11"/>
  <c r="C70" i="11"/>
  <c r="AJ70" i="11"/>
  <c r="BA70" i="11"/>
  <c r="AK32" i="11"/>
  <c r="Q32" i="11"/>
  <c r="AZ32" i="11"/>
  <c r="J185" i="5"/>
  <c r="K183" i="5"/>
  <c r="BA50" i="11" l="1"/>
  <c r="AJ50" i="11"/>
  <c r="C50" i="11"/>
  <c r="R32" i="11"/>
  <c r="BA32" i="11"/>
  <c r="C32" i="11"/>
  <c r="AI14" i="11"/>
  <c r="AZ14" i="11"/>
  <c r="AK70" i="11"/>
  <c r="BB70" i="11"/>
  <c r="AL32" i="11"/>
  <c r="R23" i="11"/>
  <c r="BB41" i="11"/>
  <c r="AK41" i="11"/>
  <c r="C23" i="11"/>
  <c r="AJ23" i="11"/>
  <c r="BA23" i="11"/>
  <c r="AL59" i="11"/>
  <c r="BC59" i="11"/>
  <c r="K185" i="5"/>
  <c r="L183" i="5"/>
  <c r="AL70" i="11" l="1"/>
  <c r="BC70" i="11"/>
  <c r="S23" i="11"/>
  <c r="AM32" i="11"/>
  <c r="AM59" i="11"/>
  <c r="BD59" i="11"/>
  <c r="BA14" i="11"/>
  <c r="AJ14" i="11"/>
  <c r="C14" i="11"/>
  <c r="AK23" i="11"/>
  <c r="BB23" i="11"/>
  <c r="AL41" i="11"/>
  <c r="BC41" i="11"/>
  <c r="S32" i="11"/>
  <c r="BB32" i="11"/>
  <c r="BB50" i="11"/>
  <c r="AK50" i="11"/>
  <c r="L185" i="5"/>
  <c r="M183" i="5"/>
  <c r="BD41" i="11" l="1"/>
  <c r="AM41" i="11"/>
  <c r="AL50" i="11"/>
  <c r="BC50" i="11"/>
  <c r="T32" i="11"/>
  <c r="BC32" i="11"/>
  <c r="AN59" i="11"/>
  <c r="BE59" i="11"/>
  <c r="AN32" i="11"/>
  <c r="AL23" i="11"/>
  <c r="BC23" i="11"/>
  <c r="T23" i="11"/>
  <c r="AK14" i="11"/>
  <c r="BB14" i="11"/>
  <c r="AM70" i="11"/>
  <c r="BD70" i="11"/>
  <c r="M185" i="5"/>
  <c r="N183" i="5"/>
  <c r="BF59" i="11" l="1"/>
  <c r="U32" i="11"/>
  <c r="BD32" i="11"/>
  <c r="AM50" i="11"/>
  <c r="BD50" i="11"/>
  <c r="AO32" i="11"/>
  <c r="BE70" i="11"/>
  <c r="AL14" i="11"/>
  <c r="BC14" i="11"/>
  <c r="U23" i="11"/>
  <c r="BE41" i="11"/>
  <c r="AN41" i="11"/>
  <c r="BD23" i="11"/>
  <c r="AM23" i="11"/>
  <c r="N185" i="5"/>
  <c r="O183" i="5"/>
  <c r="AN23" i="11" l="1"/>
  <c r="BE23" i="11"/>
  <c r="AP32" i="11"/>
  <c r="AN50" i="11"/>
  <c r="BE50" i="11"/>
  <c r="AM14" i="11"/>
  <c r="BD14" i="11"/>
  <c r="BF41" i="11"/>
  <c r="V32" i="11"/>
  <c r="BE32" i="11"/>
  <c r="V23" i="11"/>
  <c r="O185" i="5"/>
  <c r="AN14" i="11" l="1"/>
  <c r="BE14" i="11"/>
  <c r="W23" i="11"/>
  <c r="BF50" i="11"/>
  <c r="AQ32" i="11"/>
  <c r="W32" i="11"/>
  <c r="BF32" i="11"/>
  <c r="AO23" i="11"/>
  <c r="BF23" i="11"/>
  <c r="S210" i="4"/>
  <c r="J121" i="7"/>
  <c r="H121" i="7"/>
  <c r="I83" i="7"/>
  <c r="I64" i="7"/>
  <c r="I45" i="7"/>
  <c r="R59" i="4"/>
  <c r="F162" i="5"/>
  <c r="G162" i="5"/>
  <c r="H162" i="5"/>
  <c r="I162" i="5"/>
  <c r="J162" i="5"/>
  <c r="K162" i="5"/>
  <c r="L162" i="5"/>
  <c r="M162" i="5"/>
  <c r="N162" i="5"/>
  <c r="O162" i="5" s="1"/>
  <c r="E162" i="5"/>
  <c r="D162" i="5"/>
  <c r="X32" i="11" l="1"/>
  <c r="BG32" i="11"/>
  <c r="AR32" i="11"/>
  <c r="AS32" i="11" s="1"/>
  <c r="BG23" i="11"/>
  <c r="AP23" i="11"/>
  <c r="X23" i="11"/>
  <c r="AO14" i="11"/>
  <c r="BF14" i="11"/>
  <c r="P68" i="4"/>
  <c r="M27" i="5" s="1"/>
  <c r="I241" i="4"/>
  <c r="P285" i="4"/>
  <c r="M159" i="5" s="1"/>
  <c r="Y23" i="11" l="1"/>
  <c r="BH23" i="11"/>
  <c r="AQ23" i="11"/>
  <c r="BG14" i="11"/>
  <c r="AP14" i="11"/>
  <c r="Y32" i="11"/>
  <c r="BH32" i="11"/>
  <c r="T56" i="4"/>
  <c r="AN73" i="11" l="1"/>
  <c r="AN71" i="11" s="1"/>
  <c r="N9" i="5"/>
  <c r="AO73" i="11"/>
  <c r="O9" i="5"/>
  <c r="T55" i="4"/>
  <c r="D32" i="11"/>
  <c r="E32" i="11" s="1"/>
  <c r="BI32" i="11"/>
  <c r="BH14" i="11"/>
  <c r="AQ14" i="11"/>
  <c r="AR23" i="11"/>
  <c r="AS23" i="11" s="1"/>
  <c r="BI23" i="11"/>
  <c r="D23" i="11"/>
  <c r="E23" i="11" s="1"/>
  <c r="J9" i="5"/>
  <c r="BF73" i="11" l="1"/>
  <c r="BF71" i="11"/>
  <c r="AN70" i="11"/>
  <c r="BG73" i="11"/>
  <c r="AO71" i="11"/>
  <c r="BG71" i="11" s="1"/>
  <c r="BI14" i="11"/>
  <c r="D14" i="11"/>
  <c r="E14" i="11" s="1"/>
  <c r="AR14" i="11"/>
  <c r="C164" i="5"/>
  <c r="C165" i="5" s="1"/>
  <c r="D71" i="11" l="1"/>
  <c r="E71" i="11" s="1"/>
  <c r="D73" i="11"/>
  <c r="E73" i="11" s="1"/>
  <c r="AB4" i="8" s="1"/>
  <c r="BF70" i="11"/>
  <c r="AO70" i="11"/>
  <c r="V30" i="4"/>
  <c r="AA4" i="8" l="1"/>
  <c r="AH4" i="8" s="1"/>
  <c r="AP70" i="11"/>
  <c r="BG70" i="11"/>
  <c r="U295" i="6"/>
  <c r="U242" i="6"/>
  <c r="U175" i="6"/>
  <c r="M45" i="7" l="1"/>
  <c r="AO45" i="11"/>
  <c r="M64" i="7"/>
  <c r="AO54" i="11"/>
  <c r="M83" i="7"/>
  <c r="AO63" i="11"/>
  <c r="BH70" i="11"/>
  <c r="AQ70" i="11"/>
  <c r="M121" i="5"/>
  <c r="BG63" i="11" l="1"/>
  <c r="D63" i="11" s="1"/>
  <c r="E63" i="11" s="1"/>
  <c r="AC21" i="8" s="1"/>
  <c r="AO60" i="11"/>
  <c r="BG54" i="11"/>
  <c r="D54" i="11" s="1"/>
  <c r="E54" i="11" s="1"/>
  <c r="AC20" i="8" s="1"/>
  <c r="AO51" i="11"/>
  <c r="AO42" i="11"/>
  <c r="BG45" i="11"/>
  <c r="D45" i="11" s="1"/>
  <c r="E45" i="11" s="1"/>
  <c r="AC19" i="8" s="1"/>
  <c r="BI70" i="11"/>
  <c r="D70" i="11"/>
  <c r="E70" i="11" s="1"/>
  <c r="AR70" i="11"/>
  <c r="AS70" i="11" s="1"/>
  <c r="T57" i="4"/>
  <c r="T58" i="4"/>
  <c r="T59" i="4"/>
  <c r="U69" i="4"/>
  <c r="C31" i="5"/>
  <c r="J350" i="6"/>
  <c r="AD8" i="11" s="1"/>
  <c r="J351" i="6"/>
  <c r="AD10" i="11" s="1"/>
  <c r="AV10" i="11" s="1"/>
  <c r="C10" i="11" s="1"/>
  <c r="E10" i="11" s="1"/>
  <c r="AD22" i="8" s="1"/>
  <c r="AD6" i="11" l="1"/>
  <c r="AV8" i="11"/>
  <c r="C8" i="11" s="1"/>
  <c r="E8" i="11" s="1"/>
  <c r="AB22" i="8" s="1"/>
  <c r="BG42" i="11"/>
  <c r="D42" i="11" s="1"/>
  <c r="E42" i="11" s="1"/>
  <c r="AA19" i="8" s="1"/>
  <c r="AH19" i="8" s="1"/>
  <c r="AO41" i="11"/>
  <c r="BG51" i="11"/>
  <c r="D51" i="11" s="1"/>
  <c r="E51" i="11" s="1"/>
  <c r="AA20" i="8" s="1"/>
  <c r="AH20" i="8" s="1"/>
  <c r="AO50" i="11"/>
  <c r="BG60" i="11"/>
  <c r="D60" i="11" s="1"/>
  <c r="E60" i="11" s="1"/>
  <c r="AA21" i="8" s="1"/>
  <c r="AH21" i="8" s="1"/>
  <c r="AO59" i="11"/>
  <c r="C126" i="7"/>
  <c r="C107" i="7"/>
  <c r="C88" i="7"/>
  <c r="C69" i="7"/>
  <c r="C50" i="7"/>
  <c r="C31" i="7"/>
  <c r="C107" i="5"/>
  <c r="C108" i="5" s="1"/>
  <c r="C88" i="5"/>
  <c r="C89" i="5" s="1"/>
  <c r="C69" i="5"/>
  <c r="C70" i="5" s="1"/>
  <c r="D145" i="5"/>
  <c r="C145" i="5"/>
  <c r="C146" i="5" s="1"/>
  <c r="D126" i="5"/>
  <c r="E126" i="5"/>
  <c r="C126" i="5"/>
  <c r="C127" i="5" s="1"/>
  <c r="C105" i="7"/>
  <c r="AP50" i="11" l="1"/>
  <c r="BG50" i="11"/>
  <c r="AP41" i="11"/>
  <c r="BG41" i="11"/>
  <c r="BG59" i="11"/>
  <c r="AP59" i="11"/>
  <c r="AV6" i="11"/>
  <c r="C6" i="11" s="1"/>
  <c r="E6" i="11" s="1"/>
  <c r="AA22" i="8" s="1"/>
  <c r="AH22" i="8" s="1"/>
  <c r="AD5" i="11"/>
  <c r="D127" i="5"/>
  <c r="G241" i="4"/>
  <c r="G256" i="4"/>
  <c r="E145" i="5"/>
  <c r="E127" i="5"/>
  <c r="H241" i="4"/>
  <c r="C13" i="7"/>
  <c r="AV5" i="11" l="1"/>
  <c r="AE5" i="11"/>
  <c r="AQ41" i="11"/>
  <c r="BH41" i="11"/>
  <c r="AQ59" i="11"/>
  <c r="BH59" i="11"/>
  <c r="AQ50" i="11"/>
  <c r="BH50" i="11"/>
  <c r="H256" i="4"/>
  <c r="F145" i="5"/>
  <c r="I256" i="4" s="1"/>
  <c r="O116" i="5"/>
  <c r="N116" i="5"/>
  <c r="M116" i="5"/>
  <c r="L116" i="5"/>
  <c r="K116" i="5"/>
  <c r="J116" i="5"/>
  <c r="I116" i="5"/>
  <c r="H116" i="5"/>
  <c r="G116" i="5"/>
  <c r="F116" i="5"/>
  <c r="E116" i="5"/>
  <c r="D116" i="5"/>
  <c r="O135" i="5"/>
  <c r="N135" i="5"/>
  <c r="M135" i="5"/>
  <c r="L135" i="5"/>
  <c r="K135" i="5"/>
  <c r="J135" i="5"/>
  <c r="I135" i="5"/>
  <c r="H135" i="5"/>
  <c r="G135" i="5"/>
  <c r="F135" i="5"/>
  <c r="E135" i="5"/>
  <c r="D135" i="5"/>
  <c r="C143" i="5"/>
  <c r="D41" i="11" l="1"/>
  <c r="E41" i="11" s="1"/>
  <c r="AR41" i="11"/>
  <c r="AS41" i="11" s="1"/>
  <c r="BI41" i="11"/>
  <c r="AR50" i="11"/>
  <c r="AS50" i="11" s="1"/>
  <c r="BI50" i="11"/>
  <c r="D50" i="11"/>
  <c r="E50" i="11" s="1"/>
  <c r="AF5" i="11"/>
  <c r="AW5" i="11"/>
  <c r="D59" i="11"/>
  <c r="E59" i="11" s="1"/>
  <c r="BI59" i="11"/>
  <c r="AR59" i="11"/>
  <c r="AS59" i="11" s="1"/>
  <c r="G145" i="5"/>
  <c r="P135" i="5"/>
  <c r="C13" i="5"/>
  <c r="P143" i="5" l="1"/>
  <c r="B11" i="8" s="1"/>
  <c r="K11" i="8" s="1"/>
  <c r="AG5" i="11"/>
  <c r="AX5" i="11"/>
  <c r="J256" i="4"/>
  <c r="H145" i="5"/>
  <c r="K256" i="4" s="1"/>
  <c r="G126" i="5"/>
  <c r="D107" i="5"/>
  <c r="AY5" i="11" l="1"/>
  <c r="AH5" i="11"/>
  <c r="J241" i="4"/>
  <c r="I145" i="5"/>
  <c r="L256" i="4" s="1"/>
  <c r="H126" i="5"/>
  <c r="T23" i="7"/>
  <c r="T21" i="7"/>
  <c r="T19" i="7"/>
  <c r="T17" i="7"/>
  <c r="T15" i="7"/>
  <c r="T13" i="7"/>
  <c r="T11" i="7"/>
  <c r="T11" i="5"/>
  <c r="V334" i="4"/>
  <c r="V319" i="4"/>
  <c r="AE224" i="6"/>
  <c r="AF224" i="6" s="1"/>
  <c r="AA224" i="6"/>
  <c r="AA223" i="6"/>
  <c r="AI5" i="11" l="1"/>
  <c r="AZ5" i="11"/>
  <c r="I126" i="5"/>
  <c r="K241" i="4"/>
  <c r="J145" i="5"/>
  <c r="M256" i="4" s="1"/>
  <c r="V337" i="4"/>
  <c r="W334" i="4"/>
  <c r="C5" i="11" l="1"/>
  <c r="AJ5" i="11"/>
  <c r="BA5" i="11"/>
  <c r="J126" i="5"/>
  <c r="L241" i="4"/>
  <c r="K145" i="5"/>
  <c r="N256" i="4" s="1"/>
  <c r="C124" i="7"/>
  <c r="C125" i="7" s="1"/>
  <c r="C106" i="7"/>
  <c r="C86" i="7"/>
  <c r="C87" i="7" s="1"/>
  <c r="C67" i="7"/>
  <c r="C68" i="7" s="1"/>
  <c r="C48" i="7"/>
  <c r="C49" i="7" s="1"/>
  <c r="C29" i="7"/>
  <c r="C11" i="7"/>
  <c r="C12" i="7" s="1"/>
  <c r="C162" i="5"/>
  <c r="C124" i="5"/>
  <c r="C29" i="5"/>
  <c r="BB5" i="11" l="1"/>
  <c r="AK5" i="11"/>
  <c r="K126" i="5"/>
  <c r="M241" i="4"/>
  <c r="C30" i="7"/>
  <c r="D29" i="7"/>
  <c r="L145" i="5"/>
  <c r="C11" i="5"/>
  <c r="C12" i="5" s="1"/>
  <c r="BC5" i="11" l="1"/>
  <c r="AL5" i="11"/>
  <c r="L126" i="5"/>
  <c r="N241" i="4"/>
  <c r="M145" i="5"/>
  <c r="O256" i="4"/>
  <c r="C86" i="5"/>
  <c r="C87" i="5" s="1"/>
  <c r="BD5" i="11" l="1"/>
  <c r="AM5" i="11"/>
  <c r="M126" i="5"/>
  <c r="O241" i="4"/>
  <c r="N145" i="5"/>
  <c r="Q256" i="4" s="1"/>
  <c r="P256" i="4"/>
  <c r="C67" i="5"/>
  <c r="C68" i="5" s="1"/>
  <c r="AN5" i="11" l="1"/>
  <c r="BE5" i="11"/>
  <c r="N126" i="5"/>
  <c r="P241" i="4"/>
  <c r="O145" i="5"/>
  <c r="P145" i="5" s="1"/>
  <c r="C105" i="5"/>
  <c r="C106" i="5" s="1"/>
  <c r="BF5" i="11" l="1"/>
  <c r="AO5" i="11"/>
  <c r="O126" i="5"/>
  <c r="Q241" i="4"/>
  <c r="R256" i="4"/>
  <c r="C48" i="5"/>
  <c r="BG5" i="11" l="1"/>
  <c r="AP5" i="11"/>
  <c r="R241" i="4"/>
  <c r="C49" i="5"/>
  <c r="D13" i="5"/>
  <c r="D124" i="7"/>
  <c r="BH5" i="11" l="1"/>
  <c r="AQ5" i="11"/>
  <c r="L379" i="6"/>
  <c r="G20" i="4"/>
  <c r="D13" i="7"/>
  <c r="D5" i="11" l="1"/>
  <c r="BI5" i="11"/>
  <c r="AR5" i="11"/>
  <c r="E5" i="11"/>
  <c r="L29" i="6"/>
  <c r="D11" i="5"/>
  <c r="B5" i="8"/>
  <c r="P154" i="5"/>
  <c r="G4" i="4" l="1"/>
  <c r="D86" i="5"/>
  <c r="P116" i="5"/>
  <c r="C33" i="5"/>
  <c r="B10" i="8" l="1"/>
  <c r="K10" i="8" s="1"/>
  <c r="P124" i="5"/>
  <c r="P126" i="5"/>
  <c r="G136" i="4"/>
  <c r="E86" i="5"/>
  <c r="D87" i="5"/>
  <c r="D31" i="5"/>
  <c r="G62" i="4" l="1"/>
  <c r="E87" i="5"/>
  <c r="H136" i="4"/>
  <c r="F86" i="5"/>
  <c r="F128" i="5"/>
  <c r="E31" i="5"/>
  <c r="D33" i="5"/>
  <c r="H62" i="4" l="1"/>
  <c r="F87" i="5"/>
  <c r="I136" i="4"/>
  <c r="G86" i="5"/>
  <c r="F31" i="5"/>
  <c r="E33" i="5"/>
  <c r="I62" i="4" l="1"/>
  <c r="G87" i="5"/>
  <c r="J136" i="4"/>
  <c r="H86" i="5"/>
  <c r="G31" i="5"/>
  <c r="F33" i="5"/>
  <c r="J62" i="4" l="1"/>
  <c r="H87" i="5"/>
  <c r="K136" i="4"/>
  <c r="I86" i="5"/>
  <c r="H31" i="5"/>
  <c r="G33" i="5"/>
  <c r="J86" i="5" l="1"/>
  <c r="J87" i="5" s="1"/>
  <c r="Q8" i="8"/>
  <c r="K62" i="4"/>
  <c r="I87" i="5"/>
  <c r="L136" i="4"/>
  <c r="I31" i="5"/>
  <c r="H33" i="5"/>
  <c r="K86" i="5" l="1"/>
  <c r="K87" i="5" s="1"/>
  <c r="M136" i="4"/>
  <c r="L62" i="4"/>
  <c r="J31" i="5"/>
  <c r="I33" i="5"/>
  <c r="N136" i="4" l="1"/>
  <c r="L86" i="5"/>
  <c r="L87" i="5" s="1"/>
  <c r="M62" i="4"/>
  <c r="K31" i="5"/>
  <c r="J33" i="5"/>
  <c r="M86" i="5" l="1"/>
  <c r="M87" i="5" s="1"/>
  <c r="O136" i="4"/>
  <c r="N62" i="4"/>
  <c r="L31" i="5"/>
  <c r="K33" i="5"/>
  <c r="N86" i="5" l="1"/>
  <c r="N87" i="5" s="1"/>
  <c r="P136" i="4"/>
  <c r="O62" i="4"/>
  <c r="M31" i="5"/>
  <c r="L33" i="5"/>
  <c r="Q136" i="4" l="1"/>
  <c r="O86" i="5"/>
  <c r="P62" i="4"/>
  <c r="N31" i="5"/>
  <c r="M33" i="5"/>
  <c r="U8" i="8" l="1"/>
  <c r="R136" i="4"/>
  <c r="O87" i="5"/>
  <c r="Q62" i="4"/>
  <c r="O31" i="5"/>
  <c r="N33" i="5"/>
  <c r="R62" i="4" l="1"/>
  <c r="O33" i="5"/>
  <c r="P22" i="5" l="1"/>
  <c r="D67" i="7" l="1"/>
  <c r="D86" i="7"/>
  <c r="C71" i="7"/>
  <c r="D69" i="7"/>
  <c r="C109" i="7"/>
  <c r="D105" i="7"/>
  <c r="D107" i="7"/>
  <c r="L188" i="6" l="1"/>
  <c r="L307" i="6"/>
  <c r="L337" i="6"/>
  <c r="L211" i="6"/>
  <c r="D87" i="7"/>
  <c r="L254" i="6"/>
  <c r="D109" i="7"/>
  <c r="D125" i="7"/>
  <c r="D106" i="7"/>
  <c r="E67" i="7"/>
  <c r="D68" i="7"/>
  <c r="E86" i="7"/>
  <c r="M254" i="6" s="1"/>
  <c r="E124" i="7"/>
  <c r="E105" i="7"/>
  <c r="M307" i="6" s="1"/>
  <c r="D71" i="7"/>
  <c r="E69" i="7"/>
  <c r="E107" i="7"/>
  <c r="M379" i="6" l="1"/>
  <c r="E68" i="7"/>
  <c r="M188" i="6"/>
  <c r="M337" i="6"/>
  <c r="M211" i="6"/>
  <c r="F124" i="7"/>
  <c r="F67" i="7"/>
  <c r="E125" i="7"/>
  <c r="F105" i="7"/>
  <c r="N307" i="6" s="1"/>
  <c r="E106" i="7"/>
  <c r="F86" i="7"/>
  <c r="E87" i="7"/>
  <c r="F69" i="7"/>
  <c r="E71" i="7"/>
  <c r="F107" i="7"/>
  <c r="E109" i="7"/>
  <c r="N337" i="6" l="1"/>
  <c r="F125" i="7"/>
  <c r="N379" i="6"/>
  <c r="F87" i="7"/>
  <c r="N254" i="6"/>
  <c r="F68" i="7"/>
  <c r="N188" i="6"/>
  <c r="N211" i="6"/>
  <c r="G67" i="7"/>
  <c r="G124" i="7"/>
  <c r="G86" i="7"/>
  <c r="G105" i="7"/>
  <c r="F106" i="7"/>
  <c r="F71" i="7"/>
  <c r="G69" i="7"/>
  <c r="G107" i="7"/>
  <c r="F109" i="7"/>
  <c r="Q20" i="8" l="1"/>
  <c r="Q23" i="8"/>
  <c r="Q21" i="8"/>
  <c r="R22" i="8"/>
  <c r="R20" i="8"/>
  <c r="O307" i="6"/>
  <c r="Q22" i="8"/>
  <c r="G68" i="7"/>
  <c r="O188" i="6"/>
  <c r="O337" i="6"/>
  <c r="O211" i="6"/>
  <c r="G87" i="7"/>
  <c r="O254" i="6"/>
  <c r="G125" i="7"/>
  <c r="O379" i="6"/>
  <c r="H67" i="7"/>
  <c r="H86" i="7"/>
  <c r="H124" i="7"/>
  <c r="H105" i="7"/>
  <c r="P307" i="6" s="1"/>
  <c r="G106" i="7"/>
  <c r="H69" i="7"/>
  <c r="G71" i="7"/>
  <c r="H107" i="7"/>
  <c r="G109" i="7"/>
  <c r="S22" i="8" l="1"/>
  <c r="S20" i="8"/>
  <c r="H87" i="7"/>
  <c r="P254" i="6"/>
  <c r="H68" i="7"/>
  <c r="P188" i="6"/>
  <c r="P211" i="6"/>
  <c r="P337" i="6"/>
  <c r="H125" i="7"/>
  <c r="P379" i="6"/>
  <c r="I67" i="7"/>
  <c r="I124" i="7"/>
  <c r="I86" i="7"/>
  <c r="I105" i="7"/>
  <c r="Q307" i="6" s="1"/>
  <c r="H106" i="7"/>
  <c r="I69" i="7"/>
  <c r="H71" i="7"/>
  <c r="I107" i="7"/>
  <c r="H109" i="7"/>
  <c r="I125" i="7" l="1"/>
  <c r="Q379" i="6"/>
  <c r="I68" i="7"/>
  <c r="Q188" i="6"/>
  <c r="Q337" i="6"/>
  <c r="Q211" i="6"/>
  <c r="I87" i="7"/>
  <c r="Q254" i="6"/>
  <c r="J67" i="7"/>
  <c r="J124" i="7"/>
  <c r="J86" i="7"/>
  <c r="J105" i="7"/>
  <c r="R307" i="6" s="1"/>
  <c r="I106" i="7"/>
  <c r="J69" i="7"/>
  <c r="I71" i="7"/>
  <c r="J107" i="7"/>
  <c r="I109" i="7"/>
  <c r="J68" i="7" l="1"/>
  <c r="R188" i="6"/>
  <c r="R337" i="6"/>
  <c r="J125" i="7"/>
  <c r="R379" i="6"/>
  <c r="R211" i="6"/>
  <c r="J87" i="7"/>
  <c r="R254" i="6"/>
  <c r="K67" i="7"/>
  <c r="K86" i="7"/>
  <c r="K124" i="7"/>
  <c r="K105" i="7"/>
  <c r="S307" i="6" s="1"/>
  <c r="J106" i="7"/>
  <c r="K69" i="7"/>
  <c r="J71" i="7"/>
  <c r="K107" i="7"/>
  <c r="J109" i="7"/>
  <c r="K68" i="7" l="1"/>
  <c r="S188" i="6"/>
  <c r="K87" i="7"/>
  <c r="S254" i="6"/>
  <c r="S337" i="6"/>
  <c r="S211" i="6"/>
  <c r="K125" i="7"/>
  <c r="S379" i="6"/>
  <c r="L67" i="7"/>
  <c r="L124" i="7"/>
  <c r="L86" i="7"/>
  <c r="L105" i="7"/>
  <c r="T307" i="6" s="1"/>
  <c r="K106" i="7"/>
  <c r="L69" i="7"/>
  <c r="K71" i="7"/>
  <c r="L107" i="7"/>
  <c r="K109" i="7"/>
  <c r="L125" i="7" l="1"/>
  <c r="T379" i="6"/>
  <c r="L68" i="7"/>
  <c r="T188" i="6"/>
  <c r="T337" i="6"/>
  <c r="T211" i="6"/>
  <c r="L87" i="7"/>
  <c r="T254" i="6"/>
  <c r="M67" i="7"/>
  <c r="M124" i="7"/>
  <c r="M86" i="7"/>
  <c r="M105" i="7"/>
  <c r="U307" i="6" s="1"/>
  <c r="L106" i="7"/>
  <c r="L71" i="7"/>
  <c r="M69" i="7"/>
  <c r="M107" i="7"/>
  <c r="L109" i="7"/>
  <c r="M68" i="7" l="1"/>
  <c r="U188" i="6"/>
  <c r="U337" i="6"/>
  <c r="M125" i="7"/>
  <c r="U379" i="6"/>
  <c r="U211" i="6"/>
  <c r="M87" i="7"/>
  <c r="U254" i="6"/>
  <c r="N67" i="7"/>
  <c r="N86" i="7"/>
  <c r="N124" i="7"/>
  <c r="N105" i="7"/>
  <c r="V307" i="6" s="1"/>
  <c r="M106" i="7"/>
  <c r="N69" i="7"/>
  <c r="M71" i="7"/>
  <c r="N107" i="7"/>
  <c r="M109" i="7"/>
  <c r="N87" i="7" l="1"/>
  <c r="V254" i="6"/>
  <c r="N68" i="7"/>
  <c r="V188" i="6"/>
  <c r="V337" i="6"/>
  <c r="V211" i="6"/>
  <c r="N125" i="7"/>
  <c r="V379" i="6"/>
  <c r="O67" i="7"/>
  <c r="O86" i="7"/>
  <c r="O124" i="7"/>
  <c r="O105" i="7"/>
  <c r="N106" i="7"/>
  <c r="O69" i="7"/>
  <c r="N71" i="7"/>
  <c r="O107" i="7"/>
  <c r="N109" i="7"/>
  <c r="U22" i="8" l="1"/>
  <c r="U23" i="8"/>
  <c r="U21" i="8"/>
  <c r="U20" i="8"/>
  <c r="V22" i="8"/>
  <c r="V20" i="8"/>
  <c r="W337" i="6"/>
  <c r="O68" i="7"/>
  <c r="W188" i="6"/>
  <c r="W211" i="6"/>
  <c r="O87" i="7"/>
  <c r="W254" i="6"/>
  <c r="W307" i="6"/>
  <c r="W379" i="6"/>
  <c r="O125" i="7"/>
  <c r="O106" i="7"/>
  <c r="O71" i="7"/>
  <c r="O109" i="7"/>
  <c r="W22" i="8" l="1"/>
  <c r="W20" i="8"/>
  <c r="D50" i="7"/>
  <c r="L151" i="6" l="1"/>
  <c r="E50" i="7"/>
  <c r="M151" i="6" l="1"/>
  <c r="F50" i="7"/>
  <c r="N151" i="6" l="1"/>
  <c r="G50" i="7"/>
  <c r="R19" i="8" l="1"/>
  <c r="O151" i="6"/>
  <c r="H50" i="7"/>
  <c r="P151" i="6" l="1"/>
  <c r="I50" i="7"/>
  <c r="Q151" i="6" l="1"/>
  <c r="J50" i="7"/>
  <c r="R151" i="6" l="1"/>
  <c r="K50" i="7"/>
  <c r="S151" i="6" l="1"/>
  <c r="L50" i="7"/>
  <c r="T151" i="6" l="1"/>
  <c r="M50" i="7"/>
  <c r="U151" i="6" l="1"/>
  <c r="N50" i="7"/>
  <c r="V151" i="6" l="1"/>
  <c r="O50" i="7"/>
  <c r="V19" i="8" l="1"/>
  <c r="W151" i="6"/>
  <c r="D48" i="7"/>
  <c r="C52" i="7"/>
  <c r="L136" i="6" l="1"/>
  <c r="D30" i="7"/>
  <c r="L70" i="6"/>
  <c r="E48" i="7"/>
  <c r="D49" i="7"/>
  <c r="E29" i="7"/>
  <c r="D52" i="7"/>
  <c r="E30" i="7" l="1"/>
  <c r="M70" i="6"/>
  <c r="E49" i="7"/>
  <c r="M136" i="6"/>
  <c r="E52" i="7"/>
  <c r="F48" i="7"/>
  <c r="F29" i="7"/>
  <c r="N70" i="6" s="1"/>
  <c r="F52" i="7" l="1"/>
  <c r="N136" i="6"/>
  <c r="G48" i="7"/>
  <c r="F49" i="7"/>
  <c r="G29" i="7"/>
  <c r="F30" i="7"/>
  <c r="Q19" i="8" l="1"/>
  <c r="S19" i="8" s="1"/>
  <c r="Q18" i="8"/>
  <c r="G30" i="7"/>
  <c r="O70" i="6"/>
  <c r="G52" i="7"/>
  <c r="O136" i="6"/>
  <c r="H48" i="7"/>
  <c r="G49" i="7"/>
  <c r="H29" i="7"/>
  <c r="H30" i="7" l="1"/>
  <c r="P70" i="6"/>
  <c r="H52" i="7"/>
  <c r="P136" i="6"/>
  <c r="I48" i="7"/>
  <c r="H49" i="7"/>
  <c r="I29" i="7"/>
  <c r="I49" i="7" l="1"/>
  <c r="Q136" i="6"/>
  <c r="I30" i="7"/>
  <c r="Q70" i="6"/>
  <c r="I52" i="7"/>
  <c r="J48" i="7"/>
  <c r="J29" i="7"/>
  <c r="J30" i="7" l="1"/>
  <c r="R70" i="6"/>
  <c r="J49" i="7"/>
  <c r="R136" i="6"/>
  <c r="K48" i="7"/>
  <c r="K29" i="7"/>
  <c r="J52" i="7"/>
  <c r="K30" i="7" l="1"/>
  <c r="S70" i="6"/>
  <c r="K52" i="7"/>
  <c r="S136" i="6"/>
  <c r="L48" i="7"/>
  <c r="L29" i="7"/>
  <c r="K49" i="7"/>
  <c r="L30" i="7" l="1"/>
  <c r="T70" i="6"/>
  <c r="L49" i="7"/>
  <c r="T136" i="6"/>
  <c r="M29" i="7"/>
  <c r="L52" i="7"/>
  <c r="M48" i="7"/>
  <c r="M30" i="7" l="1"/>
  <c r="U70" i="6"/>
  <c r="M52" i="7"/>
  <c r="U136" i="6"/>
  <c r="N48" i="7"/>
  <c r="N29" i="7"/>
  <c r="M49" i="7"/>
  <c r="N30" i="7" l="1"/>
  <c r="V70" i="6"/>
  <c r="N52" i="7"/>
  <c r="V136" i="6"/>
  <c r="O48" i="7"/>
  <c r="N49" i="7"/>
  <c r="O29" i="7"/>
  <c r="E13" i="7"/>
  <c r="U19" i="8" l="1"/>
  <c r="W19" i="8" s="1"/>
  <c r="U18" i="8"/>
  <c r="M29" i="6"/>
  <c r="O30" i="7"/>
  <c r="W70" i="6"/>
  <c r="O52" i="7"/>
  <c r="W136" i="6"/>
  <c r="O49" i="7"/>
  <c r="C15" i="7"/>
  <c r="D11" i="7"/>
  <c r="L3" i="6" l="1"/>
  <c r="D12" i="7"/>
  <c r="D15" i="7"/>
  <c r="E11" i="7"/>
  <c r="M3" i="6" s="1"/>
  <c r="F11" i="7" l="1"/>
  <c r="E12" i="7"/>
  <c r="N3" i="6" l="1"/>
  <c r="F12" i="7"/>
  <c r="G11" i="7"/>
  <c r="Q17" i="8" l="1"/>
  <c r="G12" i="7"/>
  <c r="O3" i="6"/>
  <c r="H11" i="7"/>
  <c r="P3" i="6" s="1"/>
  <c r="H12" i="7" l="1"/>
  <c r="I11" i="7"/>
  <c r="I12" i="7" l="1"/>
  <c r="Q3" i="6"/>
  <c r="J11" i="7"/>
  <c r="J12" i="7" l="1"/>
  <c r="R3" i="6"/>
  <c r="K11" i="7"/>
  <c r="K12" i="7" l="1"/>
  <c r="S3" i="6"/>
  <c r="L11" i="7"/>
  <c r="L12" i="7" l="1"/>
  <c r="T3" i="6"/>
  <c r="M11" i="7"/>
  <c r="M12" i="7" l="1"/>
  <c r="U3" i="6"/>
  <c r="N11" i="7"/>
  <c r="N12" i="7" l="1"/>
  <c r="V3" i="6"/>
  <c r="O11" i="7"/>
  <c r="E15" i="7"/>
  <c r="F13" i="7"/>
  <c r="W3" i="6" l="1"/>
  <c r="U17" i="8"/>
  <c r="N29" i="6"/>
  <c r="O12" i="7"/>
  <c r="F15" i="7"/>
  <c r="G13" i="7"/>
  <c r="R17" i="8" l="1"/>
  <c r="S17" i="8" s="1"/>
  <c r="O29" i="6"/>
  <c r="G15" i="7"/>
  <c r="H13" i="7"/>
  <c r="P29" i="6" l="1"/>
  <c r="H15" i="7"/>
  <c r="I13" i="7"/>
  <c r="Q29" i="6" l="1"/>
  <c r="I15" i="7"/>
  <c r="J13" i="7"/>
  <c r="R29" i="6" l="1"/>
  <c r="J15" i="7"/>
  <c r="K13" i="7"/>
  <c r="S29" i="6" l="1"/>
  <c r="K15" i="7"/>
  <c r="L13" i="7"/>
  <c r="T29" i="6" l="1"/>
  <c r="M13" i="7"/>
  <c r="L15" i="7"/>
  <c r="U29" i="6" l="1"/>
  <c r="N13" i="7"/>
  <c r="M15" i="7"/>
  <c r="V29" i="6" l="1"/>
  <c r="O13" i="7"/>
  <c r="N15" i="7"/>
  <c r="V17" i="8" l="1"/>
  <c r="W17" i="8" s="1"/>
  <c r="W29" i="6"/>
  <c r="O15" i="7"/>
  <c r="D12" i="5" l="1"/>
  <c r="C15" i="5"/>
  <c r="Y4" i="8" s="1"/>
  <c r="E13" i="5" l="1"/>
  <c r="D15" i="5"/>
  <c r="E11" i="5"/>
  <c r="H4" i="4" l="1"/>
  <c r="H20" i="4"/>
  <c r="E12" i="5"/>
  <c r="F13" i="5"/>
  <c r="E15" i="5"/>
  <c r="F11" i="5"/>
  <c r="F12" i="5" l="1"/>
  <c r="I4" i="4"/>
  <c r="I20" i="4"/>
  <c r="G13" i="5"/>
  <c r="F15" i="5"/>
  <c r="G11" i="5"/>
  <c r="G12" i="5" l="1"/>
  <c r="J4" i="4"/>
  <c r="J20" i="4"/>
  <c r="H13" i="5"/>
  <c r="G15" i="5"/>
  <c r="H11" i="5"/>
  <c r="H12" i="5" l="1"/>
  <c r="K4" i="4"/>
  <c r="K20" i="4"/>
  <c r="I13" i="5"/>
  <c r="H15" i="5"/>
  <c r="I11" i="5"/>
  <c r="L20" i="4" l="1"/>
  <c r="J13" i="5"/>
  <c r="Q4" i="8"/>
  <c r="R4" i="8"/>
  <c r="I12" i="5"/>
  <c r="L4" i="4"/>
  <c r="I15" i="5"/>
  <c r="J11" i="5"/>
  <c r="K11" i="5" s="1"/>
  <c r="K13" i="5" l="1"/>
  <c r="M20" i="4"/>
  <c r="S4" i="8"/>
  <c r="J12" i="5"/>
  <c r="M4" i="4"/>
  <c r="J15" i="5"/>
  <c r="K12" i="5" l="1"/>
  <c r="N4" i="4"/>
  <c r="N20" i="4"/>
  <c r="L13" i="5"/>
  <c r="K15" i="5"/>
  <c r="L11" i="5"/>
  <c r="L12" i="5" l="1"/>
  <c r="O4" i="4"/>
  <c r="O20" i="4"/>
  <c r="M13" i="5"/>
  <c r="L15" i="5"/>
  <c r="M11" i="5"/>
  <c r="M12" i="5" l="1"/>
  <c r="P4" i="4"/>
  <c r="P20" i="4"/>
  <c r="N13" i="5"/>
  <c r="M15" i="5"/>
  <c r="N11" i="5"/>
  <c r="N12" i="5" l="1"/>
  <c r="Q4" i="4"/>
  <c r="Q20" i="4"/>
  <c r="O13" i="5"/>
  <c r="N15" i="5"/>
  <c r="O11" i="5"/>
  <c r="V4" i="8" l="1"/>
  <c r="R4" i="4"/>
  <c r="U4" i="8"/>
  <c r="R20" i="4"/>
  <c r="O12" i="5"/>
  <c r="O15" i="5"/>
  <c r="W4" i="8" l="1"/>
  <c r="D67" i="5"/>
  <c r="D68" i="5" l="1"/>
  <c r="G107" i="4"/>
  <c r="E67" i="5"/>
  <c r="E68" i="5" l="1"/>
  <c r="H107" i="4"/>
  <c r="F67" i="5"/>
  <c r="F68" i="5" l="1"/>
  <c r="I107" i="4"/>
  <c r="G67" i="5"/>
  <c r="G68" i="5" l="1"/>
  <c r="J107" i="4"/>
  <c r="H67" i="5"/>
  <c r="H68" i="5" l="1"/>
  <c r="K107" i="4"/>
  <c r="I67" i="5"/>
  <c r="I68" i="5" l="1"/>
  <c r="L107" i="4"/>
  <c r="J67" i="5"/>
  <c r="D105" i="5"/>
  <c r="J68" i="5" l="1"/>
  <c r="M107" i="4"/>
  <c r="D106" i="5"/>
  <c r="G187" i="4"/>
  <c r="E105" i="5"/>
  <c r="K67" i="5"/>
  <c r="K68" i="5" l="1"/>
  <c r="N107" i="4"/>
  <c r="E106" i="5"/>
  <c r="H187" i="4"/>
  <c r="L67" i="5"/>
  <c r="F105" i="5"/>
  <c r="F106" i="5" l="1"/>
  <c r="I187" i="4"/>
  <c r="L68" i="5"/>
  <c r="O107" i="4"/>
  <c r="G105" i="5"/>
  <c r="M67" i="5"/>
  <c r="M68" i="5" l="1"/>
  <c r="P107" i="4"/>
  <c r="G106" i="5"/>
  <c r="J187" i="4"/>
  <c r="N67" i="5"/>
  <c r="H105" i="5"/>
  <c r="H106" i="5" l="1"/>
  <c r="K187" i="4"/>
  <c r="N68" i="5"/>
  <c r="Q107" i="4"/>
  <c r="I105" i="5"/>
  <c r="Q9" i="8" s="1"/>
  <c r="O67" i="5"/>
  <c r="O68" i="5" l="1"/>
  <c r="R107" i="4"/>
  <c r="I106" i="5"/>
  <c r="L187" i="4"/>
  <c r="J105" i="5"/>
  <c r="J106" i="5" l="1"/>
  <c r="M187" i="4"/>
  <c r="K105" i="5"/>
  <c r="N187" i="4" s="1"/>
  <c r="K106" i="5" l="1"/>
  <c r="L105" i="5"/>
  <c r="L106" i="5" l="1"/>
  <c r="O187" i="4"/>
  <c r="M105" i="5"/>
  <c r="M106" i="5" l="1"/>
  <c r="P187" i="4"/>
  <c r="N105" i="5"/>
  <c r="N106" i="5" l="1"/>
  <c r="Q187" i="4"/>
  <c r="O105" i="5"/>
  <c r="U9" i="8" l="1"/>
  <c r="O106" i="5"/>
  <c r="R187" i="4"/>
  <c r="U187" i="4" s="1"/>
  <c r="D48" i="5"/>
  <c r="G75" i="4" l="1"/>
  <c r="D49" i="5"/>
  <c r="E48" i="5"/>
  <c r="E49" i="5" l="1"/>
  <c r="H75" i="4"/>
  <c r="F48" i="5"/>
  <c r="F49" i="5" l="1"/>
  <c r="I75" i="4"/>
  <c r="G48" i="5"/>
  <c r="G49" i="5" l="1"/>
  <c r="J75" i="4"/>
  <c r="H48" i="5"/>
  <c r="H49" i="5" l="1"/>
  <c r="K75" i="4"/>
  <c r="I48" i="5"/>
  <c r="I49" i="5" l="1"/>
  <c r="L75" i="4"/>
  <c r="J48" i="5"/>
  <c r="J49" i="5" l="1"/>
  <c r="M75" i="4"/>
  <c r="K48" i="5"/>
  <c r="K49" i="5" l="1"/>
  <c r="N75" i="4"/>
  <c r="L48" i="5"/>
  <c r="L49" i="5" l="1"/>
  <c r="O75" i="4"/>
  <c r="M48" i="5"/>
  <c r="M49" i="5" l="1"/>
  <c r="P75" i="4"/>
  <c r="N48" i="5"/>
  <c r="N49" i="5" l="1"/>
  <c r="Q75" i="4"/>
  <c r="O48" i="5"/>
  <c r="O49" i="5" l="1"/>
  <c r="R75" i="4"/>
  <c r="E4" i="7"/>
  <c r="I22" i="7"/>
  <c r="M78" i="7"/>
  <c r="F59" i="7"/>
  <c r="G22" i="7"/>
  <c r="M4" i="7"/>
  <c r="L59" i="7"/>
  <c r="L78" i="7"/>
  <c r="D4" i="7"/>
  <c r="J4" i="7"/>
  <c r="E59" i="7"/>
  <c r="N4" i="7"/>
  <c r="D97" i="7"/>
  <c r="G97" i="7"/>
  <c r="M59" i="7"/>
  <c r="O97" i="7"/>
  <c r="H97" i="7"/>
  <c r="K59" i="7"/>
  <c r="H78" i="7"/>
  <c r="O78" i="7"/>
  <c r="I97" i="7"/>
  <c r="F40" i="7"/>
  <c r="K4" i="7"/>
  <c r="J40" i="7"/>
  <c r="L4" i="7"/>
  <c r="H4" i="7"/>
  <c r="N97" i="7"/>
  <c r="D40" i="7"/>
  <c r="E97" i="7"/>
  <c r="G59" i="7"/>
  <c r="J78" i="7"/>
  <c r="M40" i="7"/>
  <c r="G40" i="7"/>
  <c r="H22" i="7"/>
  <c r="H59" i="7"/>
  <c r="I59" i="7"/>
  <c r="K97" i="7"/>
  <c r="N40" i="7"/>
  <c r="D78" i="7"/>
  <c r="J97" i="7"/>
  <c r="E40" i="7"/>
  <c r="D59" i="7"/>
  <c r="I40" i="7"/>
  <c r="O59" i="7"/>
  <c r="L40" i="7"/>
  <c r="N78" i="7"/>
  <c r="K22" i="7"/>
  <c r="E22" i="7"/>
  <c r="I78" i="7"/>
  <c r="J22" i="7"/>
  <c r="G78" i="7"/>
  <c r="F4" i="7"/>
  <c r="H40" i="7"/>
  <c r="M97" i="7"/>
  <c r="F97" i="7"/>
  <c r="D22" i="7"/>
  <c r="E78" i="7"/>
  <c r="N22" i="7"/>
  <c r="G4" i="7"/>
  <c r="J59" i="7"/>
  <c r="O22" i="7"/>
  <c r="L97" i="7"/>
  <c r="I4" i="7"/>
  <c r="K78" i="7"/>
  <c r="F78" i="7"/>
  <c r="O4" i="7"/>
  <c r="L22" i="7"/>
  <c r="F22" i="7"/>
  <c r="P86" i="7" l="1"/>
  <c r="M22" i="7"/>
  <c r="P22" i="7" s="1"/>
  <c r="P29" i="7" s="1"/>
  <c r="F116" i="7"/>
  <c r="I116" i="7"/>
  <c r="G116" i="7"/>
  <c r="P97" i="7"/>
  <c r="P105" i="7" s="1"/>
  <c r="H116" i="7"/>
  <c r="P78" i="7"/>
  <c r="N59" i="7"/>
  <c r="P59" i="7" s="1"/>
  <c r="P67" i="7" s="1"/>
  <c r="D116" i="7"/>
  <c r="E116" i="7"/>
  <c r="N116" i="7"/>
  <c r="P4" i="7"/>
  <c r="P11" i="7" s="1"/>
  <c r="L116" i="7"/>
  <c r="L138" i="7" s="1"/>
  <c r="K116" i="7"/>
  <c r="J116" i="7"/>
  <c r="O40" i="7"/>
  <c r="K40" i="7"/>
  <c r="M116" i="7"/>
  <c r="O116" i="7"/>
  <c r="P107" i="7" l="1"/>
  <c r="P69" i="7"/>
  <c r="P13" i="7"/>
  <c r="P124" i="7"/>
  <c r="V19" i="7"/>
  <c r="V21" i="7"/>
  <c r="O138" i="7"/>
  <c r="M138" i="7"/>
  <c r="N138" i="7"/>
  <c r="K138" i="7"/>
  <c r="P138" i="7" s="1"/>
  <c r="R138" i="7" s="1"/>
  <c r="Q11" i="7"/>
  <c r="P40" i="7"/>
  <c r="Q105" i="7"/>
  <c r="P116" i="7"/>
  <c r="Q86" i="7"/>
  <c r="P50" i="7" l="1"/>
  <c r="P48" i="7"/>
  <c r="Q48" i="7" s="1"/>
  <c r="V13" i="7"/>
  <c r="B22" i="8"/>
  <c r="B21" i="8"/>
  <c r="B17" i="8"/>
  <c r="V11" i="7"/>
  <c r="B18" i="8"/>
  <c r="Q29" i="7"/>
  <c r="P132" i="7"/>
  <c r="Q67" i="7"/>
  <c r="V17" i="7"/>
  <c r="B20" i="8"/>
  <c r="B19" i="8"/>
  <c r="V15" i="7" l="1"/>
  <c r="V23" i="7"/>
  <c r="Q124" i="7"/>
  <c r="B23" i="8"/>
  <c r="H4" i="5" l="1"/>
  <c r="F4" i="5" l="1"/>
  <c r="I4" i="5"/>
  <c r="L4" i="5"/>
  <c r="E4" i="5"/>
  <c r="M4" i="5" l="1"/>
  <c r="O4" i="5"/>
  <c r="D4" i="5"/>
  <c r="G4" i="5"/>
  <c r="J4" i="5"/>
  <c r="N4" i="5"/>
  <c r="K4" i="5"/>
  <c r="P4" i="5" l="1"/>
  <c r="P11" i="5" s="1"/>
  <c r="P13" i="5" l="1"/>
  <c r="V11" i="5"/>
  <c r="Q11" i="5"/>
  <c r="B4" i="8"/>
  <c r="I97" i="5" l="1"/>
  <c r="K97" i="5"/>
  <c r="N97" i="5"/>
  <c r="G97" i="5"/>
  <c r="N40" i="5"/>
  <c r="O78" i="5"/>
  <c r="D97" i="5" l="1"/>
  <c r="L97" i="5"/>
  <c r="I59" i="5"/>
  <c r="D40" i="5"/>
  <c r="J40" i="5"/>
  <c r="L59" i="5"/>
  <c r="F78" i="5"/>
  <c r="L78" i="5"/>
  <c r="O59" i="5"/>
  <c r="M78" i="5"/>
  <c r="G78" i="5"/>
  <c r="K78" i="5"/>
  <c r="D78" i="5"/>
  <c r="F97" i="5"/>
  <c r="J97" i="5"/>
  <c r="M59" i="5"/>
  <c r="E59" i="5"/>
  <c r="H97" i="5"/>
  <c r="D59" i="5"/>
  <c r="J59" i="5"/>
  <c r="N59" i="5"/>
  <c r="F40" i="5"/>
  <c r="O40" i="5"/>
  <c r="E97" i="5" l="1"/>
  <c r="P97" i="5" s="1"/>
  <c r="K59" i="5"/>
  <c r="M97" i="5"/>
  <c r="F59" i="5"/>
  <c r="H40" i="5"/>
  <c r="E78" i="5"/>
  <c r="L40" i="5"/>
  <c r="I40" i="5"/>
  <c r="M40" i="5"/>
  <c r="H78" i="5"/>
  <c r="H59" i="5"/>
  <c r="N78" i="5"/>
  <c r="I78" i="5"/>
  <c r="K40" i="5"/>
  <c r="E40" i="5"/>
  <c r="O97" i="5"/>
  <c r="G40" i="5"/>
  <c r="G59" i="5"/>
  <c r="J78" i="5"/>
  <c r="P48" i="5" l="1"/>
  <c r="P105" i="5"/>
  <c r="W215" i="4"/>
  <c r="X215" i="4" s="1"/>
  <c r="W214" i="4"/>
  <c r="X214" i="4" s="1"/>
  <c r="W200" i="4"/>
  <c r="X200" i="4" s="1"/>
  <c r="W199" i="4"/>
  <c r="X199" i="4" s="1"/>
  <c r="W198" i="4"/>
  <c r="X198" i="4" s="1"/>
  <c r="W197" i="4"/>
  <c r="X197" i="4" s="1"/>
  <c r="W213" i="4"/>
  <c r="X213" i="4" s="1"/>
  <c r="P59" i="5"/>
  <c r="P67" i="5" s="1"/>
  <c r="P78" i="5"/>
  <c r="P86" i="5" s="1"/>
  <c r="P40" i="5"/>
  <c r="X216" i="4" l="1"/>
  <c r="X201" i="4"/>
  <c r="Q67" i="5"/>
  <c r="V15" i="5"/>
  <c r="Q48" i="5"/>
  <c r="V13" i="5"/>
  <c r="B8" i="8"/>
  <c r="Q86" i="5"/>
  <c r="B6" i="8"/>
  <c r="B7" i="8"/>
  <c r="B9" i="8"/>
  <c r="Q105" i="5"/>
  <c r="D126" i="7" l="1"/>
  <c r="C128" i="7"/>
  <c r="L406" i="6" l="1"/>
  <c r="C33" i="7"/>
  <c r="D31" i="7"/>
  <c r="D128" i="7"/>
  <c r="E126" i="7"/>
  <c r="M406" i="6" l="1"/>
  <c r="L96" i="6"/>
  <c r="F126" i="7"/>
  <c r="E128" i="7"/>
  <c r="D33" i="7"/>
  <c r="E31" i="7"/>
  <c r="M96" i="6" l="1"/>
  <c r="N406" i="6"/>
  <c r="E33" i="7"/>
  <c r="F31" i="7"/>
  <c r="G126" i="7"/>
  <c r="F128" i="7"/>
  <c r="O406" i="6" l="1"/>
  <c r="R23" i="8"/>
  <c r="S23" i="8" s="1"/>
  <c r="N96" i="6"/>
  <c r="H126" i="7"/>
  <c r="G128" i="7"/>
  <c r="G31" i="7"/>
  <c r="F33" i="7"/>
  <c r="R18" i="8" l="1"/>
  <c r="S18" i="8" s="1"/>
  <c r="O96" i="6"/>
  <c r="P406" i="6"/>
  <c r="H31" i="7"/>
  <c r="G33" i="7"/>
  <c r="I126" i="7"/>
  <c r="H128" i="7"/>
  <c r="Q406" i="6" l="1"/>
  <c r="P96" i="6"/>
  <c r="J126" i="7"/>
  <c r="I128" i="7"/>
  <c r="I31" i="7"/>
  <c r="H33" i="7"/>
  <c r="Q96" i="6" l="1"/>
  <c r="R406" i="6"/>
  <c r="J31" i="7"/>
  <c r="I33" i="7"/>
  <c r="K126" i="7"/>
  <c r="J128" i="7"/>
  <c r="R96" i="6" l="1"/>
  <c r="S406" i="6"/>
  <c r="L126" i="7"/>
  <c r="K128" i="7"/>
  <c r="K31" i="7"/>
  <c r="J33" i="7"/>
  <c r="S96" i="6" l="1"/>
  <c r="T406" i="6"/>
  <c r="L31" i="7"/>
  <c r="K33" i="7"/>
  <c r="M126" i="7"/>
  <c r="L128" i="7"/>
  <c r="T96" i="6" l="1"/>
  <c r="U406" i="6"/>
  <c r="N126" i="7"/>
  <c r="M128" i="7"/>
  <c r="M31" i="7"/>
  <c r="L33" i="7"/>
  <c r="V406" i="6" l="1"/>
  <c r="U96" i="6"/>
  <c r="O126" i="7"/>
  <c r="P126" i="7" s="1"/>
  <c r="N128" i="7"/>
  <c r="N31" i="7"/>
  <c r="M33" i="7"/>
  <c r="V23" i="8" l="1"/>
  <c r="W23" i="8" s="1"/>
  <c r="O31" i="7"/>
  <c r="P31" i="7" s="1"/>
  <c r="V96" i="6"/>
  <c r="W406" i="6"/>
  <c r="N33" i="7"/>
  <c r="O128" i="7"/>
  <c r="V18" i="8" l="1"/>
  <c r="W18" i="8" s="1"/>
  <c r="O33" i="7"/>
  <c r="W96" i="6"/>
  <c r="D88" i="7" l="1"/>
  <c r="C90" i="7"/>
  <c r="L272" i="6" l="1"/>
  <c r="E88" i="7"/>
  <c r="D90" i="7"/>
  <c r="M272" i="6" l="1"/>
  <c r="F88" i="7"/>
  <c r="E90" i="7"/>
  <c r="N272" i="6" l="1"/>
  <c r="F90" i="7"/>
  <c r="G88" i="7"/>
  <c r="R21" i="8" l="1"/>
  <c r="S21" i="8" s="1"/>
  <c r="O272" i="6"/>
  <c r="H88" i="7"/>
  <c r="G90" i="7"/>
  <c r="P272" i="6" l="1"/>
  <c r="I88" i="7"/>
  <c r="H90" i="7"/>
  <c r="Q272" i="6" l="1"/>
  <c r="J88" i="7"/>
  <c r="I90" i="7"/>
  <c r="R272" i="6" l="1"/>
  <c r="K88" i="7"/>
  <c r="J90" i="7"/>
  <c r="S272" i="6" l="1"/>
  <c r="L88" i="7"/>
  <c r="K90" i="7"/>
  <c r="T272" i="6" l="1"/>
  <c r="M88" i="7"/>
  <c r="L90" i="7"/>
  <c r="U272" i="6" l="1"/>
  <c r="N88" i="7"/>
  <c r="M90" i="7"/>
  <c r="V272" i="6" l="1"/>
  <c r="O88" i="7"/>
  <c r="P88" i="7" s="1"/>
  <c r="N90" i="7"/>
  <c r="V21" i="8" l="1"/>
  <c r="W21" i="8" s="1"/>
  <c r="W272" i="6"/>
  <c r="O90" i="7"/>
  <c r="C147" i="5" l="1"/>
  <c r="C166" i="5" l="1"/>
  <c r="D128" i="5"/>
  <c r="E128" i="5"/>
  <c r="C128" i="5"/>
  <c r="C50" i="5"/>
  <c r="C51" i="5" s="1"/>
  <c r="E147" i="5"/>
  <c r="D147" i="5"/>
  <c r="F147" i="5" l="1"/>
  <c r="C52" i="5"/>
  <c r="D50" i="5"/>
  <c r="G86" i="4" l="1"/>
  <c r="D51" i="5"/>
  <c r="G128" i="5"/>
  <c r="E50" i="5"/>
  <c r="D52" i="5"/>
  <c r="H86" i="4" l="1"/>
  <c r="E51" i="5"/>
  <c r="H128" i="5"/>
  <c r="F50" i="5"/>
  <c r="E52" i="5"/>
  <c r="G147" i="5"/>
  <c r="I86" i="4" l="1"/>
  <c r="F51" i="5"/>
  <c r="H147" i="5"/>
  <c r="G50" i="5"/>
  <c r="F52" i="5"/>
  <c r="I128" i="5"/>
  <c r="J86" i="4" l="1"/>
  <c r="G51" i="5"/>
  <c r="J128" i="5"/>
  <c r="H50" i="5"/>
  <c r="G52" i="5"/>
  <c r="I147" i="5"/>
  <c r="J147" i="5"/>
  <c r="C109" i="5"/>
  <c r="Y9" i="8" s="1"/>
  <c r="C90" i="5"/>
  <c r="D88" i="5"/>
  <c r="K86" i="4" l="1"/>
  <c r="H51" i="5"/>
  <c r="G154" i="4"/>
  <c r="G205" i="4"/>
  <c r="I50" i="5"/>
  <c r="H52" i="5"/>
  <c r="D90" i="5"/>
  <c r="E88" i="5"/>
  <c r="K128" i="5"/>
  <c r="E107" i="5"/>
  <c r="D109" i="5"/>
  <c r="K147" i="5"/>
  <c r="L86" i="4" l="1"/>
  <c r="I51" i="5"/>
  <c r="H154" i="4"/>
  <c r="H205" i="4"/>
  <c r="E90" i="5"/>
  <c r="F88" i="5"/>
  <c r="L128" i="5"/>
  <c r="J50" i="5"/>
  <c r="I52" i="5"/>
  <c r="F107" i="5"/>
  <c r="E109" i="5"/>
  <c r="L147" i="5"/>
  <c r="M86" i="4" l="1"/>
  <c r="J51" i="5"/>
  <c r="I205" i="4"/>
  <c r="I154" i="4"/>
  <c r="G107" i="5"/>
  <c r="F109" i="5"/>
  <c r="K50" i="5"/>
  <c r="J52" i="5"/>
  <c r="M128" i="5"/>
  <c r="M147" i="5"/>
  <c r="F90" i="5"/>
  <c r="G88" i="5"/>
  <c r="N86" i="4" l="1"/>
  <c r="K51" i="5"/>
  <c r="J205" i="4"/>
  <c r="J154" i="4"/>
  <c r="N128" i="5"/>
  <c r="G90" i="5"/>
  <c r="H88" i="5"/>
  <c r="N147" i="5"/>
  <c r="H107" i="5"/>
  <c r="G109" i="5"/>
  <c r="L50" i="5"/>
  <c r="K52" i="5"/>
  <c r="O86" i="4" l="1"/>
  <c r="L51" i="5"/>
  <c r="K205" i="4"/>
  <c r="K154" i="4"/>
  <c r="M50" i="5"/>
  <c r="L52" i="5"/>
  <c r="I107" i="5"/>
  <c r="R9" i="8" s="1"/>
  <c r="S9" i="8" s="1"/>
  <c r="H109" i="5"/>
  <c r="O128" i="5"/>
  <c r="H90" i="5"/>
  <c r="I88" i="5"/>
  <c r="R8" i="8" s="1"/>
  <c r="S8" i="8" s="1"/>
  <c r="O147" i="5"/>
  <c r="P86" i="4" l="1"/>
  <c r="M51" i="5"/>
  <c r="L205" i="4"/>
  <c r="L154" i="4"/>
  <c r="J107" i="5"/>
  <c r="I109" i="5"/>
  <c r="J88" i="5"/>
  <c r="I90" i="5"/>
  <c r="N50" i="5"/>
  <c r="M52" i="5"/>
  <c r="Q86" i="4" l="1"/>
  <c r="N51" i="5"/>
  <c r="M205" i="4"/>
  <c r="M154" i="4"/>
  <c r="J90" i="5"/>
  <c r="K88" i="5"/>
  <c r="K107" i="5"/>
  <c r="J109" i="5"/>
  <c r="O50" i="5"/>
  <c r="P50" i="5" s="1"/>
  <c r="N52" i="5"/>
  <c r="R86" i="4" l="1"/>
  <c r="O51" i="5"/>
  <c r="N154" i="4"/>
  <c r="N205" i="4"/>
  <c r="L107" i="5"/>
  <c r="K109" i="5"/>
  <c r="K90" i="5"/>
  <c r="L88" i="5"/>
  <c r="O52" i="5"/>
  <c r="O154" i="4" l="1"/>
  <c r="O205" i="4"/>
  <c r="L90" i="5"/>
  <c r="M88" i="5"/>
  <c r="M107" i="5"/>
  <c r="L109" i="5"/>
  <c r="P154" i="4" l="1"/>
  <c r="P205" i="4"/>
  <c r="N107" i="5"/>
  <c r="M109" i="5"/>
  <c r="M90" i="5"/>
  <c r="N88" i="5"/>
  <c r="Q154" i="4" l="1"/>
  <c r="Q205" i="4"/>
  <c r="N90" i="5"/>
  <c r="O88" i="5"/>
  <c r="P88" i="5" s="1"/>
  <c r="O107" i="5"/>
  <c r="P107" i="5" s="1"/>
  <c r="N109" i="5"/>
  <c r="V9" i="8" l="1"/>
  <c r="W9" i="8" s="1"/>
  <c r="V8" i="8"/>
  <c r="W8" i="8" s="1"/>
  <c r="R205" i="4"/>
  <c r="U205" i="4" s="1"/>
  <c r="W355" i="4" s="1"/>
  <c r="X355" i="4" s="1"/>
  <c r="R154" i="4"/>
  <c r="U154" i="4" s="1"/>
  <c r="D69" i="5"/>
  <c r="C71" i="5"/>
  <c r="O109" i="5"/>
  <c r="O90" i="5"/>
  <c r="G118" i="4" l="1"/>
  <c r="D71" i="5"/>
  <c r="E69" i="5"/>
  <c r="H118" i="4" l="1"/>
  <c r="F69" i="5"/>
  <c r="E71" i="5"/>
  <c r="I118" i="4" l="1"/>
  <c r="G69" i="5"/>
  <c r="F71" i="5"/>
  <c r="J118" i="4" l="1"/>
  <c r="H69" i="5"/>
  <c r="G71" i="5"/>
  <c r="K118" i="4" l="1"/>
  <c r="I69" i="5"/>
  <c r="H71" i="5"/>
  <c r="L118" i="4" l="1"/>
  <c r="J69" i="5"/>
  <c r="I71" i="5"/>
  <c r="M118" i="4" l="1"/>
  <c r="K69" i="5"/>
  <c r="J71" i="5"/>
  <c r="N118" i="4" l="1"/>
  <c r="L69" i="5"/>
  <c r="K71" i="5"/>
  <c r="O118" i="4" l="1"/>
  <c r="M69" i="5"/>
  <c r="L71" i="5"/>
  <c r="P118" i="4" l="1"/>
  <c r="N69" i="5"/>
  <c r="M71" i="5"/>
  <c r="Q118" i="4" l="1"/>
  <c r="O69" i="5"/>
  <c r="P69" i="5" s="1"/>
  <c r="N71" i="5"/>
  <c r="R118" i="4" l="1"/>
  <c r="O71" i="5"/>
  <c r="C14" i="5" l="1"/>
  <c r="D164" i="5" l="1"/>
  <c r="D165" i="5" l="1"/>
  <c r="G284" i="4"/>
  <c r="D166" i="5"/>
  <c r="E164" i="5"/>
  <c r="E165" i="5" l="1"/>
  <c r="H284" i="4"/>
  <c r="F164" i="5"/>
  <c r="E166" i="5"/>
  <c r="G164" i="5" l="1"/>
  <c r="F165" i="5"/>
  <c r="I284" i="4"/>
  <c r="F166" i="5"/>
  <c r="H164" i="5" l="1"/>
  <c r="J284" i="4"/>
  <c r="G165" i="5"/>
  <c r="G166" i="5"/>
  <c r="I164" i="5" l="1"/>
  <c r="K284" i="4"/>
  <c r="H165" i="5"/>
  <c r="H166" i="5"/>
  <c r="J164" i="5" l="1"/>
  <c r="L284" i="4"/>
  <c r="I165" i="5"/>
  <c r="I166" i="5"/>
  <c r="K164" i="5" l="1"/>
  <c r="J165" i="5"/>
  <c r="M284" i="4"/>
  <c r="J166" i="5"/>
  <c r="L164" i="5" l="1"/>
  <c r="N284" i="4"/>
  <c r="K165" i="5"/>
  <c r="K166" i="5"/>
  <c r="M164" i="5" l="1"/>
  <c r="O284" i="4"/>
  <c r="L165" i="5"/>
  <c r="L166" i="5"/>
  <c r="L174" i="5"/>
  <c r="M174" i="5"/>
  <c r="N174" i="5"/>
  <c r="O174" i="5"/>
  <c r="J174" i="5"/>
  <c r="G174" i="5"/>
  <c r="D174" i="5"/>
  <c r="E174" i="5"/>
  <c r="K174" i="5"/>
  <c r="F174" i="5"/>
  <c r="H174" i="5"/>
  <c r="I174" i="5"/>
  <c r="P174" i="5" l="1"/>
  <c r="P181" i="5" s="1"/>
  <c r="N164" i="5"/>
  <c r="M165" i="5"/>
  <c r="P284" i="4"/>
  <c r="M166" i="5"/>
  <c r="P183" i="5" l="1"/>
  <c r="P185" i="5" s="1"/>
  <c r="D184" i="5"/>
  <c r="O164" i="5"/>
  <c r="Q284" i="4"/>
  <c r="N165" i="5"/>
  <c r="N166" i="5"/>
  <c r="E184" i="5" l="1"/>
  <c r="R284" i="4"/>
  <c r="O165" i="5"/>
  <c r="O166" i="5"/>
  <c r="C89" i="7"/>
  <c r="F184" i="5" l="1"/>
  <c r="C127" i="7"/>
  <c r="D89" i="7"/>
  <c r="C70" i="7"/>
  <c r="C51" i="7"/>
  <c r="G184" i="5" l="1"/>
  <c r="H184" i="5"/>
  <c r="D127" i="7"/>
  <c r="E89" i="7"/>
  <c r="D70" i="7"/>
  <c r="C32" i="7"/>
  <c r="F89" i="7" l="1"/>
  <c r="E70" i="7"/>
  <c r="D32" i="7"/>
  <c r="G89" i="7" l="1"/>
  <c r="F70" i="7"/>
  <c r="E32" i="7"/>
  <c r="H89" i="7" l="1"/>
  <c r="F32" i="7"/>
  <c r="I89" i="7" l="1"/>
  <c r="G32" i="7"/>
  <c r="J89" i="7" l="1"/>
  <c r="H32" i="7"/>
  <c r="K89" i="7" l="1"/>
  <c r="I32" i="7"/>
  <c r="L89" i="7" l="1"/>
  <c r="J32" i="7"/>
  <c r="M89" i="7" l="1"/>
  <c r="K32" i="7"/>
  <c r="N89" i="7" l="1"/>
  <c r="L32" i="7"/>
  <c r="O89" i="7" l="1"/>
  <c r="M32" i="7"/>
  <c r="N32" i="7" l="1"/>
  <c r="O32" i="7" l="1"/>
  <c r="C14" i="7" l="1"/>
  <c r="D14" i="7" l="1"/>
  <c r="D41" i="5" l="1"/>
  <c r="D70" i="5" l="1"/>
  <c r="E70" i="5"/>
  <c r="F70" i="5" l="1"/>
  <c r="G70" i="5"/>
  <c r="I70" i="5" l="1"/>
  <c r="H70" i="5"/>
  <c r="D89" i="5" l="1"/>
  <c r="E89" i="5" l="1"/>
  <c r="F89" i="5" l="1"/>
  <c r="G89" i="5" l="1"/>
  <c r="H89" i="5" l="1"/>
  <c r="I89" i="5" l="1"/>
  <c r="D108" i="5"/>
  <c r="J89" i="5" l="1"/>
  <c r="E108" i="5"/>
  <c r="K89" i="5" l="1"/>
  <c r="F108" i="5"/>
  <c r="L89" i="5" l="1"/>
  <c r="M89" i="5" l="1"/>
  <c r="N89" i="5" l="1"/>
  <c r="O89" i="5" l="1"/>
  <c r="F98" i="5" l="1"/>
  <c r="J136" i="5"/>
  <c r="I79" i="5"/>
  <c r="H98" i="5"/>
  <c r="L136" i="5"/>
  <c r="G98" i="5"/>
  <c r="O117" i="5"/>
  <c r="I98" i="5"/>
  <c r="K79" i="5"/>
  <c r="M136" i="5"/>
  <c r="K136" i="5"/>
  <c r="J98" i="5"/>
  <c r="N136" i="5"/>
  <c r="O136" i="5"/>
  <c r="M98" i="5"/>
  <c r="L98" i="5"/>
  <c r="N98" i="5"/>
  <c r="D136" i="5"/>
  <c r="O98" i="5"/>
  <c r="I117" i="5"/>
  <c r="E136" i="5"/>
  <c r="D79" i="5"/>
  <c r="G136" i="5"/>
  <c r="D98" i="5"/>
  <c r="H136" i="5"/>
  <c r="K98" i="5"/>
  <c r="F136" i="5"/>
  <c r="E98" i="5"/>
  <c r="D60" i="5"/>
  <c r="I136" i="5"/>
  <c r="E79" i="5"/>
  <c r="J117" i="5"/>
  <c r="F79" i="5"/>
  <c r="J79" i="5"/>
  <c r="D117" i="5"/>
  <c r="M79" i="5"/>
  <c r="N79" i="5"/>
  <c r="K117" i="5"/>
  <c r="L117" i="5"/>
  <c r="G79" i="5"/>
  <c r="M117" i="5"/>
  <c r="H79" i="5"/>
  <c r="N117" i="5"/>
  <c r="L79" i="5"/>
  <c r="E117" i="5"/>
  <c r="F117" i="5"/>
  <c r="O79" i="5"/>
  <c r="G117" i="5"/>
  <c r="H117" i="5"/>
  <c r="P98" i="5" l="1"/>
  <c r="E9" i="8" s="1"/>
  <c r="P117" i="5"/>
  <c r="P79" i="5"/>
  <c r="E8" i="8" s="1"/>
  <c r="P136" i="5"/>
  <c r="E11" i="8" s="1"/>
  <c r="J60" i="5"/>
  <c r="K60" i="5"/>
  <c r="E60" i="5"/>
  <c r="M60" i="5"/>
  <c r="I60" i="5"/>
  <c r="O60" i="5"/>
  <c r="K41" i="5"/>
  <c r="H60" i="5"/>
  <c r="H41" i="5"/>
  <c r="G41" i="5"/>
  <c r="H155" i="5"/>
  <c r="N155" i="5"/>
  <c r="O41" i="5"/>
  <c r="M155" i="5"/>
  <c r="I41" i="5"/>
  <c r="L41" i="5"/>
  <c r="F155" i="5"/>
  <c r="F41" i="5"/>
  <c r="K155" i="5"/>
  <c r="G60" i="5"/>
  <c r="D155" i="5"/>
  <c r="J155" i="5"/>
  <c r="M41" i="5"/>
  <c r="J41" i="5"/>
  <c r="N60" i="5"/>
  <c r="O155" i="5"/>
  <c r="L60" i="5"/>
  <c r="N41" i="5"/>
  <c r="F60" i="5"/>
  <c r="J117" i="7"/>
  <c r="E41" i="5"/>
  <c r="O98" i="7"/>
  <c r="L155" i="5"/>
  <c r="E155" i="5"/>
  <c r="H79" i="7"/>
  <c r="O117" i="7"/>
  <c r="D98" i="7"/>
  <c r="H5" i="7"/>
  <c r="I155" i="5"/>
  <c r="E117" i="7"/>
  <c r="H117" i="7"/>
  <c r="G155" i="5"/>
  <c r="I79" i="7"/>
  <c r="M60" i="7"/>
  <c r="I60" i="7"/>
  <c r="G23" i="7"/>
  <c r="E41" i="7"/>
  <c r="L98" i="7"/>
  <c r="I23" i="7"/>
  <c r="O41" i="7"/>
  <c r="E5" i="7"/>
  <c r="K98" i="7"/>
  <c r="G79" i="7"/>
  <c r="K5" i="7"/>
  <c r="K41" i="7"/>
  <c r="L5" i="7"/>
  <c r="K117" i="7"/>
  <c r="L23" i="7"/>
  <c r="E79" i="7"/>
  <c r="F79" i="7"/>
  <c r="N117" i="7"/>
  <c r="I117" i="7"/>
  <c r="K60" i="7"/>
  <c r="G60" i="7"/>
  <c r="K23" i="7"/>
  <c r="M5" i="7"/>
  <c r="I5" i="7"/>
  <c r="L117" i="7"/>
  <c r="K79" i="7"/>
  <c r="E60" i="7"/>
  <c r="I41" i="7"/>
  <c r="I98" i="7"/>
  <c r="N60" i="7"/>
  <c r="O5" i="7"/>
  <c r="H98" i="7"/>
  <c r="M23" i="7"/>
  <c r="L41" i="7"/>
  <c r="F117" i="7"/>
  <c r="G41" i="7"/>
  <c r="D23" i="7"/>
  <c r="G5" i="7"/>
  <c r="D5" i="7"/>
  <c r="N5" i="7"/>
  <c r="G117" i="7"/>
  <c r="L60" i="7"/>
  <c r="N41" i="7"/>
  <c r="J79" i="7"/>
  <c r="J5" i="7"/>
  <c r="L79" i="7"/>
  <c r="D79" i="7"/>
  <c r="F60" i="7"/>
  <c r="N98" i="7"/>
  <c r="O60" i="7"/>
  <c r="O79" i="7"/>
  <c r="H60" i="7"/>
  <c r="M41" i="7"/>
  <c r="M98" i="7"/>
  <c r="N23" i="7"/>
  <c r="G98" i="7"/>
  <c r="H41" i="7"/>
  <c r="F98" i="7"/>
  <c r="O23" i="7"/>
  <c r="D41" i="7"/>
  <c r="J98" i="7"/>
  <c r="H23" i="7"/>
  <c r="M79" i="7"/>
  <c r="J60" i="7"/>
  <c r="F23" i="7"/>
  <c r="M117" i="7"/>
  <c r="J23" i="7"/>
  <c r="N79" i="7"/>
  <c r="F41" i="7"/>
  <c r="F5" i="7"/>
  <c r="J41" i="7"/>
  <c r="D117" i="7"/>
  <c r="E98" i="7"/>
  <c r="E23" i="7"/>
  <c r="D60" i="7"/>
  <c r="P128" i="5" l="1"/>
  <c r="C10" i="8"/>
  <c r="Q145" i="5"/>
  <c r="P60" i="5"/>
  <c r="E7" i="8" s="1"/>
  <c r="P79" i="7"/>
  <c r="P23" i="7"/>
  <c r="P41" i="5"/>
  <c r="E6" i="8" s="1"/>
  <c r="P41" i="7"/>
  <c r="P117" i="7"/>
  <c r="P5" i="7"/>
  <c r="P98" i="7"/>
  <c r="P155" i="5"/>
  <c r="P162" i="5" s="1"/>
  <c r="Q143" i="5"/>
  <c r="Q124" i="5"/>
  <c r="E10" i="8"/>
  <c r="Q126" i="5"/>
  <c r="P60" i="7"/>
  <c r="P164" i="5" l="1"/>
  <c r="Q164" i="5" s="1"/>
  <c r="Q69" i="7"/>
  <c r="Q71" i="7" s="1"/>
  <c r="P71" i="7"/>
  <c r="C20" i="8"/>
  <c r="Q50" i="7"/>
  <c r="Q52" i="7" s="1"/>
  <c r="P52" i="7"/>
  <c r="C19" i="8"/>
  <c r="E23" i="8"/>
  <c r="Q13" i="7"/>
  <c r="Q15" i="7" s="1"/>
  <c r="P15" i="7"/>
  <c r="C17" i="8"/>
  <c r="P90" i="5"/>
  <c r="Q88" i="5"/>
  <c r="Q90" i="5" s="1"/>
  <c r="C8" i="8"/>
  <c r="Q88" i="7"/>
  <c r="Q90" i="7" s="1"/>
  <c r="P90" i="7"/>
  <c r="C21" i="8"/>
  <c r="E18" i="8"/>
  <c r="L10" i="8"/>
  <c r="D10" i="8"/>
  <c r="F10" i="8" s="1"/>
  <c r="C9" i="8"/>
  <c r="Q107" i="5"/>
  <c r="Q109" i="5" s="1"/>
  <c r="P109" i="5"/>
  <c r="E19" i="8"/>
  <c r="E20" i="8"/>
  <c r="E21" i="8"/>
  <c r="C11" i="8"/>
  <c r="D11" i="8" s="1"/>
  <c r="F11" i="8" s="1"/>
  <c r="P147" i="5"/>
  <c r="E22" i="8"/>
  <c r="E17" i="8"/>
  <c r="P133" i="7"/>
  <c r="Q162" i="5"/>
  <c r="B12" i="8"/>
  <c r="Q128" i="5"/>
  <c r="E12" i="8"/>
  <c r="Q183" i="5"/>
  <c r="Q181" i="5"/>
  <c r="Q147" i="5"/>
  <c r="P166" i="5" l="1"/>
  <c r="C12" i="8"/>
  <c r="D12" i="8" s="1"/>
  <c r="F12" i="8" s="1"/>
  <c r="D17" i="8"/>
  <c r="F17" i="8" s="1"/>
  <c r="D19" i="8"/>
  <c r="F19" i="8" s="1"/>
  <c r="D21" i="8"/>
  <c r="F21" i="8" s="1"/>
  <c r="D20" i="8"/>
  <c r="F20" i="8" s="1"/>
  <c r="D9" i="8"/>
  <c r="F9" i="8" s="1"/>
  <c r="D8" i="8"/>
  <c r="F8" i="8" s="1"/>
  <c r="Q126" i="7"/>
  <c r="Q128" i="7" s="1"/>
  <c r="C23" i="8"/>
  <c r="P128" i="7"/>
  <c r="P33" i="7"/>
  <c r="Q31" i="7"/>
  <c r="Q33" i="7" s="1"/>
  <c r="C18" i="8"/>
  <c r="P71" i="5"/>
  <c r="Q69" i="5"/>
  <c r="Q71" i="5" s="1"/>
  <c r="C7" i="8"/>
  <c r="D7" i="8" s="1"/>
  <c r="C6" i="8"/>
  <c r="D6" i="8" s="1"/>
  <c r="Q50" i="5"/>
  <c r="Q52" i="5" s="1"/>
  <c r="P52" i="5"/>
  <c r="Q166" i="5"/>
  <c r="P109" i="7"/>
  <c r="C22" i="8"/>
  <c r="Q107" i="7"/>
  <c r="Q109" i="7" s="1"/>
  <c r="Q185" i="5"/>
  <c r="D18" i="8" l="1"/>
  <c r="F18" i="8" s="1"/>
  <c r="D23" i="8"/>
  <c r="F23" i="8" s="1"/>
  <c r="D22" i="8"/>
  <c r="F22" i="8" s="1"/>
  <c r="F7" i="8"/>
  <c r="F6" i="8"/>
  <c r="D5" i="5"/>
  <c r="E23" i="5"/>
  <c r="H23" i="5"/>
  <c r="M5" i="5"/>
  <c r="D23" i="5"/>
  <c r="L5" i="5"/>
  <c r="O5" i="5"/>
  <c r="E5" i="5"/>
  <c r="H5" i="5"/>
  <c r="F5" i="5"/>
  <c r="O23" i="5"/>
  <c r="G5" i="5"/>
  <c r="L23" i="5"/>
  <c r="N23" i="5"/>
  <c r="I23" i="5"/>
  <c r="K5" i="5"/>
  <c r="G23" i="5"/>
  <c r="J23" i="5"/>
  <c r="F23" i="5"/>
  <c r="M23" i="5"/>
  <c r="N5" i="5"/>
  <c r="J5" i="5"/>
  <c r="I5" i="5"/>
  <c r="K23" i="5"/>
  <c r="F24" i="8" l="1"/>
  <c r="P5" i="5"/>
  <c r="E4" i="8" s="1"/>
  <c r="P23" i="5"/>
  <c r="P31" i="5" s="1"/>
  <c r="P15" i="5" l="1"/>
  <c r="Q29" i="5"/>
  <c r="E5" i="8"/>
  <c r="C4" i="8" l="1"/>
  <c r="D4" i="8" s="1"/>
  <c r="Q13" i="5"/>
  <c r="Q15" i="5" s="1"/>
  <c r="C5" i="8"/>
  <c r="P33" i="5"/>
  <c r="Q31" i="5"/>
  <c r="Q33" i="5" s="1"/>
  <c r="D5" i="8" l="1"/>
  <c r="F5" i="8" s="1"/>
  <c r="F4" i="8"/>
  <c r="D14" i="5"/>
  <c r="F13" i="8" l="1"/>
  <c r="F27" i="8" s="1"/>
  <c r="E14" i="5"/>
  <c r="F14" i="5" l="1"/>
  <c r="G14" i="5" l="1"/>
  <c r="H14" i="5"/>
  <c r="G108" i="5" l="1"/>
  <c r="H108" i="5" l="1"/>
  <c r="I108" i="5" l="1"/>
  <c r="J108" i="5" l="1"/>
  <c r="K108" i="5" l="1"/>
  <c r="L108" i="5" l="1"/>
  <c r="M108" i="5" l="1"/>
  <c r="N108" i="5" l="1"/>
  <c r="O108" i="5" l="1"/>
  <c r="I14" i="5" l="1"/>
  <c r="J14" i="5" l="1"/>
  <c r="K14" i="5" l="1"/>
  <c r="L14" i="5" l="1"/>
  <c r="M14" i="5" l="1"/>
  <c r="N14" i="5" l="1"/>
  <c r="O14" i="5" l="1"/>
  <c r="C108" i="7" l="1"/>
  <c r="D108" i="7" l="1"/>
  <c r="E108" i="7" l="1"/>
  <c r="F108" i="7" l="1"/>
  <c r="G108" i="7" l="1"/>
  <c r="H108" i="7"/>
  <c r="I108" i="7" l="1"/>
  <c r="J108" i="7" l="1"/>
  <c r="D146" i="5" l="1"/>
  <c r="E146" i="5"/>
  <c r="F146" i="5" l="1"/>
  <c r="G146" i="5" l="1"/>
  <c r="H146" i="5" l="1"/>
  <c r="I146" i="5" l="1"/>
  <c r="J146" i="5" l="1"/>
  <c r="K146" i="5" l="1"/>
  <c r="L146" i="5" l="1"/>
  <c r="M146" i="5" l="1"/>
  <c r="N146" i="5" l="1"/>
  <c r="O146" i="5" l="1"/>
  <c r="F127" i="5" l="1"/>
  <c r="J127" i="5" l="1"/>
  <c r="J184" i="5" l="1"/>
  <c r="I184" i="5"/>
  <c r="K184" i="5" l="1"/>
  <c r="L184" i="5" l="1"/>
  <c r="M184" i="5" l="1"/>
  <c r="N184" i="5" l="1"/>
  <c r="O184" i="5" l="1"/>
  <c r="AF1" i="11" l="1"/>
  <c r="AG1" i="11" l="1"/>
  <c r="N1" i="11" l="1"/>
  <c r="O1" i="11" l="1"/>
  <c r="P1" i="11" l="1"/>
  <c r="Q1" i="11" l="1"/>
  <c r="R1" i="11" l="1"/>
  <c r="S1" i="11" l="1"/>
  <c r="T1" i="11" l="1"/>
  <c r="U1" i="11" l="1"/>
  <c r="V1" i="11" l="1"/>
  <c r="W1" i="11" l="1"/>
  <c r="X1" i="11" l="1"/>
  <c r="AH1" i="11" l="1"/>
  <c r="Y1" i="11"/>
  <c r="AI1" i="11" l="1"/>
  <c r="AJ1" i="11" l="1"/>
  <c r="AK1" i="11" l="1"/>
  <c r="AL1" i="11" l="1"/>
  <c r="AM1" i="11" l="1"/>
  <c r="AN1" i="11" l="1"/>
  <c r="AO1" i="11" l="1"/>
  <c r="AP1" i="11" l="1"/>
  <c r="AQ1" i="11" l="1"/>
  <c r="C32" i="5" l="1"/>
  <c r="D32" i="5"/>
  <c r="E32" i="5"/>
  <c r="F32" i="5" l="1"/>
  <c r="G32" i="5" l="1"/>
  <c r="H32" i="5" l="1"/>
  <c r="I32" i="5" l="1"/>
  <c r="J32" i="5" l="1"/>
  <c r="K32" i="5" l="1"/>
  <c r="L32" i="5" l="1"/>
  <c r="M32" i="5" l="1"/>
  <c r="N32" i="5" l="1"/>
  <c r="O32" i="5" l="1"/>
  <c r="K108" i="7" l="1"/>
  <c r="L108" i="7" l="1"/>
  <c r="M108" i="7" l="1"/>
  <c r="N108" i="7" l="1"/>
  <c r="O108" i="7" l="1"/>
  <c r="D51" i="7" l="1"/>
  <c r="E127" i="7"/>
  <c r="E51" i="7"/>
  <c r="F127" i="7" l="1"/>
  <c r="F51" i="7"/>
  <c r="G127" i="7" l="1"/>
  <c r="G51" i="7"/>
  <c r="G70" i="7" l="1"/>
  <c r="H127" i="7"/>
  <c r="H51" i="7" l="1"/>
  <c r="H70" i="7"/>
  <c r="I127" i="7"/>
  <c r="I51" i="7"/>
  <c r="I70" i="7" l="1"/>
  <c r="J127" i="7"/>
  <c r="J51" i="7"/>
  <c r="J70" i="7" l="1"/>
  <c r="K127" i="7"/>
  <c r="K70" i="7" l="1"/>
  <c r="K51" i="7"/>
  <c r="L127" i="7"/>
  <c r="L70" i="7" l="1"/>
  <c r="L51" i="7"/>
  <c r="M127" i="7"/>
  <c r="M51" i="7"/>
  <c r="M70" i="7" l="1"/>
  <c r="N51" i="7"/>
  <c r="N70" i="7" l="1"/>
  <c r="N127" i="7"/>
  <c r="O127" i="7"/>
  <c r="O51" i="7"/>
  <c r="O70" i="7" l="1"/>
  <c r="E14" i="7" l="1"/>
  <c r="F14" i="7" l="1"/>
  <c r="G14" i="7" l="1"/>
  <c r="H14" i="7" l="1"/>
  <c r="I14" i="7" l="1"/>
  <c r="J14" i="7" l="1"/>
  <c r="L14" i="7" l="1"/>
  <c r="K14" i="7"/>
  <c r="M14" i="7" l="1"/>
  <c r="N14" i="7" l="1"/>
  <c r="O14" i="7" l="1"/>
  <c r="J70" i="5" l="1"/>
  <c r="K70" i="5"/>
  <c r="L70" i="5" l="1"/>
  <c r="M70" i="5"/>
  <c r="N70" i="5" l="1"/>
  <c r="O70" i="5" l="1"/>
  <c r="G127" i="5" l="1"/>
  <c r="H127" i="5" l="1"/>
  <c r="I127" i="5" l="1"/>
  <c r="K127" i="5" l="1"/>
  <c r="L127" i="5" l="1"/>
  <c r="M127" i="5" l="1"/>
  <c r="N127" i="5" l="1"/>
  <c r="O12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tc={5BB72231-9733-43A5-BB67-F000C787563F}</author>
    <author>tc={235EF574-A7F9-4AEA-8EBF-E2A53A55A920}</author>
    <author>tc={9092FEE6-E270-4556-9CB1-67AB74296C41}</author>
    <author>tc={9AEF5AFF-A5F5-4F37-8A1D-C4C8FD62BE5A}</author>
    <author>tc={5C16AA3A-AF94-481E-9AB1-C2B7CE4454DF}</author>
    <author>tc={03C168B6-1FED-48CE-9EA1-701582FBA135}</author>
    <author>tc={A96A5A44-DE1D-4B64-8A03-74552D0F3135}</author>
    <author>tc={77F4781D-EAA0-46B5-B9BE-D6F0382D6D2B}</author>
    <author>tc={ED19BB9E-8C2B-44FA-BF37-B8B0CEC286B8}</author>
    <author>tc={739C9C47-BCC5-48F9-AC67-F4DB4BD20539}</author>
    <author>tc={D6405B31-A71A-4FEE-BD1A-44C35264578D}</author>
    <author>tc={15D58D20-CD40-49C8-9FF4-E9DA393C5C23}</author>
    <author>tc={2C68747D-3B8D-4CA5-AFF4-8DEB8D00228E}</author>
  </authors>
  <commentList>
    <comment ref="O8" authorId="0" shapeId="0" xr:uid="{5BB72231-9733-43A5-BB67-F000C787563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SC023735, coplan stretch, Candy input in Jun'24. Cancel finally. 
2025 Saving impact: -0.54M GBP.</t>
        </r>
      </text>
    </comment>
    <comment ref="P8" authorId="1" shapeId="0" xr:uid="{235EF574-A7F9-4AEA-8EBF-E2A53A55A920}">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Stretch saving, Laura.</t>
        </r>
      </text>
    </comment>
    <comment ref="Q8" authorId="2" shapeId="0" xr:uid="{9092FEE6-E270-4556-9CB1-67AB74296C41}">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SC023739, coplan stretch, Candy input in Jun'24. Cancel finally. 
Saving impact: -0.95M GBP.
</t>
        </r>
      </text>
    </comment>
    <comment ref="AH8" authorId="3" shapeId="0" xr:uid="{9AEF5AFF-A5F5-4F37-8A1D-C4C8FD62BE5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Thimble cost down: -0.0004</t>
        </r>
      </text>
    </comment>
    <comment ref="J9" authorId="4" shapeId="0" xr:uid="{5C16AA3A-AF94-481E-9AB1-C2B7CE4454D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Battery</t>
        </r>
      </text>
    </comment>
    <comment ref="K9" authorId="5" shapeId="0" xr:uid="{03C168B6-1FED-48CE-9EA1-701582FBA13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Airflow controller</t>
        </r>
      </text>
    </comment>
    <comment ref="P9" authorId="6" shapeId="0" xr:uid="{A96A5A44-DE1D-4B64-8A03-74552D0F313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PCBA: -1.53P (No PCBA In Default)
Battery:-1.25P.</t>
        </r>
      </text>
    </comment>
    <comment ref="AB9" authorId="7" shapeId="0" xr:uid="{77F4781D-EAA0-46B5-B9BE-D6F0382D6D2B}">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Battery: -0.76p;
Airflow controller:-0.74p</t>
        </r>
      </text>
    </comment>
    <comment ref="AC9" authorId="8" shapeId="0" xr:uid="{ED19BB9E-8C2B-44FA-BF37-B8B0CEC286B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Airflow controller</t>
        </r>
      </text>
    </comment>
    <comment ref="AF9" authorId="9" shapeId="0" xr:uid="{739C9C47-BCC5-48F9-AC67-F4DB4BD2053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Airflow controller</t>
        </r>
      </text>
    </comment>
    <comment ref="J27" authorId="10" shapeId="0" xr:uid="{D6405B31-A71A-4FEE-BD1A-44C35264578D}">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Battery</t>
        </r>
      </text>
    </comment>
    <comment ref="K27" authorId="11" shapeId="0" xr:uid="{15D58D20-CD40-49C8-9FF4-E9DA393C5C2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Airflow controller</t>
        </r>
      </text>
    </comment>
    <comment ref="P27" authorId="12" shapeId="0" xr:uid="{2C68747D-3B8D-4CA5-AFF4-8DEB8D00228E}">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PCBA: -1.53P (No PCBA In Default)
Battery:-1.25P.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tc={4C1C7455-B259-417C-B473-D373AF508137}</author>
  </authors>
  <commentList>
    <comment ref="B12" authorId="0" shapeId="0" xr:uid="{4C1C7455-B259-417C-B473-D373AF508137}">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@Laura Sanchez Curtidor , I changed the COGS for Mimosa as previously it was a manual line COGS, however the plan was always to move to Semi Auto.  Please do double check. Thanks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tc={C995BBCE-30CF-4A9D-A11A-CD88D130FA7E}</author>
    <author>tc={B0A17D8F-164F-4B02-BADF-C6318A2955B2}</author>
  </authors>
  <commentList>
    <comment ref="B116" authorId="0" shapeId="0" xr:uid="{C995BBCE-30CF-4A9D-A11A-CD88D130FA7E}">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SOP9 vol</t>
        </r>
      </text>
    </comment>
    <comment ref="B135" authorId="1" shapeId="0" xr:uid="{B0A17D8F-164F-4B02-BADF-C6318A2955B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SOP9 vol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tc={E8AF8BF8-EA5A-4B70-8FD6-3A614EDBA3DA}</author>
    <author>tc={F3E013DF-2A21-469C-BEC2-1FD24CF4853F}</author>
    <author>tc={C3ABC5B1-4E1E-47F5-8398-FF149125754F}</author>
    <author>tc={E892BCD2-1719-423C-B592-91103FC35EE0}</author>
    <author>tc={145392A2-3E9E-42BB-9EB5-4F006D59F622}</author>
    <author>tc={EC82DB0A-B44E-49F3-9677-2E24E1CD0C11}</author>
    <author>tc={2A7DD6B4-F17F-41A0-AFC3-9766DED2B030}</author>
    <author>tc={B7E018FC-E192-4DE4-AAC9-C6B0E24A8939}</author>
    <author>tc={91A7C05F-BAE5-422D-B8D7-18548F08C932}</author>
    <author>tc={475552C8-3BE5-4150-9C23-C0D4074B793C}</author>
    <author>tc={15785256-955D-4B95-9947-057034538A90}</author>
    <author>tc={60F35999-E305-467D-ACFA-8F7B1282605D}</author>
    <author>tc={A62709CB-84AF-492E-BD83-44C2E0F05CD8}</author>
    <author>tc={64DFFA23-3D55-436C-9FCE-D46AECCCB1FA}</author>
    <author>tc={5A28D3CA-013B-4970-AE58-D8A941B5AD3F}</author>
    <author>tc={780692F6-C1F0-4900-A266-71F42164F909}</author>
    <author>tc={B94D647F-EE0E-48FC-A136-EB6E51004669}</author>
    <author>tc={24DC839D-4A52-43B9-87A1-2B6C7D484C31}</author>
    <author>tc={FBCE8B6D-A5E0-449C-AEB5-2937D400672C}</author>
    <author>tc={E3733C31-2B1A-4447-AECE-88C8330DE0BF}</author>
    <author>tc={5D9743D2-C301-41F8-8DD2-B7BC1E10FE83}</author>
    <author>tc={431C323E-26C3-4E58-AFEC-1B9BF9F3E9E9}</author>
    <author>tc={55AEDCB1-9CB1-4A0C-8877-EE592CF74F19}</author>
    <author>tc={31966EC9-5445-4497-8E7B-2ED9A587FF66}</author>
    <author>tc={C06AE437-E8B2-41F3-8320-667EA26B492A}</author>
    <author>tc={C66E6C02-9C51-47DA-B956-F5204460C77E}</author>
    <author>tc={BE17650E-955A-406C-98C6-815684344D56}</author>
    <author>tc={9FD0192D-57DC-491B-8E1D-BA9876F07119}</author>
    <author>tc={E2AB2312-E319-4BC1-AFD0-5E730F635703}</author>
    <author>tc={FEEDD217-27E6-406E-A11A-68CB0E263A12}</author>
    <author>tc={A6A15B8E-37FC-4A6C-B4A9-690F62380199}</author>
    <author>tc={D67CC0D0-9754-48C5-95C8-0E7AA03B5AE3}</author>
    <author>tc={FBA65CC2-E22A-4B51-B03B-127D69EAF7AF}</author>
    <author>tc={59355E34-85FC-4A6C-8CB3-A068601DF5BD}</author>
    <author>tc={62CA3F5A-1001-4744-A3ED-8D469846EA46}</author>
    <author>tc={61ECDDBC-9A33-41BF-A26F-4B3D879E5917}</author>
    <author>tc={44F2A334-AAF4-4E58-801A-5956286AB5C9}</author>
    <author>tc={8D67AC78-7A63-409E-9315-31EC7B8662F1}</author>
    <author>tc={20E3CE0A-DB33-4F01-ABBE-9A2805131DCA}</author>
    <author>tc={8B2C3A0B-80FD-4B24-B802-3F0072003080}</author>
    <author>tc={98584351-FF83-43BE-A579-9C0B68A2A5F3}</author>
    <author>tc={01527F47-3322-4B61-BF04-B3C430BC6322}</author>
  </authors>
  <commentList>
    <comment ref="M24" authorId="0" shapeId="0" xr:uid="{E8AF8BF8-EA5A-4B70-8FD6-3A614EDBA3D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is this going to come in?</t>
        </r>
      </text>
    </comment>
    <comment ref="P24" authorId="1" shapeId="0" xr:uid="{F3E013DF-2A21-469C-BEC2-1FD24CF4853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is this going to come in?</t>
        </r>
      </text>
    </comment>
    <comment ref="O25" authorId="2" shapeId="0" xr:uid="{C3ABC5B1-4E1E-47F5-8398-FF149125754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Can this be pulled forwards</t>
        </r>
      </text>
    </comment>
    <comment ref="N31" authorId="3" shapeId="0" xr:uid="{E892BCD2-1719-423C-B592-91103FC35EE0}">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@Laura Sanchez Curtidor  Remove this packaging inflation, as packaging cost up already implemented in Mar.</t>
        </r>
      </text>
    </comment>
    <comment ref="Q31" authorId="4" shapeId="0" xr:uid="{145392A2-3E9E-42BB-9EB5-4F006D59F62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@Laura Sanchez Curtidor  Remove this packaging inflation, as packaging cost up already implemented in Mar.</t>
        </r>
      </text>
    </comment>
    <comment ref="D48" authorId="5" shapeId="0" xr:uid="{EC82DB0A-B44E-49F3-9677-2E24E1CD0C11}">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M48" authorId="6" shapeId="0" xr:uid="{2A7DD6B4-F17F-41A0-AFC3-9766DED2B030}">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@Cailine Huang , why can't we get this savings on Hestia 1.1?  FYI @Laura Sanchez Curtidor </t>
        </r>
      </text>
    </comment>
    <comment ref="D49" authorId="7" shapeId="0" xr:uid="{B7E018FC-E192-4DE4-AAC9-C6B0E24A893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M49" authorId="8" shapeId="0" xr:uid="{91A7C05F-BAE5-422D-B8D7-18548F08C932}">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@Daisy Cai  Daisy, this is the final cost up from Haishun, but blister rate change? </t>
        </r>
      </text>
    </comment>
    <comment ref="D55" authorId="9" shapeId="0" xr:uid="{475552C8-3BE5-4150-9C23-C0D4074B793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Provided by Jorge
Reply:
    @Aaron Lee to confirm dates</t>
        </r>
      </text>
    </comment>
    <comment ref="N55" authorId="10" shapeId="0" xr:uid="{15785256-955D-4B95-9947-057034538A90}">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@Cailine Huang , any chance that we could bring this saving forward?  @Laura Sanchez Curtidor  FYI.
Reply:
    Sugi, checked with Chris, they're still negotiate with Nolato/TK, current estimate to get price down in Sep price from T2(Aug for FG Price), as new tool need 3 month to catch MP efficiency.  </t>
        </r>
      </text>
    </comment>
    <comment ref="R55" authorId="11" shapeId="0" xr:uid="{60F35999-E305-467D-ACFA-8F7B1282605D}">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@Cailine Huang , any chance that we could bring this saving forward?  @Laura Sanchez Curtidor  FYI.
Reply:
    Sugi, checked with Chris, they're still negotiate with Nolato/TK, current estimate to get price down in Sep price from T2(Aug for FG Price), as new tool need 3 month to catch MP efficiency.  </t>
        </r>
      </text>
    </comment>
    <comment ref="D56" authorId="12" shapeId="0" xr:uid="{A62709CB-84AF-492E-BD83-44C2E0F05CD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Provided by Jorge
Reply:
    @Aaron Lee to confirm dates</t>
        </r>
      </text>
    </comment>
    <comment ref="D57" authorId="13" shapeId="0" xr:uid="{64DFFA23-3D55-436C-9FCE-D46AECCCB1F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
Reply:
    @Aaron Lee to confirm dates</t>
        </r>
      </text>
    </comment>
    <comment ref="R57" authorId="14" shapeId="0" xr:uid="{5A28D3CA-013B-4970-AE58-D8A941B5AD3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combined plating and stamping supplier change to 1 project (Hengli)</t>
        </r>
      </text>
    </comment>
    <comment ref="D58" authorId="15" shapeId="0" xr:uid="{780692F6-C1F0-4900-A266-71F42164F90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
Reply:
    @Aaron Lee to confirm dates</t>
        </r>
      </text>
    </comment>
    <comment ref="D59" authorId="16" shapeId="0" xr:uid="{B94D647F-EE0E-48FC-A136-EB6E5100466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
Reply:
    @Aaron Lee to confirm dates</t>
        </r>
      </text>
    </comment>
    <comment ref="D61" authorId="17" shapeId="0" xr:uid="{24DC839D-4A52-43B9-87A1-2B6C7D484C31}">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O61" authorId="18" shapeId="0" xr:uid="{FBCE8B6D-A5E0-449C-AEB5-2937D400672C}">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@Cailine Huang , can we get this saving on Hestia 1.1 Smart as well?  FYI @Laura Sanchez Curtidor </t>
        </r>
      </text>
    </comment>
    <comment ref="M64" authorId="19" shapeId="0" xr:uid="{E3733C31-2B1A-4447-AECE-88C8330DE0B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is this going to come in?</t>
        </r>
      </text>
    </comment>
    <comment ref="D68" authorId="20" shapeId="0" xr:uid="{5D9743D2-C301-41F8-8DD2-B7BC1E10FE8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Potential Tool liability.
Reply:
    @Aaron Lee to confirm</t>
        </r>
      </text>
    </comment>
    <comment ref="P68" authorId="21" shapeId="0" xr:uid="{431C323E-26C3-4E58-AFEC-1B9BF9F3E9E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@Laura Sanchez Curtidor - Did you change this?
Reply:
    No
Reply:
    @Cailine Huang - Can you confirm is this was you?</t>
        </r>
      </text>
    </comment>
    <comment ref="D69" authorId="22" shapeId="0" xr:uid="{55AEDCB1-9CB1-4A0C-8877-EE592CF74F1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D70" authorId="23" shapeId="0" xr:uid="{31966EC9-5445-4497-8E7B-2ED9A587FF66}">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D71" authorId="24" shapeId="0" xr:uid="{C06AE437-E8B2-41F3-8320-667EA26B492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D72" authorId="25" shapeId="0" xr:uid="{C66E6C02-9C51-47DA-B956-F5204460C77E}">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Cailine's glidephat</t>
        </r>
      </text>
    </comment>
    <comment ref="D74" authorId="26" shapeId="0" xr:uid="{BE17650E-955A-406C-98C6-815684344D56}">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High risk as will be cosmetic change. Consumer noticeable</t>
        </r>
      </text>
    </comment>
    <comment ref="S74" authorId="27" shapeId="0" xr:uid="{9FD0192D-57DC-491B-8E1D-BA9876F07119}">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Estimate for ink jet printing. IF foil can be removed then £0.05 benefit.
Reply:
    Or pad print </t>
        </r>
      </text>
    </comment>
    <comment ref="O155" authorId="28" shapeId="0" xr:uid="{E2AB2312-E319-4BC1-AFD0-5E730F63570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@Daisy Cai , please confirm actual unit saving.</t>
        </r>
      </text>
    </comment>
    <comment ref="N243" authorId="29" shapeId="0" xr:uid="{FEEDD217-27E6-406E-A11A-68CB0E263A1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please check the date is correct? April is not achievable</t>
        </r>
      </text>
    </comment>
    <comment ref="D245" authorId="30" shapeId="0" xr:uid="{A6A15B8E-37FC-4A6C-B4A9-690F62380199}">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Timeline to be validated
Reply:
    Issues with specification - CoE working through with aucopo on specification 
Reply:
    @Aaron Lee confirm timing and unit saving </t>
        </r>
      </text>
    </comment>
    <comment ref="S245" authorId="31" shapeId="0" xr:uid="{D67CC0D0-9754-48C5-95C8-0E7AA03B5AE3}">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Already in PSTT
Reply:
    @Cailine Huang  , please check with if the saving is on top of battery Stretch
Reply:
    Removed due to stretch </t>
        </r>
      </text>
    </comment>
    <comment ref="D246" authorId="32" shapeId="0" xr:uid="{FBA65CC2-E22A-4B51-B03B-127D69EAF7AF}">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Timeline to be validated
Reply:
    @Aaron Lee confirm timing and unit saving, risk 
Reply:
    High risk due to pre-test result. Considering to remove this item and covered by PCBA stretch.</t>
        </r>
      </text>
    </comment>
    <comment ref="R246" authorId="33" shapeId="0" xr:uid="{59355E34-85FC-4A6C-8CB3-A068601DF5BD}">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Removed due to stretch</t>
        </r>
      </text>
    </comment>
    <comment ref="D250" authorId="34" shapeId="0" xr:uid="{62CA3F5A-1001-4744-A3ED-8D469846EA46}">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Pre-test planed for self activation study. Need review feasibility and timeline after pre-test</t>
        </r>
      </text>
    </comment>
    <comment ref="N275" authorId="35" shapeId="0" xr:uid="{61ECDDBC-9A33-41BF-A26F-4B3D879E5917}">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@Cailine Huang , please check the date is correct? April is not achievable</t>
        </r>
      </text>
    </comment>
    <comment ref="D279" authorId="36" shapeId="0" xr:uid="{44F2A334-AAF4-4E58-801A-5956286AB5C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Pre-test planed for self activation study. Need review feasibility and timeline after pre-test</t>
        </r>
      </text>
    </comment>
    <comment ref="D285" authorId="37" shapeId="0" xr:uid="{8D67AC78-7A63-409E-9315-31EC7B8662F1}">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Provided by Jorge</t>
        </r>
      </text>
    </comment>
    <comment ref="D297" authorId="38" shapeId="0" xr:uid="{20E3CE0A-DB33-4F01-ABBE-9A2805131DCA}">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Timeline to be validated
Reply:
    Issues with specification - CoE working through with aucopo on specification </t>
        </r>
      </text>
    </comment>
    <comment ref="T298" authorId="39" shapeId="0" xr:uid="{8B2C3A0B-80FD-4B24-B802-3F0072003080}">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-0.057</t>
        </r>
      </text>
    </comment>
    <comment ref="D299" authorId="40" shapeId="0" xr:uid="{98584351-FF83-43BE-A579-9C0B68A2A5F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Pre-test planed for self activation study. Need review feasibility and timeline after pre-test</t>
        </r>
      </text>
    </comment>
    <comment ref="G357" authorId="41" shapeId="0" xr:uid="{01527F47-3322-4B61-BF04-B3C430BC632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202408 actual FCA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tc={58CCDDE4-E9A6-4272-9313-360A3F7E1A36}</author>
    <author>tc={BF147474-C24F-478F-A9C6-FE3054B1D81C}</author>
    <author>tc={B940E93E-08A1-4297-A30D-59A13F08E949}</author>
    <author>tc={45B8A328-9E6F-4690-9C0F-81297D7ED78A}</author>
    <author>tc={C9F221ED-2A60-49B1-94AA-80EBD41CE502}</author>
    <author>tc={862A66F1-DD91-4C71-898F-C63C238861F7}</author>
    <author>tc={96DBF5EE-E362-47D4-8140-56AD6247B76A}</author>
    <author>tc={ED90EDC2-FE00-4405-97C1-3C30F8F166C7}</author>
    <author>tc={BD6FE6C6-E099-4441-B4BA-7DA07FBF0EAC}</author>
    <author>tc={00323B15-2BCA-4800-8290-A9AD9568AC8D}</author>
    <author>tc={341A79D9-0FA2-4C06-9790-36E2AAFE3939}</author>
    <author>tc={6EE36F61-54B6-49B2-897F-B99C53796C6C}</author>
    <author>tc={0B53D52E-CE2E-40CC-9DC5-01718AEC7103}</author>
    <author>tc={A544BAFF-057E-4206-9949-A0818F42687A}</author>
    <author>tc={C6E245EC-A1E3-490B-AF42-C36C93E4DC7D}</author>
  </authors>
  <commentList>
    <comment ref="D11" authorId="0" shapeId="0" xr:uid="{58CCDDE4-E9A6-4272-9313-360A3F7E1A36}">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Proposed by Sarwar, investigate tube and wrap process optimazation</t>
        </r>
      </text>
    </comment>
    <comment ref="D12" authorId="1" shapeId="0" xr:uid="{BF147474-C24F-478F-A9C6-FE3054B1D81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Additional stretched entered by finance</t>
        </r>
      </text>
    </comment>
    <comment ref="D13" authorId="2" shapeId="0" xr:uid="{B940E93E-08A1-4297-A30D-59A13F08E949}">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Accounting for difference between pen and box def</t>
        </r>
      </text>
    </comment>
    <comment ref="Q47" authorId="3" shapeId="0" xr:uid="{45B8A328-9E6F-4690-9C0F-81297D7ED78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Moved from Feb</t>
        </r>
      </text>
    </comment>
    <comment ref="S60" authorId="4" shapeId="0" xr:uid="{C9F221ED-2A60-49B1-94AA-80EBD41CE50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@Laura Sanchez Curtidor  No PCBA for Default, we need to remove this stretch.
Reply:
    @Sugi Kuhendraruban Have you updated this to your deck? This PCBA Stretch need to remove as No PCBA for Defautl!
Reply:
    @Daniel Aguirre , please check if this is included in your glide path, if it is, it should be removed as per Cailine's comment.</t>
        </r>
      </text>
    </comment>
    <comment ref="Q157" authorId="5" shapeId="0" xr:uid="{862A66F1-DD91-4C71-898F-C63C238861F7}">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Remove</t>
        </r>
      </text>
    </comment>
    <comment ref="U175" authorId="6" shapeId="0" xr:uid="{96DBF5EE-E362-47D4-8140-56AD6247B76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Increase due to recent reductions in previous cable</t>
        </r>
      </text>
    </comment>
    <comment ref="U242" authorId="7" shapeId="0" xr:uid="{ED90EDC2-FE00-4405-97C1-3C30F8F166C7}">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Increase due to recent reductions in previous cable</t>
        </r>
      </text>
    </comment>
    <comment ref="U295" authorId="8" shapeId="0" xr:uid="{BD6FE6C6-E099-4441-B4BA-7DA07FBF0EA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Increase due to recent reductions in previous cable</t>
        </r>
      </text>
    </comment>
    <comment ref="S299" authorId="9" shapeId="0" xr:uid="{00323B15-2BCA-4800-8290-A9AD9568AC8D}">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@Cailine Huang this initiative has only vol reference of 5k. Can you please make sure 8k is included in SOP3
Reply:
    PCBA is shared for 3/5/8K. </t>
        </r>
      </text>
    </comment>
    <comment ref="J350" authorId="10" shapeId="0" xr:uid="{341A79D9-0FA2-4C06-9790-36E2AAFE3939}">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Comment:
    update sleeve price(TFK Price update, 4:3:3=TFK:JEE:Huayu) </t>
        </r>
      </text>
    </comment>
    <comment ref="D351" authorId="11" shapeId="0" xr:uid="{6EE36F61-54B6-49B2-897F-B99C53796C6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0.0141339068075418: not cost down for packaging, sticker price separate from previous total protective shell.</t>
        </r>
      </text>
    </comment>
    <comment ref="S371" authorId="12" shapeId="0" xr:uid="{0B53D52E-CE2E-40CC-9DC5-01718AEC7103}">
      <text>
        <r>
          <rPr>
            <sz val="11"/>
            <color theme="1"/>
            <rFont val="等线"/>
            <family val="2"/>
            <scheme val="minor"/>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Default version no PCBA! Need to remove
@Laura Sanchez Curtidor  </t>
        </r>
      </text>
    </comment>
    <comment ref="D444" authorId="13" shapeId="0" xr:uid="{A544BAFF-057E-4206-9949-A0818F42687A}">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@Aaron Lee to confirm</t>
        </r>
      </text>
    </comment>
    <comment ref="R444" authorId="14" shapeId="0" xr:uid="{C6E245EC-A1E3-490B-AF42-C36C93E4DC7D}">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@Cailine Huang @Johnny Yu (External) please check the unit saving - it was 0.0033 from brief and email.</t>
        </r>
      </text>
    </comment>
  </commentList>
</comments>
</file>

<file path=xl/sharedStrings.xml><?xml version="1.0" encoding="utf-8"?>
<sst xmlns="http://schemas.openxmlformats.org/spreadsheetml/2006/main" count="5648" uniqueCount="792">
  <si>
    <t xml:space="preserve">Base Price: </t>
  </si>
  <si>
    <t>MD:</t>
  </si>
  <si>
    <t>Jun'24</t>
  </si>
  <si>
    <t>2 month lag</t>
  </si>
  <si>
    <t>CoPlan</t>
  </si>
  <si>
    <t>SOP2</t>
  </si>
  <si>
    <t>Gap</t>
  </si>
  <si>
    <t>Gap remark</t>
  </si>
  <si>
    <t>Hestia:</t>
  </si>
  <si>
    <t>Aug'24</t>
  </si>
  <si>
    <t>4 month lag</t>
  </si>
  <si>
    <t>Actual</t>
  </si>
  <si>
    <t>Plan</t>
  </si>
  <si>
    <t>Product</t>
  </si>
  <si>
    <t>Gap(till Feb'25)</t>
  </si>
  <si>
    <r>
      <t xml:space="preserve">Gap (Mar'25 to </t>
    </r>
    <r>
      <rPr>
        <b/>
        <sz val="10"/>
        <color rgb="FFFF0000"/>
        <rFont val="等线"/>
        <family val="2"/>
        <scheme val="minor"/>
      </rPr>
      <t>Oct'25</t>
    </r>
    <r>
      <rPr>
        <b/>
        <sz val="10"/>
        <color theme="1"/>
        <rFont val="等线"/>
        <family val="2"/>
        <scheme val="minor"/>
      </rPr>
      <t>)</t>
    </r>
  </si>
  <si>
    <t>Gap (Till year end)</t>
  </si>
  <si>
    <t>Gap Remark (Till Feb'25)</t>
  </si>
  <si>
    <t>Gap Remark(Till Oct'25)</t>
  </si>
  <si>
    <t>PEN 800 Default 2.0</t>
  </si>
  <si>
    <t>FCA:</t>
  </si>
  <si>
    <t>Saving:</t>
  </si>
  <si>
    <t>Inflation</t>
  </si>
  <si>
    <t>Inflation need to postpone: 
1. Thimble; 
2. DL.
3. Others to cancel.</t>
  </si>
  <si>
    <t>Mechanical Parts</t>
  </si>
  <si>
    <r>
      <rPr>
        <b/>
        <sz val="10"/>
        <color rgb="FFFF0000"/>
        <rFont val="等线"/>
        <family val="2"/>
        <scheme val="minor"/>
      </rPr>
      <t>Gap: 3.23P:</t>
    </r>
    <r>
      <rPr>
        <sz val="10"/>
        <rFont val="等线"/>
        <family val="2"/>
        <scheme val="minor"/>
      </rPr>
      <t xml:space="preserve">
</t>
    </r>
    <r>
      <rPr>
        <b/>
        <sz val="10"/>
        <color rgb="FFFF0000"/>
        <rFont val="等线"/>
        <family val="2"/>
        <scheme val="minor"/>
      </rPr>
      <t xml:space="preserve">1. COE </t>
    </r>
    <r>
      <rPr>
        <sz val="10"/>
        <color rgb="FFFF0000"/>
        <rFont val="等线"/>
        <family val="2"/>
        <scheme val="minor"/>
      </rPr>
      <t xml:space="preserve">: Gap 2.84P; 
</t>
    </r>
    <r>
      <rPr>
        <sz val="10"/>
        <rFont val="等线"/>
        <family val="2"/>
        <scheme val="minor"/>
      </rPr>
      <t xml:space="preserve">1) Target: -3.91P.
1) Achieve: -1.06p
2) Gap:2.84P.  
</t>
    </r>
    <r>
      <rPr>
        <b/>
        <sz val="10"/>
        <rFont val="等线"/>
        <family val="2"/>
        <scheme val="minor"/>
      </rPr>
      <t>Reason:</t>
    </r>
    <r>
      <rPr>
        <sz val="10"/>
        <rFont val="等线"/>
        <family val="2"/>
        <scheme val="minor"/>
      </rPr>
      <t xml:space="preserve"> 1) Coplan SOP6 Stretch: 2.93p, only finish 0.09p(thimble, TFK Protective shell)
</t>
    </r>
    <r>
      <rPr>
        <b/>
        <sz val="10"/>
        <rFont val="等线"/>
        <family val="2"/>
        <scheme val="minor"/>
      </rPr>
      <t>Action:</t>
    </r>
    <r>
      <rPr>
        <sz val="10"/>
        <rFont val="等线"/>
        <family val="2"/>
        <scheme val="minor"/>
      </rPr>
      <t xml:space="preserve"> find opp of 2.84p. 
</t>
    </r>
    <r>
      <rPr>
        <b/>
        <sz val="10"/>
        <color rgb="FFFF0000"/>
        <rFont val="等线"/>
        <family val="2"/>
        <scheme val="minor"/>
      </rPr>
      <t>2. Extra stretch-finance: 0.38p gap;</t>
    </r>
    <r>
      <rPr>
        <sz val="10"/>
        <color rgb="FFFF0000"/>
        <rFont val="等线"/>
        <family val="2"/>
        <scheme val="minor"/>
      </rPr>
      <t xml:space="preserve"> (to align with Finance)</t>
    </r>
  </si>
  <si>
    <t>Fengyi wraping cost down 0.02p</t>
  </si>
  <si>
    <t xml:space="preserve">Wrap sticker + SS tube vertical integration </t>
  </si>
  <si>
    <t xml:space="preserve">Inflation </t>
  </si>
  <si>
    <t>Stretch</t>
  </si>
  <si>
    <t>1. Stretch -0.0038;
2. Thimble cost down: -0.0004</t>
  </si>
  <si>
    <t>1. Stretch: -0.0195p 
2.TFK Protective shell cost down</t>
  </si>
  <si>
    <t>Thimble inflation</t>
  </si>
  <si>
    <t>Electronics</t>
  </si>
  <si>
    <r>
      <rPr>
        <b/>
        <sz val="10"/>
        <color rgb="FFFF0000"/>
        <rFont val="等线"/>
        <family val="2"/>
        <scheme val="minor"/>
      </rPr>
      <t>Gap:1.3P (COE):</t>
    </r>
    <r>
      <rPr>
        <sz val="10"/>
        <rFont val="等线"/>
        <family val="2"/>
        <scheme val="minor"/>
      </rPr>
      <t xml:space="preserve">
</t>
    </r>
    <r>
      <rPr>
        <b/>
        <sz val="10"/>
        <rFont val="等线"/>
        <family val="2"/>
        <scheme val="minor"/>
      </rPr>
      <t>1. Battery:</t>
    </r>
    <r>
      <rPr>
        <sz val="10"/>
        <rFont val="等线"/>
        <family val="2"/>
        <scheme val="minor"/>
      </rPr>
      <t xml:space="preserve"> Target: -2.06p, realized -2.37p,</t>
    </r>
    <r>
      <rPr>
        <b/>
        <sz val="10"/>
        <rFont val="等线"/>
        <family val="2"/>
        <scheme val="minor"/>
      </rPr>
      <t xml:space="preserve"> </t>
    </r>
    <r>
      <rPr>
        <b/>
        <sz val="10"/>
        <color rgb="FF00B050"/>
        <rFont val="等线"/>
        <family val="2"/>
        <scheme val="minor"/>
      </rPr>
      <t>-0.31p exceed.</t>
    </r>
    <r>
      <rPr>
        <b/>
        <sz val="10"/>
        <rFont val="等线"/>
        <family val="2"/>
        <scheme val="minor"/>
      </rPr>
      <t xml:space="preserve"> </t>
    </r>
    <r>
      <rPr>
        <sz val="10"/>
        <rFont val="等线"/>
        <family val="2"/>
        <scheme val="minor"/>
      </rPr>
      <t xml:space="preserve"> (July'24: 0.05p gap less; Jan'25 0.36p better)
</t>
    </r>
    <r>
      <rPr>
        <b/>
        <sz val="10"/>
        <color rgb="FFFF0000"/>
        <rFont val="等线"/>
        <family val="2"/>
        <scheme val="minor"/>
      </rPr>
      <t>2.PCBA: gap 1.53p</t>
    </r>
    <r>
      <rPr>
        <sz val="10"/>
        <rFont val="等线"/>
        <family val="2"/>
        <scheme val="minor"/>
      </rPr>
      <t xml:space="preserve">. (coplan should in Full only, wrong set in Default.)
</t>
    </r>
    <r>
      <rPr>
        <b/>
        <sz val="10"/>
        <color rgb="FFFF0000"/>
        <rFont val="等线"/>
        <family val="2"/>
        <scheme val="minor"/>
      </rPr>
      <t>3. Airflow controller</t>
    </r>
    <r>
      <rPr>
        <sz val="10"/>
        <rFont val="等线"/>
        <family val="2"/>
        <scheme val="minor"/>
      </rPr>
      <t xml:space="preserve">: </t>
    </r>
    <r>
      <rPr>
        <b/>
        <sz val="10"/>
        <color rgb="FFFF0000"/>
        <rFont val="等线"/>
        <family val="2"/>
        <scheme val="minor"/>
      </rPr>
      <t>Gap:0.08p.</t>
    </r>
    <r>
      <rPr>
        <sz val="10"/>
        <rFont val="等线"/>
        <family val="2"/>
        <scheme val="minor"/>
      </rPr>
      <t xml:space="preserve">
Target -1.26p in Aug, Realized -1.18p (Jul/Aug/Nov/Jan).
Reason: not 100% allocate to TMY but keep duel source with Toll for quality/supply chain risk.
</t>
    </r>
    <r>
      <rPr>
        <b/>
        <sz val="10"/>
        <rFont val="等线"/>
        <family val="2"/>
        <scheme val="minor"/>
      </rPr>
      <t xml:space="preserve">Action: </t>
    </r>
    <r>
      <rPr>
        <sz val="10"/>
        <rFont val="等线"/>
        <family val="2"/>
        <scheme val="minor"/>
      </rPr>
      <t xml:space="preserve">find opp to close the gap.
</t>
    </r>
  </si>
  <si>
    <r>
      <rPr>
        <b/>
        <sz val="10"/>
        <rFont val="等线"/>
        <family val="2"/>
        <scheme val="minor"/>
      </rPr>
      <t>Highlight:</t>
    </r>
    <r>
      <rPr>
        <sz val="10"/>
        <rFont val="等线"/>
        <family val="2"/>
        <scheme val="minor"/>
      </rPr>
      <t xml:space="preserve"> battery -0.68p target cost down in Jul'25, actual nego price to monitor. (Jan'25 exceeds target)</t>
    </r>
  </si>
  <si>
    <t>1. Battery: coplan -0.82p vs actual -0.76p;
2. Airflow controller: actual -0.74p</t>
  </si>
  <si>
    <t>1. Airflow controller: coplan -1.26p vs actual -0.11p</t>
  </si>
  <si>
    <t>1. Coplan: Inflation 0.74p;
2. Airflow controller: -0.29p;</t>
  </si>
  <si>
    <t>1. Coplan PCBA:-1.53P(No PCBA in Default);
2. Coplan Battery -1.25p;(Delay to Feb due to inventory)</t>
  </si>
  <si>
    <t>Battery actual -1.61p.(0.36p better)</t>
  </si>
  <si>
    <t>Inflation delay (Could be removed)</t>
  </si>
  <si>
    <t>Battery Q3'25 Cost down(Corrected in SOP2 to 0.36p for actual)</t>
  </si>
  <si>
    <t>Packaging</t>
  </si>
  <si>
    <r>
      <rPr>
        <b/>
        <sz val="10"/>
        <color rgb="FFFF0000"/>
        <rFont val="等线"/>
        <family val="2"/>
        <scheme val="minor"/>
      </rPr>
      <t>Gap: 0.21p;</t>
    </r>
    <r>
      <rPr>
        <sz val="10"/>
        <rFont val="等线"/>
        <family val="2"/>
        <scheme val="minor"/>
      </rPr>
      <t xml:space="preserve">
</t>
    </r>
    <r>
      <rPr>
        <b/>
        <sz val="10"/>
        <rFont val="等线"/>
        <family val="2"/>
        <scheme val="minor"/>
      </rPr>
      <t>Unplanned Design change from EM:</t>
    </r>
    <r>
      <rPr>
        <sz val="10"/>
        <rFont val="等线"/>
        <family val="2"/>
        <scheme val="minor"/>
      </rPr>
      <t xml:space="preserve"> Flow wrap change from blank to pre-print in Dec.</t>
    </r>
  </si>
  <si>
    <r>
      <rPr>
        <b/>
        <sz val="10"/>
        <color rgb="FFFF0000"/>
        <rFont val="等线"/>
        <family val="2"/>
        <scheme val="minor"/>
      </rPr>
      <t>Gap: 0.21p;</t>
    </r>
    <r>
      <rPr>
        <sz val="10"/>
        <rFont val="等线"/>
        <family val="2"/>
        <scheme val="minor"/>
      </rPr>
      <t xml:space="preserve">
</t>
    </r>
    <r>
      <rPr>
        <b/>
        <sz val="10"/>
        <rFont val="等线"/>
        <family val="2"/>
        <scheme val="minor"/>
      </rPr>
      <t>Unplan Design change from EM</t>
    </r>
    <r>
      <rPr>
        <sz val="10"/>
        <rFont val="等线"/>
        <family val="2"/>
        <scheme val="minor"/>
      </rPr>
      <t>: Flow wrap change Non-ESG material to ESG in Apr'25.(Under validation)</t>
    </r>
  </si>
  <si>
    <t>Design change from EM: Flow Wrap (NON-ESG) Change from blank to printing</t>
  </si>
  <si>
    <t xml:space="preserve">Inflation delay </t>
  </si>
  <si>
    <t>Design change from EM: Flow wrap change from  Pre-print Non-ESG to ESG preprint</t>
  </si>
  <si>
    <t>E-liquid</t>
  </si>
  <si>
    <r>
      <rPr>
        <b/>
        <sz val="10"/>
        <color rgb="FFFF0000"/>
        <rFont val="等线"/>
        <family val="2"/>
        <scheme val="minor"/>
      </rPr>
      <t>Gap: 0.25p;</t>
    </r>
    <r>
      <rPr>
        <sz val="10"/>
        <rFont val="等线"/>
        <family val="2"/>
        <scheme val="minor"/>
      </rPr>
      <t xml:space="preserve">
1</t>
    </r>
    <r>
      <rPr>
        <sz val="10"/>
        <color rgb="FFFF0000"/>
        <rFont val="等线"/>
        <family val="2"/>
        <scheme val="minor"/>
      </rPr>
      <t>.Extra stretch-finance:  0.29p gap;</t>
    </r>
    <r>
      <rPr>
        <sz val="10"/>
        <rFont val="等线"/>
        <family val="2"/>
        <scheme val="minor"/>
      </rPr>
      <t xml:space="preserve">
2. Liquid cost down from FX: </t>
    </r>
    <r>
      <rPr>
        <sz val="10"/>
        <color rgb="FF00B050"/>
        <rFont val="等线"/>
        <family val="2"/>
        <scheme val="minor"/>
      </rPr>
      <t>-0.04P.</t>
    </r>
    <r>
      <rPr>
        <sz val="10"/>
        <rFont val="等线"/>
        <family val="2"/>
        <scheme val="minor"/>
      </rPr>
      <t xml:space="preserve">
</t>
    </r>
    <r>
      <rPr>
        <b/>
        <sz val="10"/>
        <rFont val="等线"/>
        <family val="2"/>
        <scheme val="minor"/>
      </rPr>
      <t xml:space="preserve">Action: </t>
    </r>
    <r>
      <rPr>
        <sz val="10"/>
        <rFont val="等线"/>
        <family val="2"/>
        <scheme val="minor"/>
      </rPr>
      <t>Flavor Nego down finished, to push US for liquid down(Kil).</t>
    </r>
  </si>
  <si>
    <t>Liquid price down with FX update</t>
  </si>
  <si>
    <t>Liquid stretch</t>
  </si>
  <si>
    <t>Core Technology</t>
  </si>
  <si>
    <r>
      <rPr>
        <b/>
        <sz val="10"/>
        <color rgb="FFFF0000"/>
        <rFont val="等线"/>
        <family val="2"/>
        <scheme val="minor"/>
      </rPr>
      <t>Gap: 0.01p</t>
    </r>
    <r>
      <rPr>
        <sz val="10"/>
        <rFont val="等线"/>
        <family val="2"/>
        <scheme val="minor"/>
      </rPr>
      <t xml:space="preserve">
Slight gap from FX.</t>
    </r>
  </si>
  <si>
    <r>
      <rPr>
        <b/>
        <sz val="10"/>
        <rFont val="等线"/>
        <family val="2"/>
        <scheme val="minor"/>
      </rPr>
      <t>Action:</t>
    </r>
    <r>
      <rPr>
        <sz val="10"/>
        <rFont val="等线"/>
        <family val="2"/>
        <scheme val="minor"/>
      </rPr>
      <t xml:space="preserve"> pull in Heater cost down -0.76p from Jun'25 to Jan'25 to balance the gap from Assy stretch. (T1)</t>
    </r>
  </si>
  <si>
    <t>Heater wave 3</t>
  </si>
  <si>
    <t>Heater wave 4</t>
  </si>
  <si>
    <t>Assembly</t>
  </si>
  <si>
    <r>
      <rPr>
        <b/>
        <sz val="10"/>
        <color rgb="FF00B050"/>
        <rFont val="等线"/>
        <family val="2"/>
        <scheme val="minor"/>
      </rPr>
      <t>Gap: -0.04p.(exceed)</t>
    </r>
    <r>
      <rPr>
        <sz val="10"/>
        <rFont val="等线"/>
        <family val="2"/>
        <scheme val="minor"/>
      </rPr>
      <t xml:space="preserve">
TML reduce from BOM cost improvement.</t>
    </r>
  </si>
  <si>
    <r>
      <rPr>
        <b/>
        <sz val="10"/>
        <color rgb="FFFF0000"/>
        <rFont val="等线"/>
        <family val="2"/>
        <scheme val="minor"/>
      </rPr>
      <t>Gap: 0.96p;</t>
    </r>
    <r>
      <rPr>
        <sz val="10"/>
        <rFont val="等线"/>
        <family val="2"/>
        <scheme val="minor"/>
      </rPr>
      <t xml:space="preserve">
1. </t>
    </r>
    <r>
      <rPr>
        <sz val="10"/>
        <color rgb="FFFF0000"/>
        <rFont val="等线"/>
        <family val="2"/>
        <scheme val="minor"/>
      </rPr>
      <t>Extra Stretch-finance: 0.96p gap</t>
    </r>
    <r>
      <rPr>
        <sz val="10"/>
        <rFont val="等线"/>
        <family val="2"/>
        <scheme val="minor"/>
      </rPr>
      <t xml:space="preserve"> in Mar'25. (T1)
</t>
    </r>
  </si>
  <si>
    <t>TML Improvement(1%-&gt;0.8%)</t>
  </si>
  <si>
    <t>TML</t>
  </si>
  <si>
    <t>1. Stretch -0.96p(coplan);
2. Inflation DL0.99P.(Actual)</t>
  </si>
  <si>
    <t>PEN 800 Full 2.0</t>
  </si>
  <si>
    <r>
      <rPr>
        <b/>
        <sz val="10"/>
        <color rgb="FFFF0000"/>
        <rFont val="等线"/>
        <family val="2"/>
        <scheme val="minor"/>
      </rPr>
      <t>Gap: 3.12P:</t>
    </r>
    <r>
      <rPr>
        <sz val="10"/>
        <rFont val="等线"/>
        <family val="2"/>
        <scheme val="minor"/>
      </rPr>
      <t xml:space="preserve">
</t>
    </r>
    <r>
      <rPr>
        <b/>
        <sz val="10"/>
        <color rgb="FFFF0000"/>
        <rFont val="等线"/>
        <family val="2"/>
        <scheme val="minor"/>
      </rPr>
      <t xml:space="preserve">1. COE </t>
    </r>
    <r>
      <rPr>
        <sz val="10"/>
        <color rgb="FFFF0000"/>
        <rFont val="等线"/>
        <family val="2"/>
        <scheme val="minor"/>
      </rPr>
      <t xml:space="preserve">: Gap 3.12P; 
</t>
    </r>
    <r>
      <rPr>
        <sz val="10"/>
        <rFont val="等线"/>
        <family val="2"/>
        <scheme val="minor"/>
      </rPr>
      <t xml:space="preserve">1) Target: -3.91P.(-2.93p stretch &amp;  -0.98p VSM)
1) Achieve: -0.78p
2) Gap:3.12P.  
</t>
    </r>
    <r>
      <rPr>
        <b/>
        <sz val="10"/>
        <rFont val="等线"/>
        <family val="2"/>
        <scheme val="minor"/>
      </rPr>
      <t>Reason:</t>
    </r>
    <r>
      <rPr>
        <sz val="10"/>
        <rFont val="等线"/>
        <family val="2"/>
        <scheme val="minor"/>
      </rPr>
      <t xml:space="preserve"> </t>
    </r>
    <r>
      <rPr>
        <sz val="10"/>
        <color rgb="FFFF0000"/>
        <rFont val="等线"/>
        <family val="2"/>
        <scheme val="minor"/>
      </rPr>
      <t xml:space="preserve">1) 0.25P from duel source with lower cavity.
2) </t>
    </r>
    <r>
      <rPr>
        <sz val="10"/>
        <color rgb="FF00B050"/>
        <rFont val="等线"/>
        <family val="2"/>
        <scheme val="minor"/>
      </rPr>
      <t>Other VSM -0.05P exceeds.</t>
    </r>
    <r>
      <rPr>
        <sz val="10"/>
        <rFont val="等线"/>
        <family val="2"/>
        <scheme val="minor"/>
      </rPr>
      <t xml:space="preserve">
</t>
    </r>
    <r>
      <rPr>
        <sz val="10"/>
        <color rgb="FFFF0000"/>
        <rFont val="等线"/>
        <family val="2"/>
        <scheme val="minor"/>
      </rPr>
      <t xml:space="preserve">3) Coplan SOP6 Stretch: 2.93p =&gt; not realize.
</t>
    </r>
    <r>
      <rPr>
        <b/>
        <sz val="10"/>
        <rFont val="等线"/>
        <family val="2"/>
        <scheme val="minor"/>
      </rPr>
      <t>Action:</t>
    </r>
    <r>
      <rPr>
        <sz val="10"/>
        <rFont val="等线"/>
        <family val="2"/>
        <scheme val="minor"/>
      </rPr>
      <t xml:space="preserve"> find opp to close gap.</t>
    </r>
  </si>
  <si>
    <t>1. Coplan:Fengyi wrapping: -0.02p;
2. Pen full duel source button: 0.25p(actual)</t>
  </si>
  <si>
    <t>Protective shell cost down</t>
  </si>
  <si>
    <t>TK plastic cost saving</t>
  </si>
  <si>
    <t>1. Stretch 1.95p;
2. TFK&amp;MGC cost down-0.05p</t>
  </si>
  <si>
    <r>
      <rPr>
        <b/>
        <sz val="10"/>
        <color rgb="FF00B050"/>
        <rFont val="等线"/>
        <family val="2"/>
        <scheme val="minor"/>
      </rPr>
      <t>Gap: -0.08P (Exceed):</t>
    </r>
    <r>
      <rPr>
        <sz val="10"/>
        <rFont val="等线"/>
        <family val="2"/>
        <scheme val="minor"/>
      </rPr>
      <t xml:space="preserve">
</t>
    </r>
    <r>
      <rPr>
        <b/>
        <sz val="10"/>
        <rFont val="等线"/>
        <family val="2"/>
        <scheme val="minor"/>
      </rPr>
      <t>1. Battery:</t>
    </r>
    <r>
      <rPr>
        <sz val="10"/>
        <rFont val="等线"/>
        <family val="2"/>
        <scheme val="minor"/>
      </rPr>
      <t xml:space="preserve"> Target: -2.06p, realized -2.37p,</t>
    </r>
    <r>
      <rPr>
        <b/>
        <sz val="10"/>
        <rFont val="等线"/>
        <family val="2"/>
        <scheme val="minor"/>
      </rPr>
      <t xml:space="preserve"> </t>
    </r>
    <r>
      <rPr>
        <b/>
        <sz val="10"/>
        <color rgb="FF00B050"/>
        <rFont val="等线"/>
        <family val="2"/>
        <scheme val="minor"/>
      </rPr>
      <t>-0.31p exceed.</t>
    </r>
    <r>
      <rPr>
        <b/>
        <sz val="10"/>
        <rFont val="等线"/>
        <family val="2"/>
        <scheme val="minor"/>
      </rPr>
      <t xml:space="preserve"> </t>
    </r>
    <r>
      <rPr>
        <sz val="10"/>
        <rFont val="等线"/>
        <family val="2"/>
        <scheme val="minor"/>
      </rPr>
      <t xml:space="preserve"> (July'24: 0.05p gap less; Jan'25 0.36p better)
</t>
    </r>
    <r>
      <rPr>
        <b/>
        <sz val="10"/>
        <color rgb="FFFF0000"/>
        <rFont val="等线"/>
        <family val="2"/>
        <scheme val="minor"/>
      </rPr>
      <t>2. PCBA: gap 0.23p in Jan'25</t>
    </r>
    <r>
      <rPr>
        <sz val="10"/>
        <rFont val="等线"/>
        <family val="2"/>
        <scheme val="minor"/>
      </rPr>
      <t xml:space="preserve">. 
</t>
    </r>
    <r>
      <rPr>
        <b/>
        <sz val="10"/>
        <rFont val="等线"/>
        <family val="2"/>
        <scheme val="minor"/>
      </rPr>
      <t xml:space="preserve">Action: </t>
    </r>
    <r>
      <rPr>
        <sz val="10"/>
        <rFont val="等线"/>
        <family val="2"/>
        <scheme val="minor"/>
      </rPr>
      <t>find opp to close PCBA Gap.</t>
    </r>
  </si>
  <si>
    <t>1. Battery: coplan -0.82p vs actual -0.76p;</t>
  </si>
  <si>
    <t>1. Coplan PCBA:-1.53P vs Actual -1.3p; 0.22p gap.
2. Coplan Battery -1.25p;(Delay to Feb due to inventory)</t>
  </si>
  <si>
    <r>
      <rPr>
        <b/>
        <sz val="10"/>
        <rFont val="等线"/>
        <family val="2"/>
        <scheme val="minor"/>
      </rPr>
      <t>Unplanned Design change from EM:</t>
    </r>
    <r>
      <rPr>
        <sz val="10"/>
        <rFont val="等线"/>
        <family val="2"/>
        <scheme val="minor"/>
      </rPr>
      <t xml:space="preserve"> Flow wrap change from blank to pre-print in Dec. + Remove bottom sticker.</t>
    </r>
  </si>
  <si>
    <r>
      <rPr>
        <b/>
        <sz val="10"/>
        <color rgb="FFFF0000"/>
        <rFont val="等线"/>
        <family val="2"/>
        <scheme val="minor"/>
      </rPr>
      <t>Gap: 0.21p;</t>
    </r>
    <r>
      <rPr>
        <sz val="10"/>
        <rFont val="等线"/>
        <family val="2"/>
        <scheme val="minor"/>
      </rPr>
      <t xml:space="preserve">
Design change from EM: Flow wrap: -0.02p.</t>
    </r>
  </si>
  <si>
    <t>Protective  shell(ZRP Wrapping sticker）</t>
  </si>
  <si>
    <t>Design change from EM: Flow wrap pre-print + Bottom sticker removal</t>
  </si>
  <si>
    <t>2. Coplan Battery -1.25p;(Delay to Feb due to inventory)</t>
  </si>
  <si>
    <t>Design change from EM: Flow wrap change to ESG</t>
  </si>
  <si>
    <r>
      <rPr>
        <b/>
        <sz val="10"/>
        <color rgb="FFFF0000"/>
        <rFont val="等线"/>
        <family val="2"/>
        <scheme val="minor"/>
      </rPr>
      <t>Gap: -0.02p.</t>
    </r>
    <r>
      <rPr>
        <sz val="10"/>
        <rFont val="等线"/>
        <family val="2"/>
        <scheme val="minor"/>
      </rPr>
      <t xml:space="preserve">
TML reduce from BOM cost .</t>
    </r>
  </si>
  <si>
    <t>Plastic duel source tool art.</t>
  </si>
  <si>
    <t>DL Inflation</t>
  </si>
  <si>
    <t>BOX 800 Default 2.0</t>
  </si>
  <si>
    <r>
      <rPr>
        <b/>
        <sz val="10"/>
        <color rgb="FFFF0000"/>
        <rFont val="等线"/>
        <family val="2"/>
        <scheme val="minor"/>
      </rPr>
      <t>Gap: 3.29P:</t>
    </r>
    <r>
      <rPr>
        <sz val="10"/>
        <rFont val="等线"/>
        <family val="2"/>
        <scheme val="minor"/>
      </rPr>
      <t xml:space="preserve">
</t>
    </r>
    <r>
      <rPr>
        <b/>
        <sz val="10"/>
        <color rgb="FFFF0000"/>
        <rFont val="等线"/>
        <family val="2"/>
        <scheme val="minor"/>
      </rPr>
      <t xml:space="preserve">1. COE </t>
    </r>
    <r>
      <rPr>
        <sz val="10"/>
        <color rgb="FFFF0000"/>
        <rFont val="等线"/>
        <family val="2"/>
        <scheme val="minor"/>
      </rPr>
      <t xml:space="preserve">: Gap 3.29P; 
</t>
    </r>
    <r>
      <rPr>
        <sz val="10"/>
        <rFont val="等线"/>
        <family val="2"/>
        <scheme val="minor"/>
      </rPr>
      <t xml:space="preserve">1) Target: -3.41P.
1) Achieve: -0.12p
2) Gap:2.29P.  
</t>
    </r>
    <r>
      <rPr>
        <b/>
        <sz val="10"/>
        <rFont val="等线"/>
        <family val="2"/>
        <scheme val="minor"/>
      </rPr>
      <t>Reason:</t>
    </r>
    <r>
      <rPr>
        <sz val="10"/>
        <rFont val="等线"/>
        <family val="2"/>
        <scheme val="minor"/>
      </rPr>
      <t xml:space="preserve"> 1) Coplan SOP6 Stretch: 3.41p, only finish 0.12p(thimble, Jan/Feb'25 TK Plastic/silicone)
</t>
    </r>
    <r>
      <rPr>
        <b/>
        <sz val="10"/>
        <rFont val="等线"/>
        <family val="2"/>
        <scheme val="minor"/>
      </rPr>
      <t>Action:</t>
    </r>
    <r>
      <rPr>
        <sz val="10"/>
        <rFont val="等线"/>
        <family val="2"/>
        <scheme val="minor"/>
      </rPr>
      <t xml:space="preserve"> find opp of 3.29p. </t>
    </r>
  </si>
  <si>
    <r>
      <rPr>
        <b/>
        <sz val="10"/>
        <color rgb="FFFF0000"/>
        <rFont val="等线"/>
        <family val="2"/>
        <scheme val="minor"/>
      </rPr>
      <t>Gap: 1.44p:</t>
    </r>
    <r>
      <rPr>
        <sz val="10"/>
        <rFont val="等线"/>
        <family val="2"/>
        <scheme val="minor"/>
      </rPr>
      <t xml:space="preserve">
1</t>
    </r>
    <r>
      <rPr>
        <sz val="10"/>
        <color rgb="FFFF0000"/>
        <rFont val="等线"/>
        <family val="2"/>
        <scheme val="minor"/>
      </rPr>
      <t>.Extra stretch-finance: 1.44p gap;</t>
    </r>
    <r>
      <rPr>
        <sz val="10"/>
        <rFont val="等线"/>
        <family val="2"/>
        <scheme val="minor"/>
      </rPr>
      <t xml:space="preserve"> (to align with Finance)
</t>
    </r>
  </si>
  <si>
    <t>1. Stretch:0.48p;
2. Jan Nego(TK,Hongyuan):-0.07p.</t>
  </si>
  <si>
    <t>1. Stretch:1.958p;
2. Feb Nego(Silicone):-0.05p.</t>
  </si>
  <si>
    <t>1. Stretch:1.44p;
2. Inflation: 0.2p.</t>
  </si>
  <si>
    <r>
      <rPr>
        <b/>
        <sz val="10"/>
        <color rgb="FFFF0000"/>
        <rFont val="等线"/>
        <family val="2"/>
        <scheme val="minor"/>
      </rPr>
      <t>Gap: 0.59p;</t>
    </r>
    <r>
      <rPr>
        <sz val="10"/>
        <rFont val="等线"/>
        <family val="2"/>
        <scheme val="minor"/>
      </rPr>
      <t xml:space="preserve">
</t>
    </r>
    <r>
      <rPr>
        <b/>
        <sz val="10"/>
        <rFont val="等线"/>
        <family val="2"/>
        <scheme val="minor"/>
      </rPr>
      <t>1.Unplanned Design change from EM:</t>
    </r>
    <r>
      <rPr>
        <sz val="10"/>
        <rFont val="等线"/>
        <family val="2"/>
        <scheme val="minor"/>
      </rPr>
      <t xml:space="preserve"> Flow wrap change from blank to pre-print in Dec'24: 0.21p;
</t>
    </r>
    <r>
      <rPr>
        <sz val="10"/>
        <color rgb="FFFF0000"/>
        <rFont val="等线"/>
        <family val="2"/>
        <scheme val="minor"/>
      </rPr>
      <t>2. Extra stretch-finance:  0.38p gap;</t>
    </r>
  </si>
  <si>
    <r>
      <rPr>
        <b/>
        <sz val="10"/>
        <color rgb="FFFF0000"/>
        <rFont val="等线"/>
        <family val="2"/>
        <scheme val="minor"/>
      </rPr>
      <t>Gap: 0.12p;</t>
    </r>
    <r>
      <rPr>
        <sz val="10"/>
        <rFont val="等线"/>
        <family val="2"/>
        <scheme val="minor"/>
      </rPr>
      <t xml:space="preserve">
</t>
    </r>
    <r>
      <rPr>
        <b/>
        <sz val="10"/>
        <rFont val="等线"/>
        <family val="2"/>
        <scheme val="minor"/>
      </rPr>
      <t>Unplan Design change from EM</t>
    </r>
    <r>
      <rPr>
        <sz val="10"/>
        <rFont val="等线"/>
        <family val="2"/>
        <scheme val="minor"/>
      </rPr>
      <t>: Flow wrap change Non-ESG material to ESG in Apr'25.(Under validation)</t>
    </r>
  </si>
  <si>
    <r>
      <rPr>
        <b/>
        <sz val="10"/>
        <color rgb="FF00B050"/>
        <rFont val="等线"/>
        <family val="2"/>
        <scheme val="minor"/>
      </rPr>
      <t>Gap: -0.03p.(exceed)</t>
    </r>
    <r>
      <rPr>
        <sz val="10"/>
        <rFont val="等线"/>
        <family val="2"/>
        <scheme val="minor"/>
      </rPr>
      <t xml:space="preserve">
TML reduce from BOM cost improvement. &amp; 1GBP Strategic support gap.</t>
    </r>
  </si>
  <si>
    <t>1GBP Strategic support gap.
TML Improvement(1%-&gt;0.8%)</t>
  </si>
  <si>
    <t>1GBP Strategic support gap.</t>
  </si>
  <si>
    <t>BOX 800 Full 2.0</t>
  </si>
  <si>
    <r>
      <rPr>
        <b/>
        <sz val="10"/>
        <color rgb="FFFF0000"/>
        <rFont val="等线"/>
        <family val="2"/>
        <scheme val="minor"/>
      </rPr>
      <t>Gap: 2.65P:</t>
    </r>
    <r>
      <rPr>
        <sz val="10"/>
        <color rgb="FFFF0000"/>
        <rFont val="等线"/>
        <family val="2"/>
        <scheme val="minor"/>
      </rPr>
      <t xml:space="preserve">
</t>
    </r>
    <r>
      <rPr>
        <sz val="10"/>
        <rFont val="等线"/>
        <family val="2"/>
        <scheme val="minor"/>
      </rPr>
      <t xml:space="preserve">1) Target: -2.93p ( Coplan stretch)
1) Achieve: -0.28p
2) Gap:2.65P.  
</t>
    </r>
    <r>
      <rPr>
        <b/>
        <sz val="10"/>
        <rFont val="等线"/>
        <family val="2"/>
        <scheme val="minor"/>
      </rPr>
      <t>Reason:</t>
    </r>
    <r>
      <rPr>
        <sz val="10"/>
        <rFont val="等线"/>
        <family val="2"/>
        <scheme val="minor"/>
      </rPr>
      <t xml:space="preserve"> </t>
    </r>
    <r>
      <rPr>
        <sz val="10"/>
        <color rgb="FFFF0000"/>
        <rFont val="等线"/>
        <family val="2"/>
        <scheme val="minor"/>
      </rPr>
      <t xml:space="preserve">1) 0.43P from duel source with lower cavity.
2) </t>
    </r>
    <r>
      <rPr>
        <sz val="10"/>
        <color rgb="FF00B050"/>
        <rFont val="等线"/>
        <family val="2"/>
        <scheme val="minor"/>
      </rPr>
      <t>Other VSM -0.70P exceeds.</t>
    </r>
    <r>
      <rPr>
        <sz val="10"/>
        <rFont val="等线"/>
        <family val="2"/>
        <scheme val="minor"/>
      </rPr>
      <t xml:space="preserve">
</t>
    </r>
    <r>
      <rPr>
        <sz val="10"/>
        <color rgb="FFFF0000"/>
        <rFont val="等线"/>
        <family val="2"/>
        <scheme val="minor"/>
      </rPr>
      <t xml:space="preserve">3) Coplan SOP6 Stretch: 2.93p =&gt; not realize.
</t>
    </r>
    <r>
      <rPr>
        <b/>
        <sz val="10"/>
        <rFont val="等线"/>
        <family val="2"/>
        <scheme val="minor"/>
      </rPr>
      <t>Action:</t>
    </r>
    <r>
      <rPr>
        <sz val="10"/>
        <rFont val="等线"/>
        <family val="2"/>
        <scheme val="minor"/>
      </rPr>
      <t xml:space="preserve"> find opp to close gap.</t>
    </r>
  </si>
  <si>
    <t>Silicone&amp;Plastic duel source</t>
  </si>
  <si>
    <t>Jan Nego cost down(TK,Thimble)</t>
  </si>
  <si>
    <t>1. Stretch: 1.95p;
2. Feb nego: -0.23p</t>
  </si>
  <si>
    <r>
      <rPr>
        <b/>
        <sz val="10"/>
        <color rgb="FFFF0000"/>
        <rFont val="等线"/>
        <family val="2"/>
        <scheme val="minor"/>
      </rPr>
      <t xml:space="preserve">Gap: -0.73P </t>
    </r>
    <r>
      <rPr>
        <sz val="10"/>
        <rFont val="等线"/>
        <family val="2"/>
        <scheme val="minor"/>
      </rPr>
      <t xml:space="preserve">
</t>
    </r>
    <r>
      <rPr>
        <b/>
        <sz val="10"/>
        <rFont val="等线"/>
        <family val="2"/>
        <scheme val="minor"/>
      </rPr>
      <t>1. Battery:</t>
    </r>
    <r>
      <rPr>
        <sz val="10"/>
        <rFont val="等线"/>
        <family val="2"/>
        <scheme val="minor"/>
      </rPr>
      <t xml:space="preserve"> Target: -2.06p, realized -2.37p,</t>
    </r>
    <r>
      <rPr>
        <b/>
        <sz val="10"/>
        <rFont val="等线"/>
        <family val="2"/>
        <scheme val="minor"/>
      </rPr>
      <t xml:space="preserve"> </t>
    </r>
    <r>
      <rPr>
        <b/>
        <sz val="10"/>
        <color rgb="FF00B050"/>
        <rFont val="等线"/>
        <family val="2"/>
        <scheme val="minor"/>
      </rPr>
      <t>-0.31p exceed.</t>
    </r>
    <r>
      <rPr>
        <b/>
        <sz val="10"/>
        <rFont val="等线"/>
        <family val="2"/>
        <scheme val="minor"/>
      </rPr>
      <t xml:space="preserve"> </t>
    </r>
    <r>
      <rPr>
        <sz val="10"/>
        <rFont val="等线"/>
        <family val="2"/>
        <scheme val="minor"/>
      </rPr>
      <t xml:space="preserve"> (July'24: 0.05p gap less; Jan'25 0.36p better)
</t>
    </r>
    <r>
      <rPr>
        <b/>
        <sz val="10"/>
        <color rgb="FF00B050"/>
        <rFont val="等线"/>
        <family val="2"/>
        <scheme val="minor"/>
      </rPr>
      <t>2. PCBA: -0.21p better than coplan in Feb'25</t>
    </r>
    <r>
      <rPr>
        <sz val="10"/>
        <color rgb="FF00B050"/>
        <rFont val="等线"/>
        <family val="2"/>
        <scheme val="minor"/>
      </rPr>
      <t xml:space="preserve">. 
</t>
    </r>
    <r>
      <rPr>
        <sz val="10"/>
        <color rgb="FFFF0000"/>
        <rFont val="等线"/>
        <family val="2"/>
        <scheme val="minor"/>
      </rPr>
      <t>3. Platforming sensor :-1.25p wrong put in Box Full.</t>
    </r>
    <r>
      <rPr>
        <sz val="10"/>
        <color rgb="FF00B050"/>
        <rFont val="等线"/>
        <family val="2"/>
        <scheme val="minor"/>
      </rPr>
      <t xml:space="preserve">
</t>
    </r>
    <r>
      <rPr>
        <b/>
        <sz val="10"/>
        <rFont val="等线"/>
        <family val="2"/>
        <scheme val="minor"/>
      </rPr>
      <t xml:space="preserve">Action: </t>
    </r>
    <r>
      <rPr>
        <sz val="10"/>
        <rFont val="等线"/>
        <family val="2"/>
        <scheme val="minor"/>
      </rPr>
      <t>find opp to close PCBA Gap.</t>
    </r>
  </si>
  <si>
    <t>1. Platforming sensor: 1.25p(No t in Full)</t>
  </si>
  <si>
    <t>1. Coplan PCBA:-1.53P vs Actual -1.74p; -0.21p better.
2. Coplan Battery -1.25p;(Delay to Feb due to inventory)</t>
  </si>
  <si>
    <r>
      <rPr>
        <b/>
        <sz val="10"/>
        <color rgb="FF00B050"/>
        <rFont val="等线"/>
        <family val="2"/>
        <scheme val="minor"/>
      </rPr>
      <t>Gap: -0.53p(exceed)</t>
    </r>
    <r>
      <rPr>
        <sz val="10"/>
        <rFont val="等线"/>
        <family val="2"/>
        <scheme val="minor"/>
      </rPr>
      <t xml:space="preserve">
</t>
    </r>
    <r>
      <rPr>
        <b/>
        <sz val="10"/>
        <rFont val="等线"/>
        <family val="2"/>
        <scheme val="minor"/>
      </rPr>
      <t>Unplanned Design change from EM:</t>
    </r>
    <r>
      <rPr>
        <sz val="10"/>
        <rFont val="等线"/>
        <family val="2"/>
        <scheme val="minor"/>
      </rPr>
      <t xml:space="preserve"> Flow wrap change from blank to pre-print in Dec. + Remove bottom sticker.</t>
    </r>
  </si>
  <si>
    <r>
      <rPr>
        <b/>
        <sz val="10"/>
        <color rgb="FF00B050"/>
        <rFont val="等线"/>
        <family val="2"/>
        <scheme val="minor"/>
      </rPr>
      <t>Gap: -0.24p(exceed)</t>
    </r>
    <r>
      <rPr>
        <sz val="10"/>
        <rFont val="等线"/>
        <family val="2"/>
        <scheme val="minor"/>
      </rPr>
      <t xml:space="preserve">
TML reduce from BOM cost .</t>
    </r>
  </si>
  <si>
    <r>
      <rPr>
        <b/>
        <sz val="10"/>
        <color rgb="FFFF0000"/>
        <rFont val="等线"/>
        <family val="2"/>
        <scheme val="minor"/>
      </rPr>
      <t>Gap: 4.79p:</t>
    </r>
    <r>
      <rPr>
        <sz val="10"/>
        <rFont val="等线"/>
        <family val="2"/>
        <scheme val="minor"/>
      </rPr>
      <t xml:space="preserve">
1</t>
    </r>
    <r>
      <rPr>
        <sz val="10"/>
        <color rgb="FFFF0000"/>
        <rFont val="等线"/>
        <family val="2"/>
        <scheme val="minor"/>
      </rPr>
      <t>.Extra stretch-finance: 4.79p gap in Mar'25;</t>
    </r>
    <r>
      <rPr>
        <sz val="10"/>
        <rFont val="等线"/>
        <family val="2"/>
        <scheme val="minor"/>
      </rPr>
      <t xml:space="preserve"> (to align with Finance)
</t>
    </r>
  </si>
  <si>
    <t>Art: Plastic duel source tool art.</t>
  </si>
  <si>
    <t>DL Reduction from Bottom sticker removal</t>
  </si>
  <si>
    <t>1. Stretch: 4.79p;
2.DL Inflation:2.5p.</t>
  </si>
  <si>
    <t>BOX 3K Full 2.0</t>
  </si>
  <si>
    <t>1.Stretch: 2.22p;
2. Jan nego: -0.09p</t>
  </si>
  <si>
    <t>end cap TFK cost reduction and Huayu introduction from plating change to SUS430</t>
  </si>
  <si>
    <t>1.Inflation 0.51p
2.End cap material change: -0.43p</t>
  </si>
  <si>
    <t>Battery coplan 0.82p.</t>
  </si>
  <si>
    <t>Coplan not happen: 
1. LED Light issue: -0.88p;
2. Cable increase: -1.92p.</t>
  </si>
  <si>
    <t xml:space="preserve">MD2.0 3K: USB cable removal </t>
  </si>
  <si>
    <t>1. Coplan PCBA:-5.65P vs Actual -1.41p; 4.24p gap.
2. Coplan Battery -1.63p;(Delay to Feb due to inventory)</t>
  </si>
  <si>
    <t>Battery actual -1.61p.(0.02p gap)</t>
  </si>
  <si>
    <t>LED Light issue fixed(delay)</t>
  </si>
  <si>
    <t>Cable increse</t>
  </si>
  <si>
    <t>CNT Price update for 3K (Previously refre to 5k)</t>
  </si>
  <si>
    <t>DL benefit due to bottom sticker removal</t>
  </si>
  <si>
    <t>1.Stretch: 1.15p;
2.TML:-0.32P</t>
  </si>
  <si>
    <t>BOX 5K Full 2.0</t>
  </si>
  <si>
    <t>Plastic duel source</t>
  </si>
  <si>
    <t>LED Light issue fix</t>
  </si>
  <si>
    <t>1. Jan nego: -0.1p</t>
  </si>
  <si>
    <t>1.Inflation 0.49p
2.End cap material change: -0.43p</t>
  </si>
  <si>
    <t>1. Cable: 16p gap. (12.1p from removal cancel; 3.9p increase from Spec upgrade. )</t>
  </si>
  <si>
    <t>Battery coplan 0.82p.vs actual 0.76p: 0.05p gap</t>
  </si>
  <si>
    <t>1. Cable increase: -1.92p.</t>
  </si>
  <si>
    <t>1. Coplan PCBA:-5.65P vs Actual -1.41p; 4.24p gap.
2. Coplan Battery -1.63p;(Delay to Feb due to inventory)
3. Cable nego down: -0.43p.</t>
  </si>
  <si>
    <t xml:space="preserve">1. OVH Down: 0.9p(coplan);
2.Plastic duel source amt. 0.3p;
</t>
  </si>
  <si>
    <t>BOX 8K Full 2.0</t>
  </si>
  <si>
    <t>1. Jan nego: -0.09p</t>
  </si>
  <si>
    <t>1.Inflation 0.61p
2.End cap material change: -0.43p</t>
  </si>
  <si>
    <t>1.Stretch: 0.96p;
2.TML:-0.38P(1%-&gt;0.8%)</t>
  </si>
  <si>
    <r>
      <t xml:space="preserve">Gap (Mar'25 to </t>
    </r>
    <r>
      <rPr>
        <b/>
        <sz val="10"/>
        <color rgb="FFFF0000"/>
        <rFont val="等线"/>
        <family val="2"/>
        <scheme val="minor"/>
      </rPr>
      <t>Aug'25)</t>
    </r>
  </si>
  <si>
    <t xml:space="preserve">Hestia 1.0 </t>
  </si>
  <si>
    <r>
      <t xml:space="preserve">1. Coplan plan base is :60.21p(from Sep'23 NPD FCA + saving forecast);
2. SOP1 base is:58.39p from Aug'24 FCA.
</t>
    </r>
    <r>
      <rPr>
        <b/>
        <sz val="10"/>
        <rFont val="等线"/>
        <family val="2"/>
        <scheme val="minor"/>
      </rPr>
      <t>Sop1 base is -1.82p gap (better).</t>
    </r>
  </si>
  <si>
    <r>
      <rPr>
        <b/>
        <sz val="10"/>
        <color rgb="FFFF0000"/>
        <rFont val="等线"/>
        <family val="2"/>
        <scheme val="minor"/>
      </rPr>
      <t>Gap: 0.35P:</t>
    </r>
    <r>
      <rPr>
        <sz val="10"/>
        <color rgb="FFFF0000"/>
        <rFont val="等线"/>
        <family val="2"/>
        <scheme val="minor"/>
      </rPr>
      <t xml:space="preserve">
</t>
    </r>
    <r>
      <rPr>
        <sz val="10"/>
        <rFont val="等线"/>
        <family val="2"/>
        <scheme val="minor"/>
      </rPr>
      <t xml:space="preserve">1) Target: -0.78p ( Coplan stretch in Dec'24)
1) Achieve: -0.34p
2) Gap:0.35P.  
</t>
    </r>
    <r>
      <rPr>
        <b/>
        <sz val="10"/>
        <rFont val="等线"/>
        <family val="2"/>
        <scheme val="minor"/>
      </rPr>
      <t>Reason:</t>
    </r>
    <r>
      <rPr>
        <sz val="10"/>
        <rFont val="等线"/>
        <family val="2"/>
        <scheme val="minor"/>
      </rPr>
      <t xml:space="preserve"> </t>
    </r>
    <r>
      <rPr>
        <sz val="10"/>
        <color rgb="FFFF0000"/>
        <rFont val="等线"/>
        <family val="2"/>
        <scheme val="minor"/>
      </rPr>
      <t xml:space="preserve">1) Coplan SOP6 Stretch: -0.78p =&gt; not realize.(cancel PSTT)
2) -0.34p cost down from Thimble/TK tube/Everwin.
</t>
    </r>
    <r>
      <rPr>
        <b/>
        <sz val="10"/>
        <rFont val="等线"/>
        <family val="2"/>
        <scheme val="minor"/>
      </rPr>
      <t>Action:</t>
    </r>
    <r>
      <rPr>
        <sz val="10"/>
        <rFont val="等线"/>
        <family val="2"/>
        <scheme val="minor"/>
      </rPr>
      <t xml:space="preserve"> find opp to close gap.</t>
    </r>
  </si>
  <si>
    <r>
      <rPr>
        <b/>
        <sz val="10"/>
        <color rgb="FF00B050"/>
        <rFont val="等线"/>
        <family val="2"/>
        <scheme val="minor"/>
      </rPr>
      <t>Gap: -0.19p.(exceed)</t>
    </r>
    <r>
      <rPr>
        <sz val="10"/>
        <color rgb="FF00B050"/>
        <rFont val="等线"/>
        <family val="2"/>
        <scheme val="minor"/>
      </rPr>
      <t xml:space="preserve">
New VSM</t>
    </r>
    <r>
      <rPr>
        <sz val="10"/>
        <rFont val="等线"/>
        <family val="2"/>
        <scheme val="minor"/>
      </rPr>
      <t xml:space="preserve"> to monitor progress by Aug: 
1)Thimble machining duel source;
2)End cap stamping&amp;Plating supplier change.
3)Heater holder supplier change.</t>
    </r>
  </si>
  <si>
    <t xml:space="preserve">Packaging </t>
  </si>
  <si>
    <r>
      <rPr>
        <b/>
        <sz val="10"/>
        <color rgb="FFFF0000"/>
        <rFont val="等线"/>
        <family val="2"/>
        <scheme val="minor"/>
      </rPr>
      <t>Gap: -0.55p</t>
    </r>
    <r>
      <rPr>
        <sz val="10"/>
        <rFont val="等线"/>
        <family val="2"/>
        <scheme val="minor"/>
      </rPr>
      <t xml:space="preserve">
</t>
    </r>
    <r>
      <rPr>
        <sz val="10"/>
        <color rgb="FFFF0000"/>
        <rFont val="等线"/>
        <family val="2"/>
        <scheme val="minor"/>
      </rPr>
      <t xml:space="preserve">1.Extra stretch-finance: 0.58p gap in Jan'25; 
</t>
    </r>
    <r>
      <rPr>
        <sz val="10"/>
        <color rgb="FF00B050"/>
        <rFont val="等线"/>
        <family val="2"/>
        <scheme val="minor"/>
      </rPr>
      <t>2.VSM: Blister wastage rate improve: -0.03p.</t>
    </r>
  </si>
  <si>
    <t>Liquids</t>
  </si>
  <si>
    <r>
      <rPr>
        <b/>
        <sz val="10"/>
        <color rgb="FFFF0000"/>
        <rFont val="等线"/>
        <family val="2"/>
        <scheme val="minor"/>
      </rPr>
      <t>Gap: 2.89p;</t>
    </r>
    <r>
      <rPr>
        <sz val="10"/>
        <rFont val="等线"/>
        <family val="2"/>
        <scheme val="minor"/>
      </rPr>
      <t xml:space="preserve">
1</t>
    </r>
    <r>
      <rPr>
        <sz val="10"/>
        <color rgb="FFFF0000"/>
        <rFont val="等线"/>
        <family val="2"/>
        <scheme val="minor"/>
      </rPr>
      <t>.Extra stretch-finance: 1.73p gap;(-1.44p in Dec'24,-0.29p in Jan=&gt; not realize)</t>
    </r>
    <r>
      <rPr>
        <sz val="10"/>
        <rFont val="等线"/>
        <family val="2"/>
        <scheme val="minor"/>
      </rPr>
      <t xml:space="preserve">
2. Liquid cost down target: -1.44P vs actual: -0.28p,</t>
    </r>
    <r>
      <rPr>
        <sz val="10"/>
        <color rgb="FFFF0000"/>
        <rFont val="等线"/>
        <family val="2"/>
        <scheme val="minor"/>
      </rPr>
      <t xml:space="preserve"> 1.16p gap.
</t>
    </r>
    <r>
      <rPr>
        <sz val="10"/>
        <color rgb="FF00B050"/>
        <rFont val="等线"/>
        <family val="2"/>
        <scheme val="minor"/>
      </rPr>
      <t xml:space="preserve">1)actual wastage improve: -0.27p;
2)FX Adjust:-0.02p.
</t>
    </r>
    <r>
      <rPr>
        <b/>
        <sz val="10"/>
        <rFont val="等线"/>
        <family val="2"/>
        <scheme val="minor"/>
      </rPr>
      <t xml:space="preserve">Action: </t>
    </r>
    <r>
      <rPr>
        <sz val="10"/>
        <rFont val="等线"/>
        <family val="2"/>
        <scheme val="minor"/>
      </rPr>
      <t>Flavor Nego down finished, to push US for liquid down(Kil).</t>
    </r>
  </si>
  <si>
    <r>
      <rPr>
        <b/>
        <sz val="10"/>
        <color rgb="FFFF0000"/>
        <rFont val="等线"/>
        <family val="2"/>
        <scheme val="minor"/>
      </rPr>
      <t xml:space="preserve">Action: </t>
    </r>
    <r>
      <rPr>
        <sz val="10"/>
        <color rgb="FFFF0000"/>
        <rFont val="等线"/>
        <family val="2"/>
        <scheme val="minor"/>
      </rPr>
      <t>follow up US Liquid cost down -0.4p in May'25.</t>
    </r>
  </si>
  <si>
    <t xml:space="preserve">Core Technology </t>
  </si>
  <si>
    <t xml:space="preserve">Assembly Partners </t>
  </si>
  <si>
    <r>
      <rPr>
        <b/>
        <sz val="10"/>
        <color rgb="FF00B050"/>
        <rFont val="等线"/>
        <family val="2"/>
        <scheme val="minor"/>
      </rPr>
      <t>Gap: -0.00p(exceed)</t>
    </r>
    <r>
      <rPr>
        <sz val="10"/>
        <rFont val="等线"/>
        <family val="2"/>
        <scheme val="minor"/>
      </rPr>
      <t xml:space="preserve">
1. Target: -4.54p, Achieved:
1)Manual line removal: -3.45p;
2) Pod OVH Wave 3: -1.09p:
3) TML Improve from BOM cost:-0.003p</t>
    </r>
  </si>
  <si>
    <r>
      <rPr>
        <b/>
        <sz val="10"/>
        <rFont val="等线"/>
        <family val="2"/>
        <scheme val="minor"/>
      </rPr>
      <t>Action:</t>
    </r>
    <r>
      <rPr>
        <sz val="10"/>
        <rFont val="等线"/>
        <family val="2"/>
        <scheme val="minor"/>
      </rPr>
      <t xml:space="preserve">
1) Pod OVH Wave 4: -1.41p, to pull in from Aug to Jan.;
2) Line amort.: -0.9p from life extent(to be further discuss)</t>
    </r>
  </si>
  <si>
    <t>KUMA E-Box Kit</t>
  </si>
  <si>
    <t>ME: 6.74P Gap: 
1. deboss 9.4p not implement.
2. Remove 18+ logo gap: 0.5p ;
3. WM &amp;Silicone bung: -3.1p</t>
  </si>
  <si>
    <t xml:space="preserve">1. PCBA:--3.5p gap (1. 5.7P Target, achieve 2.9p, Gap 2.8p. 2.PCBA NRE Removal: -6.3p.)
2. Battery: 5.8P Target, achieve 2.6p, gap 3.2p (battery duel source not implement due to IEC Limit)
3. EE extra(finance) saving not achieve, gap 7.7p.
4. Cable gap: 0.94p(spec change 1.9p not implement).
5. Actual other saving from pogo gpin: -0.2p;
</t>
  </si>
  <si>
    <t xml:space="preserve"> Assy: 1.9p (DL implement 3.8p vs target assy 5.8p)</t>
  </si>
  <si>
    <t>KUMA E-Pen Kit</t>
  </si>
  <si>
    <t>ME: 6.74P Gap: 
1. deboss 9.4p not implement.
2. Remove 18+ logo gap: 0.5p ;
3. WM &amp;Silicone: -3p</t>
  </si>
  <si>
    <t>1. PCBA: Target -5.7p vs sop2 -12.3p, -6.6p better. Need monitor PCBA Stretch saving in Apr'25 and Jul'25.
2. Battery 3.3p (battery duel source 3.5p not implement due to IEC Limit)
3. EE extra(finance) saving not achieve, gap 7.7p.
4. Cable gap: 0.94p(spec change 1.9p not implement).
5. Actual other saving from pogo gpin: -0.2p;
6. PCBA NRE Removal: -6.3p.</t>
  </si>
  <si>
    <t xml:space="preserve"> Assy:3.7p (DL implement 2.1p vs target assy 5.8p)</t>
  </si>
  <si>
    <t>@SOP6 Vol &amp; CONR'24</t>
  </si>
  <si>
    <t>TP</t>
  </si>
  <si>
    <t>Conr'23 rate</t>
  </si>
  <si>
    <t>FCA-Feb'25</t>
  </si>
  <si>
    <t>FCA-Aug'25</t>
  </si>
  <si>
    <t>Gap Till Oct'25</t>
  </si>
  <si>
    <t xml:space="preserve">Complete acitivities </t>
  </si>
  <si>
    <t>Unit Price</t>
  </si>
  <si>
    <t>Conr'24 rate</t>
  </si>
  <si>
    <t>If cost down in Apr</t>
  </si>
  <si>
    <t>RCS</t>
  </si>
  <si>
    <t>SOP2 vs CoPlan</t>
  </si>
  <si>
    <t>SOP2 Vol</t>
  </si>
  <si>
    <t>SOP4'24 Rate</t>
  </si>
  <si>
    <t>Minimun FCA gap base in Blend Cost</t>
  </si>
  <si>
    <t>Highlight &amp; Action needed</t>
  </si>
  <si>
    <t>Launch/Base</t>
  </si>
  <si>
    <r>
      <rPr>
        <b/>
        <sz val="11"/>
        <color theme="1"/>
        <rFont val="等线"/>
        <family val="2"/>
        <scheme val="minor"/>
      </rPr>
      <t xml:space="preserve">1. Liquid: </t>
    </r>
    <r>
      <rPr>
        <sz val="11"/>
        <color theme="1"/>
        <rFont val="等线"/>
        <family val="2"/>
        <scheme val="minor"/>
      </rPr>
      <t xml:space="preserve">2.84p gap(saving stretch not achieve). </t>
    </r>
    <r>
      <rPr>
        <b/>
        <sz val="11"/>
        <color rgb="FFFF0000"/>
        <rFont val="等线"/>
        <family val="2"/>
        <scheme val="minor"/>
      </rPr>
      <t>Action: RJR liquid cost down.</t>
    </r>
    <r>
      <rPr>
        <sz val="11"/>
        <color theme="1"/>
        <rFont val="等线"/>
        <family val="2"/>
        <scheme val="minor"/>
      </rPr>
      <t xml:space="preserve">
</t>
    </r>
    <r>
      <rPr>
        <b/>
        <sz val="11"/>
        <color theme="1"/>
        <rFont val="等线"/>
        <family val="2"/>
        <scheme val="minor"/>
      </rPr>
      <t>2. Packaging</t>
    </r>
    <r>
      <rPr>
        <sz val="11"/>
        <color theme="1"/>
        <rFont val="等线"/>
        <family val="2"/>
        <scheme val="minor"/>
      </rPr>
      <t xml:space="preserve">: 0.53p gap(Extra finance saving stretch not achieve). 
</t>
    </r>
    <r>
      <rPr>
        <b/>
        <sz val="11"/>
        <rFont val="等线"/>
        <family val="2"/>
        <scheme val="minor"/>
      </rPr>
      <t>Action:</t>
    </r>
    <r>
      <rPr>
        <sz val="11"/>
        <rFont val="等线"/>
        <family val="2"/>
        <scheme val="minor"/>
      </rPr>
      <t xml:space="preserve"> Blister wastage improvement VSM follow up by May, long term blister-&gt; Flow wrap.</t>
    </r>
  </si>
  <si>
    <t>Hestia 1.1 Smart</t>
  </si>
  <si>
    <t>ePod3 (ePod Pro)</t>
  </si>
  <si>
    <t>To be EOL.</t>
  </si>
  <si>
    <t>ePod3+ (ePod Pro Smart)</t>
  </si>
  <si>
    <t>SOP10</t>
  </si>
  <si>
    <t>LE</t>
  </si>
  <si>
    <r>
      <t xml:space="preserve">1. </t>
    </r>
    <r>
      <rPr>
        <b/>
        <sz val="11"/>
        <color theme="1"/>
        <rFont val="等线"/>
        <family val="2"/>
        <scheme val="minor"/>
      </rPr>
      <t>EE:</t>
    </r>
    <r>
      <rPr>
        <sz val="11"/>
        <color theme="1"/>
        <rFont val="等线"/>
        <family val="2"/>
        <scheme val="minor"/>
      </rPr>
      <t xml:space="preserve"> 6.16p gap: </t>
    </r>
    <r>
      <rPr>
        <sz val="11"/>
        <color rgb="FFFF0000"/>
        <rFont val="等线"/>
        <family val="2"/>
        <scheme val="minor"/>
      </rPr>
      <t>Battery 3.2p(duel source not implement due to IEC Limit</t>
    </r>
    <r>
      <rPr>
        <sz val="11"/>
        <color theme="1"/>
        <rFont val="等线"/>
        <family val="2"/>
        <scheme val="minor"/>
      </rPr>
      <t xml:space="preserve">); 3p gap compared to target(include 7.7p extra stretch by finance) in PCBA/Cable/Pin.
</t>
    </r>
    <r>
      <rPr>
        <b/>
        <sz val="11"/>
        <color theme="1"/>
        <rFont val="等线"/>
        <family val="2"/>
        <scheme val="minor"/>
      </rPr>
      <t>2. ME:</t>
    </r>
    <r>
      <rPr>
        <sz val="11"/>
        <color theme="1"/>
        <rFont val="等线"/>
        <family val="2"/>
        <scheme val="minor"/>
      </rPr>
      <t xml:space="preserve"> 6.74P Gap: (</t>
    </r>
    <r>
      <rPr>
        <sz val="11"/>
        <color rgb="FFFF0000"/>
        <rFont val="等线"/>
        <family val="2"/>
        <scheme val="minor"/>
      </rPr>
      <t>deboss not implement 9.4p</t>
    </r>
    <r>
      <rPr>
        <sz val="11"/>
        <color theme="1"/>
        <rFont val="等线"/>
        <family val="2"/>
        <scheme val="minor"/>
      </rPr>
      <t>, others</t>
    </r>
    <r>
      <rPr>
        <sz val="11"/>
        <color rgb="FFFF0000"/>
        <rFont val="等线"/>
        <family val="2"/>
        <scheme val="minor"/>
      </rPr>
      <t xml:space="preserve"> nego -2.7p</t>
    </r>
    <r>
      <rPr>
        <sz val="11"/>
        <color theme="1"/>
        <rFont val="等线"/>
        <family val="2"/>
        <scheme val="minor"/>
      </rPr>
      <t xml:space="preserve">).
3. </t>
    </r>
    <r>
      <rPr>
        <b/>
        <sz val="11"/>
        <color theme="1"/>
        <rFont val="等线"/>
        <family val="2"/>
        <scheme val="minor"/>
      </rPr>
      <t>Assy: 1.9p</t>
    </r>
    <r>
      <rPr>
        <sz val="11"/>
        <color theme="1"/>
        <rFont val="等线"/>
        <family val="2"/>
        <scheme val="minor"/>
      </rPr>
      <t xml:space="preserve"> (DL implement 3.8p vs target assy 5.8p).</t>
    </r>
    <r>
      <rPr>
        <b/>
        <sz val="11"/>
        <color theme="1"/>
        <rFont val="等线"/>
        <family val="2"/>
        <scheme val="minor"/>
      </rPr>
      <t xml:space="preserve"> Action:</t>
    </r>
    <r>
      <rPr>
        <sz val="11"/>
        <color theme="1"/>
        <rFont val="等线"/>
        <family val="2"/>
        <scheme val="minor"/>
      </rPr>
      <t xml:space="preserve"> DL &amp; TML VSM WIP.</t>
    </r>
  </si>
  <si>
    <t>@SOP4</t>
  </si>
  <si>
    <t>Should be</t>
  </si>
  <si>
    <r>
      <rPr>
        <b/>
        <sz val="11"/>
        <color theme="1"/>
        <rFont val="等线"/>
        <family val="2"/>
        <scheme val="minor"/>
      </rPr>
      <t>1. ME:</t>
    </r>
    <r>
      <rPr>
        <sz val="11"/>
        <color theme="1"/>
        <rFont val="等线"/>
        <family val="2"/>
        <scheme val="minor"/>
      </rPr>
      <t xml:space="preserve"> 6.9P Gap: (</t>
    </r>
    <r>
      <rPr>
        <sz val="11"/>
        <color rgb="FFFF0000"/>
        <rFont val="等线"/>
        <family val="2"/>
        <scheme val="minor"/>
      </rPr>
      <t>deboss not implement 9.4p,</t>
    </r>
    <r>
      <rPr>
        <sz val="11"/>
        <color theme="1"/>
        <rFont val="等线"/>
        <family val="2"/>
        <scheme val="minor"/>
      </rPr>
      <t xml:space="preserve"> others nego -2.5p).
2.</t>
    </r>
    <r>
      <rPr>
        <b/>
        <sz val="11"/>
        <color theme="1"/>
        <rFont val="等线"/>
        <family val="2"/>
        <scheme val="minor"/>
      </rPr>
      <t xml:space="preserve"> EE:</t>
    </r>
    <r>
      <rPr>
        <sz val="11"/>
        <color theme="1"/>
        <rFont val="等线"/>
        <family val="2"/>
        <scheme val="minor"/>
      </rPr>
      <t xml:space="preserve"> </t>
    </r>
    <r>
      <rPr>
        <sz val="11"/>
        <color rgb="FFFF0000"/>
        <rFont val="等线"/>
        <family val="2"/>
        <scheme val="minor"/>
      </rPr>
      <t>Battery 3.2p(duel source not implement due to IEC Limit);</t>
    </r>
    <r>
      <rPr>
        <sz val="11"/>
        <color theme="1"/>
        <rFont val="等线"/>
        <family val="2"/>
        <scheme val="minor"/>
      </rPr>
      <t xml:space="preserve"> others with extra -3.8p saving. </t>
    </r>
    <r>
      <rPr>
        <b/>
        <sz val="11"/>
        <color theme="1"/>
        <rFont val="等线"/>
        <family val="2"/>
        <scheme val="minor"/>
      </rPr>
      <t>Action:</t>
    </r>
    <r>
      <rPr>
        <sz val="11"/>
        <color theme="1"/>
        <rFont val="等线"/>
        <family val="2"/>
        <scheme val="minor"/>
      </rPr>
      <t xml:space="preserve"> monitor PCBA Stretch saving 4.8p in Apr/Jul.(total 12.3p PCBA Saving)
3. </t>
    </r>
    <r>
      <rPr>
        <b/>
        <sz val="11"/>
        <color theme="1"/>
        <rFont val="等线"/>
        <family val="2"/>
        <scheme val="minor"/>
      </rPr>
      <t>Assy: 3.7p</t>
    </r>
    <r>
      <rPr>
        <sz val="11"/>
        <color theme="1"/>
        <rFont val="等线"/>
        <family val="2"/>
        <scheme val="minor"/>
      </rPr>
      <t xml:space="preserve"> (DL implement 2.1p vs target assy 5.8p).</t>
    </r>
    <r>
      <rPr>
        <b/>
        <sz val="11"/>
        <color theme="1"/>
        <rFont val="等线"/>
        <family val="2"/>
        <scheme val="minor"/>
      </rPr>
      <t xml:space="preserve"> Action:</t>
    </r>
    <r>
      <rPr>
        <sz val="11"/>
        <color theme="1"/>
        <rFont val="等线"/>
        <family val="2"/>
        <scheme val="minor"/>
      </rPr>
      <t xml:space="preserve"> DL &amp; TML VSM WIP.</t>
    </r>
  </si>
  <si>
    <t>Kuma E-Pen 2.0 Kit ROW</t>
  </si>
  <si>
    <t>SOP10 Issued</t>
  </si>
  <si>
    <t>Kuma E-Pen 2.0 Kit NZ</t>
  </si>
  <si>
    <t>Mimosa</t>
  </si>
  <si>
    <r>
      <t xml:space="preserve">Aaron to follow up with cost increase - What the actual co plan issued number was
</t>
    </r>
    <r>
      <rPr>
        <sz val="11"/>
        <color rgb="FFFF0000"/>
        <rFont val="等线"/>
        <family val="2"/>
        <scheme val="minor"/>
      </rPr>
      <t>Find solution to reach 15-17 GBP by end of 2025.</t>
    </r>
  </si>
  <si>
    <t>TOTAL COGs</t>
  </si>
  <si>
    <t>FCA-Oct'25</t>
  </si>
  <si>
    <t>MoDi</t>
  </si>
  <si>
    <r>
      <rPr>
        <b/>
        <sz val="11"/>
        <color theme="1"/>
        <rFont val="等线"/>
        <family val="2"/>
        <scheme val="minor"/>
      </rPr>
      <t>1. ME</t>
    </r>
    <r>
      <rPr>
        <sz val="11"/>
        <color theme="1"/>
        <rFont val="等线"/>
        <family val="2"/>
        <scheme val="minor"/>
      </rPr>
      <t xml:space="preserve">: 4.44p left vs stretch gap（2.93p stretch,1.92p finance extra) , need to find solution to close.;
</t>
    </r>
    <r>
      <rPr>
        <b/>
        <sz val="11"/>
        <color theme="1"/>
        <rFont val="等线"/>
        <family val="2"/>
        <scheme val="minor"/>
      </rPr>
      <t>2. PKG:</t>
    </r>
    <r>
      <rPr>
        <sz val="11"/>
        <color theme="1"/>
        <rFont val="等线"/>
        <family val="2"/>
        <scheme val="minor"/>
      </rPr>
      <t xml:space="preserve"> 0.7P gap: 1)0.3p from flow EM wrap spec change(Print+ESG material). 2)0.4p from extra(finance) stretch not achieve.
</t>
    </r>
    <r>
      <rPr>
        <b/>
        <sz val="11"/>
        <color theme="1"/>
        <rFont val="等线"/>
        <family val="2"/>
        <scheme val="minor"/>
      </rPr>
      <t xml:space="preserve">3.Liquid: </t>
    </r>
    <r>
      <rPr>
        <sz val="11"/>
        <color theme="1"/>
        <rFont val="等线"/>
        <family val="2"/>
        <scheme val="minor"/>
      </rPr>
      <t xml:space="preserve">0.25p gap(extra finance saving stretch). Action: RJR liquid cost down.
</t>
    </r>
  </si>
  <si>
    <r>
      <rPr>
        <b/>
        <sz val="11"/>
        <color theme="1"/>
        <rFont val="等线"/>
        <family val="2"/>
        <scheme val="minor"/>
      </rPr>
      <t>New IEC regulation:</t>
    </r>
    <r>
      <rPr>
        <sz val="11"/>
        <color theme="1"/>
        <rFont val="等线"/>
        <family val="2"/>
        <scheme val="minor"/>
      </rPr>
      <t xml:space="preserve">
1. Cable removal cancel: GBP 0.121.
</t>
    </r>
    <r>
      <rPr>
        <sz val="11"/>
        <color rgb="FFFF0000"/>
        <rFont val="等线"/>
        <family val="2"/>
        <scheme val="minor"/>
      </rPr>
      <t xml:space="preserve">2. Cable spec upgrade: GBP 0.039.
</t>
    </r>
    <r>
      <rPr>
        <b/>
        <sz val="11"/>
        <color theme="1"/>
        <rFont val="等线"/>
        <family val="2"/>
        <scheme val="minor"/>
      </rPr>
      <t xml:space="preserve">Liquid Stretch to be closed.: </t>
    </r>
    <r>
      <rPr>
        <sz val="11"/>
        <color theme="1"/>
        <rFont val="等线"/>
        <family val="2"/>
        <scheme val="minor"/>
      </rPr>
      <t xml:space="preserve">GBP 0.011
</t>
    </r>
    <r>
      <rPr>
        <b/>
        <sz val="11"/>
        <color theme="1"/>
        <rFont val="等线"/>
        <family val="2"/>
        <scheme val="minor"/>
      </rPr>
      <t>Lauch price gap GBP 0.071.</t>
    </r>
  </si>
  <si>
    <r>
      <rPr>
        <b/>
        <sz val="11"/>
        <color theme="1"/>
        <rFont val="等线"/>
        <family val="2"/>
        <scheme val="minor"/>
      </rPr>
      <t>New IEC regulation:</t>
    </r>
    <r>
      <rPr>
        <sz val="11"/>
        <color theme="1"/>
        <rFont val="等线"/>
        <family val="2"/>
        <scheme val="minor"/>
      </rPr>
      <t xml:space="preserve">
1. Cable removal cancel: GBP 0.121.
</t>
    </r>
    <r>
      <rPr>
        <sz val="11"/>
        <color rgb="FFFF0000"/>
        <rFont val="等线"/>
        <family val="2"/>
        <scheme val="minor"/>
      </rPr>
      <t>2. Cable spec upgrade: GBP 0.039.</t>
    </r>
    <r>
      <rPr>
        <sz val="11"/>
        <color theme="1"/>
        <rFont val="等线"/>
        <family val="2"/>
        <scheme val="minor"/>
      </rPr>
      <t xml:space="preserve">
</t>
    </r>
    <r>
      <rPr>
        <b/>
        <sz val="11"/>
        <color theme="1"/>
        <rFont val="等线"/>
        <family val="2"/>
        <scheme val="minor"/>
      </rPr>
      <t>Liquid Stretch to be closed.: GBP 0.012</t>
    </r>
  </si>
  <si>
    <r>
      <rPr>
        <b/>
        <sz val="11"/>
        <color theme="1"/>
        <rFont val="等线"/>
        <family val="2"/>
        <scheme val="minor"/>
      </rPr>
      <t>New IEC regulation:</t>
    </r>
    <r>
      <rPr>
        <sz val="11"/>
        <color theme="1"/>
        <rFont val="等线"/>
        <family val="2"/>
        <scheme val="minor"/>
      </rPr>
      <t xml:space="preserve">
1. Cable removal cancel: GBP 0.121.
</t>
    </r>
    <r>
      <rPr>
        <sz val="11"/>
        <color rgb="FFFF0000"/>
        <rFont val="等线"/>
        <family val="2"/>
        <scheme val="minor"/>
      </rPr>
      <t xml:space="preserve">2. Cable spec upgrade: GBP 0.039.
</t>
    </r>
    <r>
      <rPr>
        <b/>
        <sz val="11"/>
        <color theme="1"/>
        <rFont val="等线"/>
        <family val="2"/>
        <scheme val="minor"/>
      </rPr>
      <t>Liquid Stretch to be closed.: GBP 0.051
Lauch price gap GBP 0.042.</t>
    </r>
  </si>
  <si>
    <r>
      <rPr>
        <b/>
        <sz val="11"/>
        <color theme="1"/>
        <rFont val="等线"/>
        <family val="2"/>
        <scheme val="minor"/>
      </rPr>
      <t>1. ME</t>
    </r>
    <r>
      <rPr>
        <sz val="11"/>
        <color theme="1"/>
        <rFont val="等线"/>
        <family val="2"/>
        <scheme val="minor"/>
      </rPr>
      <t xml:space="preserve">: 2.43p left vs stretch gap, need to find solution to close.;
</t>
    </r>
    <r>
      <rPr>
        <b/>
        <sz val="11"/>
        <color theme="1"/>
        <rFont val="等线"/>
        <family val="2"/>
        <scheme val="minor"/>
      </rPr>
      <t>2. EE</t>
    </r>
    <r>
      <rPr>
        <sz val="11"/>
        <color theme="1"/>
        <rFont val="等线"/>
        <family val="2"/>
        <scheme val="minor"/>
      </rPr>
      <t xml:space="preserve">: Gap as wrong book 1.53p PCBA coplan stretch(No PCBA in default). Need other opp to close remaining gap 0.25p.
3. </t>
    </r>
    <r>
      <rPr>
        <b/>
        <sz val="11"/>
        <color theme="1"/>
        <rFont val="等线"/>
        <family val="2"/>
        <scheme val="minor"/>
      </rPr>
      <t>Assy:</t>
    </r>
    <r>
      <rPr>
        <sz val="11"/>
        <color theme="1"/>
        <rFont val="等线"/>
        <family val="2"/>
        <scheme val="minor"/>
      </rPr>
      <t xml:space="preserve"> gap from extra(finance) stretch 1p. =&gt; Heater cost down pull in to balance.
</t>
    </r>
    <r>
      <rPr>
        <b/>
        <sz val="11"/>
        <color theme="1"/>
        <rFont val="等线"/>
        <family val="2"/>
        <scheme val="minor"/>
      </rPr>
      <t>4. PKG:</t>
    </r>
    <r>
      <rPr>
        <sz val="11"/>
        <color theme="1"/>
        <rFont val="等线"/>
        <family val="2"/>
        <scheme val="minor"/>
      </rPr>
      <t xml:space="preserve"> 0.4P from flow EM wrap spec change(Print+ESG material).
</t>
    </r>
    <r>
      <rPr>
        <b/>
        <sz val="11"/>
        <color theme="1"/>
        <rFont val="等线"/>
        <family val="2"/>
        <scheme val="minor"/>
      </rPr>
      <t xml:space="preserve">5.Liquid: </t>
    </r>
    <r>
      <rPr>
        <sz val="11"/>
        <color theme="1"/>
        <rFont val="等线"/>
        <family val="2"/>
        <scheme val="minor"/>
      </rPr>
      <t xml:space="preserve">0.25p gap(extra finance saving stretch). Action: RJR liquid cost down.
</t>
    </r>
  </si>
  <si>
    <r>
      <rPr>
        <b/>
        <sz val="11"/>
        <color theme="1"/>
        <rFont val="等线"/>
        <family val="2"/>
        <scheme val="minor"/>
      </rPr>
      <t>1. ME</t>
    </r>
    <r>
      <rPr>
        <sz val="11"/>
        <color theme="1"/>
        <rFont val="等线"/>
        <family val="2"/>
        <scheme val="minor"/>
      </rPr>
      <t xml:space="preserve">: 1p left vs stretch gap, need to find solution to close.; Prepay 7Mn Saving wait for approval.
</t>
    </r>
    <r>
      <rPr>
        <b/>
        <sz val="11"/>
        <color theme="1"/>
        <rFont val="等线"/>
        <family val="2"/>
        <scheme val="minor"/>
      </rPr>
      <t xml:space="preserve">2.Liquid: </t>
    </r>
    <r>
      <rPr>
        <sz val="11"/>
        <color theme="1"/>
        <rFont val="等线"/>
        <family val="2"/>
        <scheme val="minor"/>
      </rPr>
      <t xml:space="preserve">0.25p gap(extra finance saving stretch). Action: RJR liquid cost down.
</t>
    </r>
  </si>
  <si>
    <t>Grand Total</t>
  </si>
  <si>
    <t>Saving GAP:</t>
  </si>
  <si>
    <t>Vuse Go 2.0</t>
  </si>
  <si>
    <t>SOP9'24</t>
  </si>
  <si>
    <t>SOP2'25</t>
  </si>
  <si>
    <t>Hestia 1.0</t>
  </si>
  <si>
    <t>Sales Month</t>
  </si>
  <si>
    <t>TOTAL Vol</t>
  </si>
  <si>
    <t>Vol</t>
  </si>
  <si>
    <t>CoPlan SOP6</t>
  </si>
  <si>
    <t>Price Month</t>
  </si>
  <si>
    <t>Initiatives</t>
  </si>
  <si>
    <t>FCA TP</t>
  </si>
  <si>
    <t>Actual base</t>
  </si>
  <si>
    <t>FCA</t>
  </si>
  <si>
    <t>AV FCA</t>
  </si>
  <si>
    <t>COGs Impact</t>
  </si>
  <si>
    <t>CONR'23</t>
  </si>
  <si>
    <t xml:space="preserve">Month </t>
  </si>
  <si>
    <t>H10021</t>
  </si>
  <si>
    <t>May'24</t>
  </si>
  <si>
    <t>K10001</t>
  </si>
  <si>
    <t>SOP2 vs COPLAN</t>
  </si>
  <si>
    <t>L10001</t>
  </si>
  <si>
    <t>Kuma e-Box 2.0 (Starter Kit)</t>
  </si>
  <si>
    <t>Cycle</t>
  </si>
  <si>
    <t>CoPlan FCA</t>
  </si>
  <si>
    <t>Manual_line</t>
  </si>
  <si>
    <t xml:space="preserve">Manual Line removal </t>
  </si>
  <si>
    <t>SC023220</t>
  </si>
  <si>
    <t>Hestia pod SP Consumables_Heater nego Wave 3</t>
  </si>
  <si>
    <t>SC023573</t>
  </si>
  <si>
    <t>Hestia pod SP Assembly negotiation Wave 3 - OVH MVA</t>
  </si>
  <si>
    <t>SC023575</t>
  </si>
  <si>
    <t>Hestia pod SP Assembly negotiation Wave 4 - OVH MVA</t>
  </si>
  <si>
    <t>SC023577</t>
  </si>
  <si>
    <t>Hestia pod SP Consumables_Heater nego Wave 4</t>
  </si>
  <si>
    <t>SC023742</t>
  </si>
  <si>
    <t>Hestia 1.0 Liquid cost reduction</t>
  </si>
  <si>
    <t>SC023728</t>
  </si>
  <si>
    <t>Mechanical (Stretch)-Hestia 1.0</t>
  </si>
  <si>
    <t>Laura 2 &amp; 3</t>
  </si>
  <si>
    <t>Hestia 1.0 liquid stretch</t>
  </si>
  <si>
    <t>Laura 4</t>
  </si>
  <si>
    <t xml:space="preserve">Hestia 1.0 packaging stretch </t>
  </si>
  <si>
    <t>Inflation - Mechanical parts</t>
  </si>
  <si>
    <t>Inflation - Core Technology</t>
  </si>
  <si>
    <t>Inflation -  Packaging</t>
  </si>
  <si>
    <t>Inflation -  Liquids</t>
  </si>
  <si>
    <t>Inflation - Assembly</t>
  </si>
  <si>
    <t>Laura 41</t>
  </si>
  <si>
    <t>Hestia liquid stretch</t>
  </si>
  <si>
    <t>SOP2 FCA</t>
  </si>
  <si>
    <t>SC025619</t>
  </si>
  <si>
    <t>TML update</t>
  </si>
  <si>
    <t>SC025186</t>
  </si>
  <si>
    <t>Hestia 1.0 end cap  Kersen cost reduction</t>
  </si>
  <si>
    <t>SC025172</t>
  </si>
  <si>
    <t>Hestia thimble cost down</t>
  </si>
  <si>
    <t>New JAN'25</t>
  </si>
  <si>
    <t>Blister 2 Pod - Blister wastage reduction cost saving update</t>
  </si>
  <si>
    <t>SC024751</t>
  </si>
  <si>
    <t xml:space="preserve"> Hestia1.0 liquid wastage rate update to 5%</t>
  </si>
  <si>
    <t>SC024075</t>
  </si>
  <si>
    <t>Hestia cost reduction-Everwin</t>
  </si>
  <si>
    <t>New OCT'24</t>
  </si>
  <si>
    <t>Cartridge tank - Supplier cost and allocation change</t>
  </si>
  <si>
    <t>SC024585</t>
  </si>
  <si>
    <t>Hestia 1.0 Oct silicon cost reduction and share change</t>
  </si>
  <si>
    <t>SC024721</t>
  </si>
  <si>
    <t xml:space="preserve">Hestia 1.0 Liquid wastage change to 8% </t>
  </si>
  <si>
    <t>SC025173, SC025239</t>
  </si>
  <si>
    <t>Hestia 1.0 TK tube cost reduction from 0.1802 to 0.17,share change from 55% to 58%</t>
  </si>
  <si>
    <t>FX</t>
  </si>
  <si>
    <t xml:space="preserve"> Liquid cost update due to the rate of USD/RMB changed from 7.19696 to 7.1753</t>
  </si>
  <si>
    <t>Reclass</t>
  </si>
  <si>
    <t>Split the tooling amortization cost from material cost, summarize all tooling amortization cost at one line separately</t>
  </si>
  <si>
    <t>New added material code for tooling amortization cost</t>
  </si>
  <si>
    <t>SC025577</t>
  </si>
  <si>
    <t xml:space="preserve">Plastic allocation update </t>
  </si>
  <si>
    <t>SC025621</t>
  </si>
  <si>
    <t xml:space="preserve">Silicon allocation update </t>
  </si>
  <si>
    <t>SC025620</t>
  </si>
  <si>
    <t>Pod liquid wastage rate change from 5% to 4.1%, usage update from 2.1ml to 2.082ml, total cost change, per ml unit price keep the same</t>
  </si>
  <si>
    <t>SC025622</t>
  </si>
  <si>
    <t>Blister scrap rate improve Phase 1 17%-&gt;14%</t>
  </si>
  <si>
    <t>PVC cost up---Inflation (Haishun cost up)</t>
  </si>
  <si>
    <t>SC025827</t>
  </si>
  <si>
    <t xml:space="preserve">Hestia 1.0- PVC cost of 2pods wastage from 13.8% to 10.49% </t>
  </si>
  <si>
    <t>SC025830</t>
  </si>
  <si>
    <t xml:space="preserve">Hestia 1.0- Foil cost of 2pods wastage from 13.8% to 10.49% </t>
  </si>
  <si>
    <t>Per pod liquid usage change from 2ml to 1.99 ml, wastage rate keel as 4.1% unchanged</t>
  </si>
  <si>
    <t>BLUESKY</t>
  </si>
  <si>
    <t>Line amortization life extension</t>
  </si>
  <si>
    <t>Liquid cost down</t>
  </si>
  <si>
    <t>Hestia 1.0 copy tooling in Nolato/TK</t>
  </si>
  <si>
    <t>Hestia 1.0 Thimble 2nd source</t>
  </si>
  <si>
    <t xml:space="preserve">END cap plating supplier change </t>
  </si>
  <si>
    <t>END CAP(SPCC) stamping supplier change</t>
  </si>
  <si>
    <t>Heater holder supplier change-&gt; Cancel to kick off copy tool with cost down</t>
  </si>
  <si>
    <t>Blister scrap rate improve  Phase 2</t>
  </si>
  <si>
    <t>SC024630</t>
  </si>
  <si>
    <t>Hestia 1.1 smart pod SP Consumables_Heater nego Wave 4 (£0.008) Jun'25</t>
  </si>
  <si>
    <t>Hestia 1.1 smart pod SP Assembly negotiation Wave 4 - OVH MVA (£0.015) Aug'25</t>
  </si>
  <si>
    <t>16 cavities to 32 cavities - 4 components</t>
  </si>
  <si>
    <t>Liquid scrap rate improve 5%-&gt;4.1%</t>
  </si>
  <si>
    <t>PVC cost up---Inflation</t>
  </si>
  <si>
    <t xml:space="preserve">Hestia 1.1 Foil - hot foil of V-logo alternative </t>
  </si>
  <si>
    <t>SC022481</t>
  </si>
  <si>
    <t>Platforming epod3 Battery</t>
  </si>
  <si>
    <t>Inflation - Electronics</t>
  </si>
  <si>
    <t>Inflation - Mechanical</t>
  </si>
  <si>
    <t>Inflation - Packaging</t>
  </si>
  <si>
    <t>SC023771</t>
  </si>
  <si>
    <t>ePod3 Q1'25 PCBA Reduction</t>
  </si>
  <si>
    <t>SC023788</t>
  </si>
  <si>
    <t>ePod3 Q2'25 Battery Reduction</t>
  </si>
  <si>
    <t>SC023790</t>
  </si>
  <si>
    <t>epod3 Q2'25 Cable Reduction</t>
  </si>
  <si>
    <t>SC023796</t>
  </si>
  <si>
    <t>ePod3 Q3'25 Cable Reduction</t>
  </si>
  <si>
    <t>SC023792</t>
  </si>
  <si>
    <t>ePod3 Q3'25 Battery Reduction</t>
  </si>
  <si>
    <t>TML_PSTT</t>
  </si>
  <si>
    <t>Total Material Loss (TML) Device anodizing wave2</t>
  </si>
  <si>
    <t>SC025184</t>
  </si>
  <si>
    <t>ePod3 device cost reduction-TFK and Nolato</t>
  </si>
  <si>
    <t>SC023759</t>
  </si>
  <si>
    <t>ePod3 Q2'24 PCBA Cost Reduction</t>
  </si>
  <si>
    <t>Direct Labor Device ePod3</t>
  </si>
  <si>
    <t>SC025196</t>
  </si>
  <si>
    <t>ePod3+ Q1'25 Pogo pin Reduction</t>
  </si>
  <si>
    <t>SC023719</t>
  </si>
  <si>
    <t>epod3D Q1'25 Cable Reduction</t>
  </si>
  <si>
    <t>SC025521</t>
  </si>
  <si>
    <t>ePod 3 - device - Q2 2025 - Cable Stretch</t>
  </si>
  <si>
    <t>SC025531</t>
  </si>
  <si>
    <t>ePod 3 - device- Q2 2025 - PCBA Stretch</t>
  </si>
  <si>
    <t>SC022482</t>
  </si>
  <si>
    <t>Platforming epod3+ Battery</t>
  </si>
  <si>
    <t>SC023779</t>
  </si>
  <si>
    <t>ePod3+ Q1'25 PCBA Reduction</t>
  </si>
  <si>
    <t>SC023781</t>
  </si>
  <si>
    <t>ePod3+ Q2'25 Battery Reduction</t>
  </si>
  <si>
    <t>SC023789</t>
  </si>
  <si>
    <t>epod3+ Q2'25 Cable Reduction</t>
  </si>
  <si>
    <t>SC023804</t>
  </si>
  <si>
    <t>ePod3+ Q3'25 Battery Reduction</t>
  </si>
  <si>
    <t>SC023805</t>
  </si>
  <si>
    <t>ePod3+ Q3'25 Cable Reduction</t>
  </si>
  <si>
    <t>SC021056</t>
  </si>
  <si>
    <t>ePod3+ Device TML</t>
  </si>
  <si>
    <t>SC025185</t>
  </si>
  <si>
    <t>ePod3+device cost reduction-TFK</t>
  </si>
  <si>
    <t>Direct Labor Device ePod3+</t>
  </si>
  <si>
    <t>SC023752</t>
  </si>
  <si>
    <t>ePod3+ Q2'24 PCBA Cost Reduction</t>
  </si>
  <si>
    <t>SC023720</t>
  </si>
  <si>
    <t>epod3+ Q1'25 Cable Reduction</t>
  </si>
  <si>
    <t>SC025529</t>
  </si>
  <si>
    <t>ePod 3+ - device- Q2 2025 - PCBA Stretch</t>
  </si>
  <si>
    <t>SC023758</t>
  </si>
  <si>
    <t>Kuma E ROW Q2'24 PCBA Cost Reduction</t>
  </si>
  <si>
    <t>Laura 38</t>
  </si>
  <si>
    <t>Kuma Box DL reduction</t>
  </si>
  <si>
    <t>SC023753</t>
  </si>
  <si>
    <t>Kuma E-Box Starter Kit &amp; Device - remove 18+ logo</t>
  </si>
  <si>
    <t>SC023754</t>
  </si>
  <si>
    <t>Kuma E-Box Starter Kit &amp; Device - Deboss compliance Marks</t>
  </si>
  <si>
    <t>Kuma Box_battery second source</t>
  </si>
  <si>
    <t>battery second source</t>
  </si>
  <si>
    <t>SC023798</t>
  </si>
  <si>
    <t>Kuma E Q1'25 PCBA Reduction</t>
  </si>
  <si>
    <t>SC023764</t>
  </si>
  <si>
    <t>Kuma E Box Q1'25 Battery Reduction</t>
  </si>
  <si>
    <t>SC023794</t>
  </si>
  <si>
    <t>Kuma E Box Q2'25 Cable Reduction</t>
  </si>
  <si>
    <t>SC023813</t>
  </si>
  <si>
    <t>Kuma E Box Q3'25 Cable Reduction</t>
  </si>
  <si>
    <t>SC023809</t>
  </si>
  <si>
    <t>Kuma E Box Q3'25 Battery Reduction</t>
  </si>
  <si>
    <t>SC023749</t>
  </si>
  <si>
    <t>Kuma E-Box Starter Kit &amp; Device- Assembly cost reduction</t>
  </si>
  <si>
    <t>Laura 24</t>
  </si>
  <si>
    <t>Electronics stretch</t>
  </si>
  <si>
    <t>Inflation Electronics</t>
  </si>
  <si>
    <t>Inflation Mechanical parts</t>
  </si>
  <si>
    <t>Inflation packaging</t>
  </si>
  <si>
    <t>SC024610</t>
  </si>
  <si>
    <t>Sav</t>
  </si>
  <si>
    <t>Amortization</t>
  </si>
  <si>
    <t>remove tooling amortization(PCBA NRE Art. Removal)</t>
  </si>
  <si>
    <t>remove tooling amortization(Amcor art. Removal)</t>
  </si>
  <si>
    <t>SC025190</t>
  </si>
  <si>
    <t>Kuma E 1.0 Box Battery Cost Reduction</t>
  </si>
  <si>
    <t>SC023844</t>
  </si>
  <si>
    <t>SC024874</t>
  </si>
  <si>
    <t>Kuma BOX Q2'24 Cable Reduction</t>
  </si>
  <si>
    <t>SC024918</t>
  </si>
  <si>
    <t xml:space="preserve"> 底部硅胶塞 POD silicone bung bottom </t>
  </si>
  <si>
    <t>SC024767</t>
  </si>
  <si>
    <t>Kuma - E Box - PCBA Cost reduction - Q3'24</t>
  </si>
  <si>
    <t>SC024076 &amp; SC024077</t>
  </si>
  <si>
    <t>Kuma e ROW WM cost reduction phase 1 &amp; 2</t>
  </si>
  <si>
    <t>SC024078</t>
  </si>
  <si>
    <t>Kuma e ROW WM cost reduction phase 3</t>
  </si>
  <si>
    <t>TML of  KR10004</t>
  </si>
  <si>
    <t>Inflation -  MVA 1</t>
  </si>
  <si>
    <t>SC023716</t>
  </si>
  <si>
    <t>Kuma E 1.0 Box Q1'25 Pogo Pin Reduction</t>
  </si>
  <si>
    <t>SC023722</t>
  </si>
  <si>
    <t>Kuma E Box Q1'25 Cable Reduction</t>
  </si>
  <si>
    <t>SC024624</t>
  </si>
  <si>
    <t>Kuma-E ROW Box DL cost down(VSM)</t>
  </si>
  <si>
    <t>SC025188</t>
  </si>
  <si>
    <t>Kuma POD silicon bung cost negotation with TFK-box</t>
  </si>
  <si>
    <t>Flow wrap MOQ reduction, cost increase</t>
  </si>
  <si>
    <t>Yield Lost</t>
  </si>
  <si>
    <t>SC023750</t>
  </si>
  <si>
    <t>Kuma E-Pen Starter Kit &amp; Device - remove 18+ logo</t>
  </si>
  <si>
    <t>SC023751</t>
  </si>
  <si>
    <t>Kuma E-Pen Starter Kit &amp; Device - Deboss compliance Marks</t>
  </si>
  <si>
    <t>SC023776</t>
  </si>
  <si>
    <t>Kuma E Pen Q1'25 PCBA Reduction</t>
  </si>
  <si>
    <t>SC023767</t>
  </si>
  <si>
    <t>Kuma E Pen Q1'25 Battery Reduction</t>
  </si>
  <si>
    <t>SC023791</t>
  </si>
  <si>
    <t>Kuma E Pen Q2'25 Cable Reduction</t>
  </si>
  <si>
    <t>SC023802</t>
  </si>
  <si>
    <t>Kuma E Pen Q3'25 Cable Reduction</t>
  </si>
  <si>
    <t xml:space="preserve">SC023822 </t>
  </si>
  <si>
    <t>Kuma E Pen Q3'25 Battery Reduction</t>
  </si>
  <si>
    <t>SC023840</t>
  </si>
  <si>
    <t>Kuma E Pen Battery Reduction (second Source)</t>
  </si>
  <si>
    <t>SC023748</t>
  </si>
  <si>
    <t>Kuma E-Pen Starter Kit &amp; Device - Assembly cost reduction</t>
  </si>
  <si>
    <t>Total Inflation</t>
  </si>
  <si>
    <t>Per Unit</t>
  </si>
  <si>
    <t>Laura 36</t>
  </si>
  <si>
    <t>Kuma E Pen Q2'24 PCBA Cost Reduction</t>
  </si>
  <si>
    <t>Laura 37</t>
  </si>
  <si>
    <t>Kuma Pen DL reduction</t>
  </si>
  <si>
    <t>Laura 39</t>
  </si>
  <si>
    <t>SC024613</t>
  </si>
  <si>
    <t>SC025236</t>
  </si>
  <si>
    <t>Kuma E Pen/Full Q3'25 PCBA reduction</t>
  </si>
  <si>
    <t>SC025189</t>
  </si>
  <si>
    <t>Kuma E 1.0 Pen Battery Cost Reduction</t>
  </si>
  <si>
    <t>SC023843</t>
  </si>
  <si>
    <t>SC025187</t>
  </si>
  <si>
    <t>Kuma POD silicon bung cost negotation with TFK-pen</t>
  </si>
  <si>
    <t>SC024873</t>
  </si>
  <si>
    <t>Kuma PEN Q2'24 Cable Reduction</t>
  </si>
  <si>
    <t>SC024768</t>
  </si>
  <si>
    <t>Kuma - E Pen - PCBA Cost reduction - Q3'24</t>
  </si>
  <si>
    <t>remove tooling amortization</t>
  </si>
  <si>
    <t>SC012541</t>
  </si>
  <si>
    <t>Kuma E Pen DL cost reduction</t>
  </si>
  <si>
    <t>SC024846</t>
  </si>
  <si>
    <t>Kuma e pen silicon cost reduction TFK</t>
  </si>
  <si>
    <t>TML of KP10003</t>
  </si>
  <si>
    <t>SC024080</t>
  </si>
  <si>
    <t>Kuma E pen cost reduction-BYD</t>
  </si>
  <si>
    <t>SC024766</t>
  </si>
  <si>
    <t>KUMA E PEN 1.0 SILICON cost down</t>
  </si>
  <si>
    <t>TBC</t>
  </si>
  <si>
    <t>Pogo pin cost down</t>
  </si>
  <si>
    <t>SC023715</t>
  </si>
  <si>
    <t>Kuma E Pen Q1'25 Cable Reduction</t>
  </si>
  <si>
    <t>SC025530</t>
  </si>
  <si>
    <t>KUMA E-Pen- Q2 2025 - PCBA Stretch</t>
  </si>
  <si>
    <t>SC025518</t>
  </si>
  <si>
    <t>Kuma E-Pen 2.0 - Q2 2025 - Battery Stretch</t>
  </si>
  <si>
    <t>SC025525</t>
  </si>
  <si>
    <t>Kuma E-Pen 2.0- Q2 2025 - PCBA Stretch</t>
  </si>
  <si>
    <t xml:space="preserve">PAD printing supplier negotation and 2nd source </t>
  </si>
  <si>
    <t>Battery pack 2nd source</t>
  </si>
  <si>
    <t>PCBA VSM solution (SoC, EE 2nd source, removal coating</t>
  </si>
  <si>
    <t xml:space="preserve">Remove bottom venting silicone </t>
  </si>
  <si>
    <t>Kuma NZ Q3'25 Battery Reduction</t>
  </si>
  <si>
    <t>PSTT_TBC</t>
  </si>
  <si>
    <t>Thimble cost down</t>
  </si>
  <si>
    <t>SC025182</t>
  </si>
  <si>
    <t>Kuma E Pen NZ 2.0 Starter Kit TML Saving</t>
  </si>
  <si>
    <t>SC025198</t>
  </si>
  <si>
    <t>SC023845</t>
  </si>
  <si>
    <t>Kuma E 2.0 NZ Q1'25 PCBA Reduction</t>
  </si>
  <si>
    <t>Cable cost down</t>
  </si>
  <si>
    <t>气道PC片
Airflow PC film</t>
  </si>
  <si>
    <t>锂电芯
Battery Cell</t>
  </si>
  <si>
    <t>Tooling Amortization</t>
  </si>
  <si>
    <t>DL--Kuma-E Pen2.0 STK</t>
  </si>
  <si>
    <t>OVH--Kuma-E Pen2.0</t>
  </si>
  <si>
    <t>Profit</t>
  </si>
  <si>
    <t xml:space="preserve">Capex amrtization </t>
  </si>
  <si>
    <t>Profit cost reduction</t>
  </si>
  <si>
    <t>Mimosa Cost down  5.2-&gt;5.0</t>
  </si>
  <si>
    <t>Mimosa battery pack second source</t>
  </si>
  <si>
    <t>PCBA IC removal</t>
  </si>
  <si>
    <t>SC025517</t>
  </si>
  <si>
    <t>Kuma E Box 2.0 - Q2 2025 - Battery Stretch</t>
  </si>
  <si>
    <t>SC025526</t>
  </si>
  <si>
    <t>Kuma E Box 2.0- Q2 2025 - PCBA Stretch</t>
  </si>
  <si>
    <t>Alto Pod</t>
  </si>
  <si>
    <t>SOP1</t>
  </si>
  <si>
    <t>End cap supplier change</t>
  </si>
  <si>
    <t>Plastic supplier Change</t>
  </si>
  <si>
    <t>Alto Device</t>
  </si>
  <si>
    <t>Battery Tube</t>
  </si>
  <si>
    <t>Prismatic Pod</t>
  </si>
  <si>
    <t>Plastic(excl.cartridge tank) supplier Change</t>
  </si>
  <si>
    <t>KUMA E-Box (Device)</t>
  </si>
  <si>
    <t>USB cable cost down</t>
  </si>
  <si>
    <t>Silcone</t>
  </si>
  <si>
    <t>咪头硅胶 MIC sensor silicone seal</t>
  </si>
  <si>
    <t>SOP1 FCA</t>
  </si>
  <si>
    <t>SC022082</t>
  </si>
  <si>
    <t>Alto Consumables_Heater Nego Phase 3</t>
  </si>
  <si>
    <t>Blister cost up Sep.</t>
  </si>
  <si>
    <t>Plastic saving</t>
  </si>
  <si>
    <t>TML saving on Nov. base on plastic saving</t>
  </si>
  <si>
    <t>SC023646</t>
  </si>
  <si>
    <t>Assembly partner MVA nego  Phase 3</t>
  </si>
  <si>
    <t>Packaging supplier replaced by Yuto for Alto 2 POD</t>
  </si>
  <si>
    <t>Reward packaging cut in</t>
  </si>
  <si>
    <t>Blister wastage update from 20% to 17.3%</t>
  </si>
  <si>
    <t>TML saving on Jan.</t>
  </si>
  <si>
    <t>Thimble saving</t>
  </si>
  <si>
    <t>Fx change impact</t>
  </si>
  <si>
    <t>Liquid wastage from 5% to 4.1%</t>
  </si>
  <si>
    <t>Liquid</t>
  </si>
  <si>
    <t>Blister loss from 17.3% to 12.18%</t>
  </si>
  <si>
    <t>SC023650</t>
  </si>
  <si>
    <t>Alto Consumables_Heater Nego Phase 4 - Pods</t>
  </si>
  <si>
    <t>SC023649</t>
  </si>
  <si>
    <t xml:space="preserve">Assembly partner MVA nego Phase 4 </t>
  </si>
  <si>
    <t>BD10002</t>
  </si>
  <si>
    <t>June'24</t>
  </si>
  <si>
    <t>BF10002</t>
  </si>
  <si>
    <t>BF30002</t>
  </si>
  <si>
    <t>No actual pricelist at the time of TP issued, Sep was first pricelist</t>
  </si>
  <si>
    <t>BF50002</t>
  </si>
  <si>
    <t>BF80002</t>
  </si>
  <si>
    <t>PD10002</t>
  </si>
  <si>
    <t>PF10002</t>
  </si>
  <si>
    <t>SOP1 vs COPLAN</t>
  </si>
  <si>
    <t>Gap:
1. Airflow controller: Toll -&gt; TMY not 100% allocation, with gap 0.4p.
2. Battery: 0.06p.</t>
  </si>
  <si>
    <t>Stretch: 4.6p not meet:
1. ME: 3.3P
2. Liquid: 0.3p;
3. Strategic:1p</t>
  </si>
  <si>
    <t>COPLAN TOTAL Vol</t>
  </si>
  <si>
    <t>SOP11 Total Vol</t>
  </si>
  <si>
    <t>Aug</t>
  </si>
  <si>
    <t>Sep</t>
  </si>
  <si>
    <t>Oct</t>
  </si>
  <si>
    <t>Nov</t>
  </si>
  <si>
    <t>Dec</t>
  </si>
  <si>
    <t>Jun</t>
  </si>
  <si>
    <t>Strategic_Supp</t>
  </si>
  <si>
    <t>Strtegic Support</t>
  </si>
  <si>
    <t>SC023561</t>
  </si>
  <si>
    <t>Heater SP Wave 4 - MD2.0 Box</t>
  </si>
  <si>
    <t>SC023772</t>
  </si>
  <si>
    <t>Modi Box 2.0 1k Q1'25 PCBA Reduction</t>
  </si>
  <si>
    <t>SC023763</t>
  </si>
  <si>
    <t>Modi Box 2.0 1k Q1'25 Battery Reduction</t>
  </si>
  <si>
    <t>SC023846</t>
  </si>
  <si>
    <t>Modi Box 2.0 1k Q3'25 Battery Reduction</t>
  </si>
  <si>
    <t>SC023735</t>
  </si>
  <si>
    <t>Mechanical (Stretch)-MODI 2.0 
Box 800 (default &amp; Full)-Phase 1</t>
  </si>
  <si>
    <t>SC023737</t>
  </si>
  <si>
    <t>Mechanical (Stretch)-MODI 2.0 
Box 800 (default &amp; Full)-Phase 2</t>
  </si>
  <si>
    <t>Laura 6</t>
  </si>
  <si>
    <t>Mechanical stretch</t>
  </si>
  <si>
    <t>Laura 7</t>
  </si>
  <si>
    <t>Laura 8</t>
  </si>
  <si>
    <t>Packaging stretch</t>
  </si>
  <si>
    <t xml:space="preserve">Laura 5 </t>
  </si>
  <si>
    <t>SC023743</t>
  </si>
  <si>
    <t>Modi2.0 Box 800 (default &amp; Full) liquid cost reduction</t>
  </si>
  <si>
    <t>SC023547</t>
  </si>
  <si>
    <t>MD2.0 Remove treatment (UV glue) on mic sensor</t>
  </si>
  <si>
    <t>SC023216</t>
  </si>
  <si>
    <t>MD2.0 Overhead Cost down</t>
  </si>
  <si>
    <t>SC023229</t>
  </si>
  <si>
    <t>Heater SP Wave 3 - MD2.0 Box</t>
  </si>
  <si>
    <t>SC023224</t>
  </si>
  <si>
    <t>Thimble cost up</t>
  </si>
  <si>
    <t>SC023153</t>
  </si>
  <si>
    <t>MoDi Box 2.0 1k/3k/5k/8k  Battery - continuation Phase 4</t>
  </si>
  <si>
    <t>SC023547/SC024358/SC024359/SC024360</t>
  </si>
  <si>
    <t>Cost up</t>
  </si>
  <si>
    <t>1 GBP support for 1K BOX Default - Deduct from 1GBP support</t>
  </si>
  <si>
    <t>Flow wrap change from blank to printing(Non-ESG)</t>
  </si>
  <si>
    <t>Flow wrap change from  Pre-print Non-ESG to ESG preprint</t>
  </si>
  <si>
    <t>Toll airflow controller cost saving 0.64-&gt;0.62</t>
  </si>
  <si>
    <t>Hongyuan Thimble cost saving</t>
  </si>
  <si>
    <t>SC025515</t>
  </si>
  <si>
    <t>MoDi 2.0 1k/3k/5k/8k (default/Full) - Q2 2025 - Battery Stretch</t>
  </si>
  <si>
    <t>SC025524</t>
  </si>
  <si>
    <t>MoDi Box 1000 2.0 (default/full)- Q2 2025 - PCBA Stretch</t>
  </si>
  <si>
    <t>SC025532</t>
  </si>
  <si>
    <t>MoDi Box 1000 2.0 (default/full)- Q2 2025 - Airflow Stretch</t>
  </si>
  <si>
    <t>ME Mar Cost down</t>
  </si>
  <si>
    <t>Prepay Saving (1% reduction and Amortization cost removed for 1k serials and some common parts)</t>
  </si>
  <si>
    <t>TML Adjustment</t>
  </si>
  <si>
    <t>Laura 9</t>
  </si>
  <si>
    <t>Assembly stretch</t>
  </si>
  <si>
    <t>SC023238 &amp; SC023244</t>
  </si>
  <si>
    <t>Silicon Cost down</t>
  </si>
  <si>
    <t>SC023524</t>
  </si>
  <si>
    <t>MD 2.0 DL cost down from assy efficiency improvement - 1K Box full</t>
  </si>
  <si>
    <t>SC023226</t>
  </si>
  <si>
    <t>MD2.0 TML improve 1% to 0.8% - 1k Box Full</t>
  </si>
  <si>
    <t>Increase demand - New line</t>
  </si>
  <si>
    <t>TBC_Sensor 1k 2.0 full</t>
  </si>
  <si>
    <t xml:space="preserve">Platforming sensor </t>
  </si>
  <si>
    <t>SC024750</t>
  </si>
  <si>
    <t>DL UPPH improvement</t>
  </si>
  <si>
    <t>Spec</t>
  </si>
  <si>
    <t>Button, Battery Top Cover, Battery Bottom Cover</t>
  </si>
  <si>
    <t>SC024799</t>
  </si>
  <si>
    <t>Remove bottom sticker</t>
  </si>
  <si>
    <t>PSTT TBC</t>
  </si>
  <si>
    <t>SC025166</t>
  </si>
  <si>
    <t>Box 800 Full 2.0 platics cost reduction-TK</t>
  </si>
  <si>
    <t>SC025175</t>
  </si>
  <si>
    <t>Modi 2.0 thimble cost down  1 K BOX default/full</t>
  </si>
  <si>
    <t>SC025516</t>
  </si>
  <si>
    <t>MoDi Box 1000 2.0 (default/full) - Q2 2025 - Battery Stretch</t>
  </si>
  <si>
    <t>SC023898</t>
  </si>
  <si>
    <t>SC023770</t>
  </si>
  <si>
    <t>Modi 2.0 Q1'25 PCBA Reduction</t>
  </si>
  <si>
    <t>SC023769</t>
  </si>
  <si>
    <t>MoDi Box 2.0 3k,5k,8k Q1'25 Battery Reduction</t>
  </si>
  <si>
    <t xml:space="preserve">SC023820 </t>
  </si>
  <si>
    <t>Modi 2.0 3k,5k,8k Q3'25 Battery Reduction</t>
  </si>
  <si>
    <t>Laura 14</t>
  </si>
  <si>
    <t>Laura 15</t>
  </si>
  <si>
    <t>Laura 16</t>
  </si>
  <si>
    <t>Laura 17</t>
  </si>
  <si>
    <t>LED light</t>
  </si>
  <si>
    <t>LED Light issue fixe</t>
  </si>
  <si>
    <t>SC023744</t>
  </si>
  <si>
    <t>Modi2.0 Box 3k Full Liquid cost reduction</t>
  </si>
  <si>
    <t>TML - Waste Assembly</t>
  </si>
  <si>
    <t>BOM Cost update with current yield rate</t>
  </si>
  <si>
    <t>Packaging_3kF</t>
  </si>
  <si>
    <t>Cable cost saving</t>
  </si>
  <si>
    <t>SC023842</t>
  </si>
  <si>
    <t>SC024796</t>
  </si>
  <si>
    <t>SC024584</t>
  </si>
  <si>
    <t>Modi 3/5/8K end cap TFK cost reduction and Huayu introduction from plating change to SUS430</t>
  </si>
  <si>
    <t>Hongyuan thimble cost saving</t>
  </si>
  <si>
    <t>TK Plastic Cost Saving</t>
  </si>
  <si>
    <t>SC025527</t>
  </si>
  <si>
    <t>MoDi Box 3000 Full 2.0- Q2 2025 - PCBA Stretch</t>
  </si>
  <si>
    <t>SC025533</t>
  </si>
  <si>
    <t>MoDi Box 3000 Full 2.0- Q2 2025 - Airflow Stretch</t>
  </si>
  <si>
    <t>SC023899</t>
  </si>
  <si>
    <t xml:space="preserve">MD2.0 5K: USB cable removal </t>
  </si>
  <si>
    <t>Laura 18</t>
  </si>
  <si>
    <t>SC023745</t>
  </si>
  <si>
    <t>Liquid reduction</t>
  </si>
  <si>
    <t>SC023240 &amp; SC023246</t>
  </si>
  <si>
    <t>5. LED light</t>
  </si>
  <si>
    <t>SC023525</t>
  </si>
  <si>
    <t>MD 2.0 DL cost down from assy efficiency improvement - 5K Box full</t>
  </si>
  <si>
    <t>SC023227</t>
  </si>
  <si>
    <t>MD2.0 TML improve 1% to 0.8% - 5k Box Full</t>
  </si>
  <si>
    <t>Battery Top Cover, Battery Bottom Cover, Inner Bracket, Button  Cover, Plastic Plug, PCBA Bracket, Cartride tank, Heater Top Cover, Heater Holder</t>
  </si>
  <si>
    <t>Planned</t>
  </si>
  <si>
    <t>Var</t>
  </si>
  <si>
    <t>UP</t>
  </si>
  <si>
    <t>PSTT#</t>
  </si>
  <si>
    <t>TK Plastic nego reduction</t>
  </si>
  <si>
    <t>Thimble nego reduction</t>
  </si>
  <si>
    <t>Cable nego reduction</t>
  </si>
  <si>
    <t>SC025520</t>
  </si>
  <si>
    <t>MoDi Box 5000 Full 2.0 - Q2 2025 - Battery Stretch</t>
  </si>
  <si>
    <t>SC025528</t>
  </si>
  <si>
    <t>MoDi Box 5000 Full 2.0- Q2 2025 - PCBA Stretch</t>
  </si>
  <si>
    <t>Laura 19</t>
  </si>
  <si>
    <t>Laura 20</t>
  </si>
  <si>
    <t>SC023900</t>
  </si>
  <si>
    <t xml:space="preserve">MD2.0 8K: USB cable removal </t>
  </si>
  <si>
    <t>SC023746</t>
  </si>
  <si>
    <t>Modi2.0 Box 8k Full Liquid cost reduction</t>
  </si>
  <si>
    <t>TK Plastic cost saving</t>
  </si>
  <si>
    <t>Base FCA:</t>
  </si>
  <si>
    <t>SC023560</t>
  </si>
  <si>
    <t>Heater SP Wave 4 - MD2.0 Pen</t>
  </si>
  <si>
    <t>SC023762</t>
  </si>
  <si>
    <t>Modi Pen/Full 2.0 Q1'25 PCBA Reduction</t>
  </si>
  <si>
    <t>SC023768</t>
  </si>
  <si>
    <t>MoDi Pen 2.0 Q1'25 Battery Reduction</t>
  </si>
  <si>
    <t>SC023841</t>
  </si>
  <si>
    <t>MoDi Pen 2.0 Q3'25 Battery Reduction</t>
  </si>
  <si>
    <t>SC023738</t>
  </si>
  <si>
    <t>Mechanical (Stretch)-MODI 2.0 
Pen (default &amp; Full)-Phase 1</t>
  </si>
  <si>
    <t>SC023739</t>
  </si>
  <si>
    <t>Mechanical (Stretch)-MODI 2.0 
Pen (default &amp; Full)-Phase 2</t>
  </si>
  <si>
    <t>laura 10</t>
  </si>
  <si>
    <t>Laura 12</t>
  </si>
  <si>
    <t>Strategic stretch</t>
  </si>
  <si>
    <t>Laura 11</t>
  </si>
  <si>
    <t>1) E-liquid</t>
  </si>
  <si>
    <t>SC023215</t>
  </si>
  <si>
    <t>MD2.0 1K Pen DL Cost reduction - 2nd round</t>
  </si>
  <si>
    <t>SC023522</t>
  </si>
  <si>
    <t>MD2.0 Overhead Cost down - Pen</t>
  </si>
  <si>
    <t>SC023546</t>
  </si>
  <si>
    <t>SC023243</t>
  </si>
  <si>
    <t>Silicone 2nd round cost down</t>
  </si>
  <si>
    <t>SC023474</t>
  </si>
  <si>
    <t>1K pen default plastics dual source at TK (1st source WM)</t>
  </si>
  <si>
    <t>SC023543</t>
  </si>
  <si>
    <t>SC023526</t>
  </si>
  <si>
    <t>Heater SP Wave 3 - MD2.0 Pen</t>
  </si>
  <si>
    <t>SC023221</t>
  </si>
  <si>
    <t>SC023152</t>
  </si>
  <si>
    <t>MoDi Pen 2.0 (default/Full) Battery-continuation phase 6</t>
  </si>
  <si>
    <t>SC023835</t>
  </si>
  <si>
    <t>Modi2.0 Pen 1K (default &amp; Full) Fengyi wraping cost down</t>
  </si>
  <si>
    <t>SC024210</t>
  </si>
  <si>
    <t>SC023836</t>
  </si>
  <si>
    <t>Modi2.0 Pen 1K (default &amp; Full) DL reduction</t>
  </si>
  <si>
    <t>SC023546/SC024355</t>
  </si>
  <si>
    <t>Airflow controller - TMY Cost saving based on changing glue due to Nano coating</t>
  </si>
  <si>
    <t>SC024587</t>
  </si>
  <si>
    <t>1K PEN Default电池管Protective  shell(wrapping process cost + wrapping scrap cost of sleeve &amp; sticker)</t>
  </si>
  <si>
    <t>1K PEN Default电池管Protective  shell(ZRP Wrapping sticker）</t>
  </si>
  <si>
    <t>SC024356/SC024357</t>
  </si>
  <si>
    <t>Flow Wrap (NON-ESG) Change from blank to printing</t>
  </si>
  <si>
    <t>Airflow sensor nego down from Toll</t>
  </si>
  <si>
    <t>Thimble Dec nego cost down</t>
  </si>
  <si>
    <t>tbc</t>
  </si>
  <si>
    <t>SC025514</t>
  </si>
  <si>
    <t>MoDi 2.0 Pen (default/full) - Q2 2025 - Battery Stretch</t>
  </si>
  <si>
    <t>SC025522</t>
  </si>
  <si>
    <t>MoDi 2.0 Pen (default/full) - Q2 2025 - PCBA Stretch</t>
  </si>
  <si>
    <t>TML Rate adjust</t>
  </si>
  <si>
    <t>SC023223</t>
  </si>
  <si>
    <t>MD2.0 TML improve 1% to 0.8% - 1k Pen full</t>
  </si>
  <si>
    <t>SC023476</t>
  </si>
  <si>
    <t>1K pen full  plastics dual source at TK (1st source WM)</t>
  </si>
  <si>
    <t>SC023239 &amp; SC023245</t>
  </si>
  <si>
    <t>Protective shell amortisation</t>
  </si>
  <si>
    <t>1K PEN Full 按键 Button - Updated cost</t>
  </si>
  <si>
    <t>TFK Battery Tube cost reduction, Hongyuan thimble cost reduction</t>
  </si>
  <si>
    <t xml:space="preserve"> </t>
  </si>
  <si>
    <t>Battery tube dual source</t>
  </si>
  <si>
    <t>Kuma auto packing</t>
  </si>
  <si>
    <t>BLUESKY-Nego</t>
  </si>
  <si>
    <t>Device TML 1%-&gt;0.8%</t>
  </si>
  <si>
    <t>UPPH Improvement 5%</t>
  </si>
  <si>
    <t>POD Liquid wastage 4.1%-&gt;3%</t>
  </si>
  <si>
    <t>Modi Semi-automation</t>
  </si>
  <si>
    <t>Modi 3rd source Battery Cost Reduction</t>
  </si>
  <si>
    <t>Integrated SOC IC, remove Charge IC</t>
  </si>
  <si>
    <t>PCBA Components 2nd source</t>
  </si>
  <si>
    <t>EVA Sponge from 2pcs to 1pc (Battery Module)</t>
  </si>
  <si>
    <t>Remove OPAMP OPA838SIDCKT on PCBA</t>
  </si>
  <si>
    <t>Motor 2nd source，baolong → Dongci</t>
  </si>
  <si>
    <t>Cable 2nd source，Luxshare → Daytone</t>
  </si>
  <si>
    <t>MIMOSA TML Reduction</t>
  </si>
  <si>
    <t>Mechanical - March price list PSTT TBC</t>
  </si>
  <si>
    <t>Electronics -March price list PSTT TBC</t>
  </si>
  <si>
    <t>Amortization- March price list PSTT TBC</t>
  </si>
  <si>
    <t>Assembly - March price list PSTT TBC</t>
  </si>
  <si>
    <t>Pod</t>
  </si>
  <si>
    <t>SC023575 - Nego</t>
  </si>
  <si>
    <t>SC024632 - Nego</t>
  </si>
  <si>
    <t>Menu Card Category (Level 1)</t>
  </si>
  <si>
    <t>Menu Card Category (Level 2)</t>
  </si>
  <si>
    <t>Mechanical</t>
  </si>
  <si>
    <t>Line Amortization</t>
  </si>
  <si>
    <t>Manufacture Overhead</t>
  </si>
  <si>
    <t>Direct Labour</t>
  </si>
  <si>
    <t>Heater</t>
  </si>
  <si>
    <t>Plastic</t>
  </si>
  <si>
    <t>Primary Packaging</t>
  </si>
  <si>
    <t>Metal</t>
  </si>
  <si>
    <t>Silicone</t>
  </si>
  <si>
    <t>Battery</t>
  </si>
  <si>
    <t>PCBA</t>
  </si>
  <si>
    <t>Electronic others</t>
  </si>
  <si>
    <t>Cable</t>
  </si>
  <si>
    <t>USB Cable</t>
  </si>
  <si>
    <t>Tool Amortization</t>
  </si>
  <si>
    <t>Motor</t>
  </si>
  <si>
    <t>Mechanical others</t>
  </si>
  <si>
    <t>Airflow controller</t>
  </si>
  <si>
    <t>Mechanical -Wrapping</t>
  </si>
  <si>
    <t>NRE Amortization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</si>
</sst>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6">
    <numFmt numFmtId="43" formatCode="_ * #,##0.00_ ;_ * \-#,##0.00_ ;_ * &quot;-&quot;??_ ;_ @_ "/>
    <numFmt numFmtId="176" formatCode="_(* #,##0.00_);_(* \(#,##0.00\);_(* &quot;-&quot;??_);_(@_)"/>
    <numFmt numFmtId="177" formatCode="_-&quot;£&quot;* #,##0.00_-;\-&quot;£&quot;* #,##0.00_-;_-&quot;£&quot;* &quot;-&quot;??_-;_-@_-"/>
    <numFmt numFmtId="178" formatCode="_-* #,##0.00_-;\-* #,##0.00_-;_-* &quot;-&quot;??_-;_-@_-"/>
    <numFmt numFmtId="179" formatCode="_-&quot;£&quot;* #,##0.000_-;\-&quot;£&quot;* #,##0.000_-;_-&quot;£&quot;* &quot;-&quot;??_-;_-@_-"/>
    <numFmt numFmtId="180" formatCode="_-* #,##0.000_-;\-* #,##0.000_-;_-* &quot;-&quot;??_-;_-@_-"/>
    <numFmt numFmtId="181" formatCode="0.000"/>
    <numFmt numFmtId="182" formatCode="_ [$€-2]\ * #,##0.000_ ;_ [$€-2]\ * \-#,##0.000_ ;_ [$€-2]\ * &quot;-&quot;??_ ;_ @_ "/>
    <numFmt numFmtId="183" formatCode="_ [$¥-804]* #,##0.0000_ ;_ [$¥-804]* \-#,##0.0000_ ;_ [$¥-804]* &quot;-&quot;??_ ;_ @_ "/>
    <numFmt numFmtId="184" formatCode="[$¥-804]#,##0.0000;[Red][$¥-804]#,##0.0000"/>
    <numFmt numFmtId="185" formatCode="_ [$¥-804]* #,##0.00000_ ;_ [$¥-804]* \-#,##0.00000_ ;_ [$¥-804]* &quot;-&quot;??_ ;_ @_ "/>
    <numFmt numFmtId="186" formatCode="_-* #,##0.000\ [$€-1]_-;\-* #,##0.000\ [$€-1]_-;_-* &quot;-&quot;??\ [$€-1]_-"/>
    <numFmt numFmtId="187" formatCode="_-* #,##0.00\ _D_M_-;\-* #,##0.00\ _D_M_-;_-* &quot;-&quot;??\ _D_M_-;_-@_-"/>
    <numFmt numFmtId="188" formatCode="[$¥-804]#,##0.00;[$¥-804]\-#,##0.00"/>
    <numFmt numFmtId="189" formatCode="[$-1010804]General"/>
    <numFmt numFmtId="190" formatCode="[$$-409]#,##0.00_);[Red]\([$$-409]#,##0.00\)"/>
    <numFmt numFmtId="191" formatCode="_ [$¥-804]* #,##0.00_ ;_ [$¥-804]* \-#,##0.00_ ;_ [$¥-804]* &quot;-&quot;??_ ;_ @_ "/>
    <numFmt numFmtId="192" formatCode="_-* #,##0.000_-;\-* #,##0.000_-;_-* &quot;-&quot;???_-;_-@_-"/>
    <numFmt numFmtId="193" formatCode="_-&quot;£&quot;* #,##0.0_-;\-&quot;£&quot;* #,##0.0_-;_-&quot;£&quot;* &quot;-&quot;??_-;_-@_-"/>
    <numFmt numFmtId="194" formatCode="_-&quot;£&quot;* #,##0_-;\-&quot;£&quot;* #,##0_-;_-&quot;£&quot;* &quot;-&quot;??_-;_-@_-"/>
    <numFmt numFmtId="195" formatCode="0.00000"/>
    <numFmt numFmtId="196" formatCode="_-&quot;£&quot;* #,##0.000_-;\-&quot;£&quot;* #,##0.000_-;_-&quot;£&quot;* &quot;-&quot;???_-;_-@_-"/>
    <numFmt numFmtId="197" formatCode="_-[$£-809]* #,##0.00_-;\-[$£-809]* #,##0.00_-;_-[$£-809]* &quot;-&quot;??_-;_-@_-"/>
    <numFmt numFmtId="198" formatCode="_-* #,##0.0_-;\-* #,##0.0_-;_-* &quot;-&quot;??_-;_-@_-"/>
    <numFmt numFmtId="199" formatCode="_-* #,##0.0000_-;\-* #,##0.0000_-;_-* &quot;-&quot;??_-;_-@_-"/>
    <numFmt numFmtId="200" formatCode="_-&quot;£&quot;* #,##0.00000_-;\-&quot;£&quot;* #,##0.00000_-;_-&quot;£&quot;* &quot;-&quot;?????_-;_-@_-"/>
    <numFmt numFmtId="201" formatCode="_-&quot;£&quot;* #,##0.0000_-;\-&quot;£&quot;* #,##0.0000_-;_-&quot;£&quot;* &quot;-&quot;??_-;_-@_-"/>
    <numFmt numFmtId="202" formatCode="0.0000;\-0.0000;;@"/>
    <numFmt numFmtId="203" formatCode="_-&quot;£&quot;* #,##0.00000_-;\-&quot;£&quot;* #,##0.00000_-;_-&quot;£&quot;* &quot;-&quot;??_-;_-@_-"/>
    <numFmt numFmtId="204" formatCode="_-* #,##0.0000_-;\-* #,##0.0000_-;_-* &quot;-&quot;???_-;_-@_-"/>
    <numFmt numFmtId="205" formatCode="_-[$£-809]* #,##0.000000000_-;\-[$£-809]* #,##0.000000000_-;_-[$£-809]* &quot;-&quot;??_-;_-@_-"/>
    <numFmt numFmtId="206" formatCode="_-&quot;£&quot;* #,##0.000000_-;\-&quot;£&quot;* #,##0.000000_-;_-&quot;£&quot;* &quot;-&quot;??_-;_-@_-"/>
    <numFmt numFmtId="207" formatCode="_-* #,##0.00000_-;\-* #,##0.00000_-;_-* &quot;-&quot;??_-;_-@_-"/>
    <numFmt numFmtId="208" formatCode="_-[$£-809]* #,##0.0000_-;\-[$£-809]* #,##0.0000_-;_-[$£-809]* &quot;-&quot;??_-;_-@_-"/>
    <numFmt numFmtId="209" formatCode="_-* #,##0.000000_-;\-* #,##0.000000_-;_-* &quot;-&quot;??_-;_-@_-"/>
    <numFmt numFmtId="210" formatCode="0.0000000000000000_);\(0.0000000000000000\)"/>
    <numFmt numFmtId="211" formatCode="_(* #,##0.000_);_(* \(#,##0.000\);_(* &quot;-&quot;??_);_(@_)"/>
    <numFmt numFmtId="212" formatCode="0.000000;\-0.000000;;@"/>
    <numFmt numFmtId="213" formatCode="0.00000;\-0.00000;;@"/>
    <numFmt numFmtId="214" formatCode="_(* #,##0.0000_);_(* \(#,##0.0000\);_(* &quot;-&quot;????_);_(@_)"/>
    <numFmt numFmtId="215" formatCode="_(* #,##0.000_);_(* \(#,##0.000\);_(* &quot;-&quot;???_);_(@_)"/>
    <numFmt numFmtId="216" formatCode="_(* #,##0.0000_);_(* \(#,##0.0000\);_(* &quot;-&quot;??_);_(@_)"/>
    <numFmt numFmtId="217" formatCode="_(* #,##0.00000_);_(* \(#,##0.00000\);_(* &quot;-&quot;?????_);_(@_)"/>
    <numFmt numFmtId="218" formatCode="[$£-809]#,##0.0000;\-[$£-809]#,##0.0000"/>
    <numFmt numFmtId="219" formatCode="_-* #,##0.0000000_-;\-* #,##0.0000000_-;_-* &quot;-&quot;??_-;_-@_-"/>
    <numFmt numFmtId="220" formatCode="0.0000"/>
  </numFmts>
  <fonts count="58">
    <font>
      <sz val="11"/>
      <color theme="1"/>
      <name val="等线"/>
      <family val="2"/>
      <scheme val="minor"/>
    </font>
    <font>
      <sz val="11"/>
      <color theme="1"/>
      <name val="等线"/>
      <family val="2"/>
      <scheme val="minor"/>
    </font>
    <font>
      <b/>
      <sz val="11"/>
      <color theme="1"/>
      <name val="等线"/>
      <family val="2"/>
      <scheme val="minor"/>
    </font>
    <font>
      <b/>
      <sz val="10"/>
      <color theme="1"/>
      <name val="等线"/>
      <family val="2"/>
      <scheme val="minor"/>
    </font>
    <font>
      <b/>
      <sz val="10"/>
      <color theme="0"/>
      <name val="等线"/>
      <family val="2"/>
      <scheme val="minor"/>
    </font>
    <font>
      <b/>
      <i/>
      <sz val="10"/>
      <color theme="0"/>
      <name val="等线"/>
      <family val="2"/>
      <scheme val="minor"/>
    </font>
    <font>
      <b/>
      <i/>
      <sz val="10"/>
      <color rgb="FFFFFFFF"/>
      <name val="Calibri"/>
      <family val="2"/>
    </font>
    <font>
      <sz val="10"/>
      <color rgb="FF000000"/>
      <name val="Calibri"/>
      <family val="2"/>
    </font>
    <font>
      <sz val="10"/>
      <name val="Calibri"/>
      <family val="2"/>
    </font>
    <font>
      <sz val="10"/>
      <color theme="1"/>
      <name val="等线"/>
      <family val="2"/>
      <scheme val="minor"/>
    </font>
    <font>
      <b/>
      <sz val="11"/>
      <color theme="0"/>
      <name val="等线"/>
      <family val="2"/>
      <scheme val="minor"/>
    </font>
    <font>
      <sz val="11"/>
      <color theme="0"/>
      <name val="等线"/>
      <family val="2"/>
      <scheme val="minor"/>
    </font>
    <font>
      <sz val="10"/>
      <color theme="1"/>
      <name val="Calibri"/>
      <family val="2"/>
    </font>
    <font>
      <sz val="11"/>
      <name val="Calibri"/>
      <family val="2"/>
    </font>
    <font>
      <sz val="10"/>
      <name val="MS Sans Serif"/>
      <family val="1"/>
    </font>
    <font>
      <sz val="11"/>
      <color theme="1"/>
      <name val="等线"/>
      <family val="3"/>
      <charset val="134"/>
      <scheme val="minor"/>
    </font>
    <font>
      <sz val="11"/>
      <color theme="1"/>
      <name val="等线"/>
      <family val="2"/>
      <charset val="238"/>
      <scheme val="minor"/>
    </font>
    <font>
      <sz val="10"/>
      <name val="Arial"/>
      <family val="2"/>
    </font>
    <font>
      <sz val="11"/>
      <color theme="1"/>
      <name val="Arial"/>
      <family val="2"/>
    </font>
    <font>
      <b/>
      <sz val="10"/>
      <color rgb="FF000000"/>
      <name val="Calibri"/>
      <family val="2"/>
    </font>
    <font>
      <sz val="10"/>
      <name val="MS Sans Serif"/>
      <family val="2"/>
    </font>
    <font>
      <sz val="11"/>
      <color indexed="8"/>
      <name val="Czcionka tekstu podstawowego"/>
      <charset val="238"/>
    </font>
    <font>
      <sz val="12"/>
      <name val="宋体"/>
      <family val="3"/>
      <charset val="134"/>
    </font>
    <font>
      <sz val="9"/>
      <name val="宋体"/>
      <family val="3"/>
      <charset val="134"/>
    </font>
    <font>
      <b/>
      <sz val="11"/>
      <color theme="0" tint="-0.499984740745262"/>
      <name val="等线"/>
      <family val="2"/>
      <scheme val="minor"/>
    </font>
    <font>
      <sz val="11"/>
      <color theme="0" tint="-0.499984740745262"/>
      <name val="等线"/>
      <family val="2"/>
      <scheme val="minor"/>
    </font>
    <font>
      <sz val="10"/>
      <color theme="0"/>
      <name val="等线"/>
      <family val="2"/>
      <scheme val="minor"/>
    </font>
    <font>
      <sz val="11"/>
      <color rgb="FF00B050"/>
      <name val="等线"/>
      <family val="2"/>
      <scheme val="minor"/>
    </font>
    <font>
      <sz val="10"/>
      <color rgb="FFFF0000"/>
      <name val="Calibri"/>
      <family val="2"/>
    </font>
    <font>
      <sz val="11"/>
      <name val="等线"/>
      <family val="2"/>
      <scheme val="minor"/>
    </font>
    <font>
      <sz val="10"/>
      <name val="等线"/>
      <family val="2"/>
      <scheme val="minor"/>
    </font>
    <font>
      <b/>
      <sz val="11"/>
      <name val="等线"/>
      <family val="2"/>
      <scheme val="minor"/>
    </font>
    <font>
      <b/>
      <sz val="11"/>
      <color theme="5"/>
      <name val="等线"/>
      <family val="2"/>
      <scheme val="minor"/>
    </font>
    <font>
      <sz val="11"/>
      <color rgb="FFFFFFFF"/>
      <name val="Calibri"/>
      <family val="2"/>
    </font>
    <font>
      <sz val="10"/>
      <color theme="0" tint="-0.499984740745262"/>
      <name val="Calibri"/>
      <family val="2"/>
    </font>
    <font>
      <b/>
      <sz val="11"/>
      <color rgb="FFC00000"/>
      <name val="等线"/>
      <family val="2"/>
      <scheme val="minor"/>
    </font>
    <font>
      <i/>
      <sz val="11"/>
      <color rgb="FF00B050"/>
      <name val="等线"/>
      <family val="2"/>
      <scheme val="minor"/>
    </font>
    <font>
      <i/>
      <sz val="11"/>
      <color theme="5"/>
      <name val="等线"/>
      <family val="2"/>
      <scheme val="minor"/>
    </font>
    <font>
      <sz val="8"/>
      <name val="等线"/>
      <family val="2"/>
      <scheme val="minor"/>
    </font>
    <font>
      <sz val="11"/>
      <color theme="9" tint="-0.499984740745262"/>
      <name val="等线"/>
      <family val="2"/>
      <scheme val="minor"/>
    </font>
    <font>
      <sz val="11"/>
      <color rgb="FFFF0000"/>
      <name val="等线"/>
      <family val="2"/>
      <scheme val="minor"/>
    </font>
    <font>
      <b/>
      <sz val="10"/>
      <color rgb="FFFF0000"/>
      <name val="Calibri"/>
      <family val="2"/>
    </font>
    <font>
      <i/>
      <sz val="10"/>
      <color rgb="FF00B050"/>
      <name val="等线"/>
      <family val="2"/>
      <scheme val="minor"/>
    </font>
    <font>
      <i/>
      <sz val="10"/>
      <color theme="5"/>
      <name val="等线"/>
      <family val="2"/>
      <scheme val="minor"/>
    </font>
    <font>
      <b/>
      <sz val="10"/>
      <name val="等线"/>
      <family val="2"/>
      <scheme val="minor"/>
    </font>
    <font>
      <b/>
      <sz val="10"/>
      <color rgb="FFFF0000"/>
      <name val="等线"/>
      <family val="2"/>
      <scheme val="minor"/>
    </font>
    <font>
      <sz val="10"/>
      <color rgb="FFFF0000"/>
      <name val="等线"/>
      <family val="2"/>
      <scheme val="minor"/>
    </font>
    <font>
      <b/>
      <sz val="10"/>
      <color rgb="FF00B050"/>
      <name val="等线"/>
      <family val="2"/>
      <scheme val="minor"/>
    </font>
    <font>
      <sz val="10"/>
      <color rgb="FF00B050"/>
      <name val="等线"/>
      <family val="2"/>
      <scheme val="minor"/>
    </font>
    <font>
      <b/>
      <i/>
      <sz val="10"/>
      <color rgb="FFFF0000"/>
      <name val="Calibri"/>
      <family val="2"/>
    </font>
    <font>
      <b/>
      <sz val="11"/>
      <color rgb="FFFF0000"/>
      <name val="等线"/>
      <family val="2"/>
      <scheme val="minor"/>
    </font>
    <font>
      <sz val="11"/>
      <color theme="1"/>
      <name val="等线"/>
      <family val="2"/>
      <scheme val="minor"/>
    </font>
    <font>
      <sz val="10"/>
      <name val="MS Sans Serif"/>
      <family val="2"/>
    </font>
    <font>
      <sz val="12"/>
      <name val="宋体"/>
      <family val="3"/>
      <charset val="134"/>
    </font>
    <font>
      <sz val="9"/>
      <name val="宋体"/>
      <family val="3"/>
      <charset val="134"/>
    </font>
    <font>
      <sz val="10"/>
      <color rgb="FF000000"/>
      <name val="Calibri"/>
      <family val="2"/>
    </font>
    <font>
      <sz val="10"/>
      <color rgb="FF000000"/>
      <name val="Calibri"/>
      <family val="2"/>
    </font>
    <font>
      <sz val="9"/>
      <name val="等线"/>
      <family val="3"/>
      <charset val="134"/>
      <scheme val="minor"/>
    </font>
  </fonts>
  <fills count="48">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rgb="FF002060"/>
        <bgColor rgb="FF000000"/>
      </patternFill>
    </fill>
    <fill>
      <patternFill patternType="solid">
        <fgColor theme="7" tint="0.79998168889431442"/>
        <bgColor rgb="FF000000"/>
      </patternFill>
    </fill>
    <fill>
      <patternFill patternType="solid">
        <fgColor theme="3" tint="0.59999389629810485"/>
        <bgColor indexed="64"/>
      </patternFill>
    </fill>
    <fill>
      <patternFill patternType="solid">
        <fgColor theme="4" tint="0.79998168889431442"/>
        <bgColor indexed="64"/>
      </patternFill>
    </fill>
    <fill>
      <patternFill patternType="solid">
        <fgColor theme="1" tint="4.9989318521683403E-2"/>
        <bgColor indexed="64"/>
      </patternFill>
    </fill>
    <fill>
      <patternFill patternType="solid">
        <fgColor theme="4" tint="-0.499984740745262"/>
        <bgColor indexed="64"/>
      </patternFill>
    </fill>
    <fill>
      <patternFill patternType="solid">
        <fgColor theme="3" tint="0.59999389629810485"/>
        <bgColor rgb="FF000000"/>
      </patternFill>
    </fill>
    <fill>
      <patternFill patternType="solid">
        <fgColor theme="4" tint="0.79998168889431442"/>
        <bgColor rgb="FF000000"/>
      </patternFill>
    </fill>
    <fill>
      <patternFill patternType="solid">
        <fgColor theme="1" tint="0.249977111117893"/>
        <bgColor indexed="64"/>
      </patternFill>
    </fill>
    <fill>
      <patternFill patternType="solid">
        <fgColor rgb="FF00B0F0"/>
        <bgColor rgb="FF000000"/>
      </patternFill>
    </fill>
    <fill>
      <patternFill patternType="solid">
        <fgColor rgb="FF00B0F0"/>
        <bgColor indexed="64"/>
      </patternFill>
    </fill>
    <fill>
      <patternFill patternType="solid">
        <fgColor theme="2" tint="-0.499984740745262"/>
        <bgColor indexed="64"/>
      </patternFill>
    </fill>
    <fill>
      <patternFill patternType="solid">
        <fgColor theme="4" tint="-0.249977111117893"/>
        <bgColor indexed="64"/>
      </patternFill>
    </fill>
    <fill>
      <patternFill patternType="solid">
        <fgColor theme="5" tint="-0.499984740745262"/>
        <bgColor indexed="64"/>
      </patternFill>
    </fill>
    <fill>
      <patternFill patternType="solid">
        <fgColor theme="1" tint="0.499984740745262"/>
        <bgColor indexed="64"/>
      </patternFill>
    </fill>
    <fill>
      <patternFill patternType="solid">
        <fgColor theme="7"/>
        <bgColor indexed="64"/>
      </patternFill>
    </fill>
    <fill>
      <patternFill patternType="solid">
        <fgColor theme="2"/>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theme="0"/>
        <bgColor indexed="64"/>
      </patternFill>
    </fill>
    <fill>
      <patternFill patternType="solid">
        <fgColor theme="7" tint="0.59999389629810485"/>
        <bgColor indexed="64"/>
      </patternFill>
    </fill>
    <fill>
      <patternFill patternType="solid">
        <fgColor rgb="FFFFFF00"/>
        <bgColor rgb="FF000000"/>
      </patternFill>
    </fill>
    <fill>
      <patternFill patternType="solid">
        <fgColor theme="0"/>
        <bgColor rgb="FF000000"/>
      </patternFill>
    </fill>
    <fill>
      <patternFill patternType="solid">
        <fgColor rgb="FF3B4D9C"/>
        <bgColor rgb="FF000000"/>
      </patternFill>
    </fill>
    <fill>
      <patternFill patternType="solid">
        <fgColor rgb="FFFFFF00"/>
        <bgColor indexed="64"/>
      </patternFill>
    </fill>
    <fill>
      <patternFill patternType="solid">
        <fgColor theme="5" tint="0.79998168889431442"/>
        <bgColor rgb="FF000000"/>
      </patternFill>
    </fill>
    <fill>
      <patternFill patternType="solid">
        <fgColor theme="5" tint="-0.249977111117893"/>
        <bgColor indexed="64"/>
      </patternFill>
    </fill>
    <fill>
      <patternFill patternType="solid">
        <fgColor theme="9" tint="0.79998168889431442"/>
        <bgColor rgb="FF000000"/>
      </patternFill>
    </fill>
    <fill>
      <patternFill patternType="solid">
        <fgColor theme="0" tint="-0.499984740745262"/>
        <bgColor indexed="64"/>
      </patternFill>
    </fill>
    <fill>
      <patternFill patternType="solid">
        <fgColor theme="0" tint="-4.9989318521683403E-2"/>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79998168889431442"/>
        <bgColor rgb="FF000000"/>
      </patternFill>
    </fill>
    <fill>
      <patternFill patternType="solid">
        <fgColor rgb="FF92D050"/>
        <bgColor rgb="FF000000"/>
      </patternFill>
    </fill>
    <fill>
      <patternFill patternType="solid">
        <fgColor theme="9" tint="-0.499984740745262"/>
        <bgColor rgb="FF000000"/>
      </patternFill>
    </fill>
    <fill>
      <patternFill patternType="solid">
        <fgColor theme="8"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rgb="FF00B050"/>
        <bgColor indexed="64"/>
      </patternFill>
    </fill>
    <fill>
      <patternFill patternType="solid">
        <fgColor theme="8" tint="0.39997558519241921"/>
        <bgColor indexed="64"/>
      </patternFill>
    </fill>
    <fill>
      <patternFill patternType="solid">
        <fgColor rgb="FFFFCCFF"/>
        <bgColor indexed="64"/>
      </patternFill>
    </fill>
    <fill>
      <patternFill patternType="solid">
        <fgColor rgb="FFFFC000"/>
        <bgColor indexed="64"/>
      </patternFill>
    </fill>
    <fill>
      <patternFill patternType="solid">
        <fgColor rgb="FFFFC000"/>
        <bgColor rgb="FF000000"/>
      </patternFill>
    </fill>
    <fill>
      <patternFill patternType="solid">
        <fgColor rgb="FF00B050"/>
        <bgColor rgb="FF000000"/>
      </patternFill>
    </fill>
  </fills>
  <borders count="10">
    <border>
      <left/>
      <right/>
      <top/>
      <bottom/>
      <diagonal/>
    </border>
    <border>
      <left/>
      <right/>
      <top style="thin">
        <color indexed="64"/>
      </top>
      <bottom style="thin">
        <color indexed="64"/>
      </bottom>
      <diagonal/>
    </border>
    <border>
      <left/>
      <right/>
      <top/>
      <bottom style="thin">
        <color indexed="64"/>
      </bottom>
      <diagonal/>
    </border>
    <border>
      <left style="thin">
        <color rgb="FF0E2B63"/>
      </left>
      <right style="thin">
        <color rgb="FF0E2B63"/>
      </right>
      <top style="thin">
        <color rgb="FF0E2B63"/>
      </top>
      <bottom style="thin">
        <color rgb="FF0E2B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02">
    <xf numFmtId="0" fontId="0" fillId="0" borderId="0"/>
    <xf numFmtId="178" fontId="1"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182" fontId="1" fillId="0" borderId="0"/>
    <xf numFmtId="0" fontId="1" fillId="0" borderId="0">
      <alignment vertical="center"/>
    </xf>
    <xf numFmtId="178" fontId="1" fillId="0" borderId="0" applyFont="0" applyFill="0" applyBorder="0" applyAlignment="0" applyProtection="0"/>
    <xf numFmtId="177" fontId="1" fillId="0" borderId="0" applyFont="0" applyFill="0" applyBorder="0" applyAlignment="0" applyProtection="0"/>
    <xf numFmtId="0" fontId="12" fillId="0" borderId="0"/>
    <xf numFmtId="178" fontId="12" fillId="0" borderId="0" applyFont="0" applyFill="0" applyBorder="0" applyAlignment="0" applyProtection="0"/>
    <xf numFmtId="177" fontId="12" fillId="0" borderId="0" applyFont="0" applyFill="0" applyBorder="0" applyAlignment="0" applyProtection="0"/>
    <xf numFmtId="0" fontId="1" fillId="0" borderId="0"/>
    <xf numFmtId="0" fontId="1" fillId="0" borderId="0">
      <alignment vertical="center"/>
    </xf>
    <xf numFmtId="186" fontId="13" fillId="0" borderId="0">
      <alignment vertical="center"/>
    </xf>
    <xf numFmtId="9" fontId="15" fillId="0" borderId="0" applyFont="0" applyFill="0" applyBorder="0" applyAlignment="0" applyProtection="0">
      <alignment vertical="center"/>
    </xf>
    <xf numFmtId="185" fontId="15" fillId="0" borderId="0">
      <alignment vertical="center"/>
    </xf>
    <xf numFmtId="186" fontId="14" fillId="0" borderId="0"/>
    <xf numFmtId="184" fontId="14" fillId="0" borderId="0"/>
    <xf numFmtId="186" fontId="15" fillId="0" borderId="0">
      <alignment vertical="center"/>
    </xf>
    <xf numFmtId="184" fontId="15" fillId="0" borderId="0"/>
    <xf numFmtId="0" fontId="15" fillId="0" borderId="0">
      <alignment vertical="center"/>
    </xf>
    <xf numFmtId="178" fontId="1" fillId="0" borderId="0" applyFont="0" applyFill="0" applyBorder="0" applyAlignment="0" applyProtection="0"/>
    <xf numFmtId="183" fontId="15" fillId="0" borderId="0">
      <alignment vertical="center"/>
    </xf>
    <xf numFmtId="0" fontId="15" fillId="0" borderId="0"/>
    <xf numFmtId="185" fontId="15" fillId="0" borderId="0">
      <alignment vertical="center"/>
    </xf>
    <xf numFmtId="0" fontId="15" fillId="0" borderId="0">
      <alignment vertical="center"/>
    </xf>
    <xf numFmtId="183" fontId="15" fillId="0" borderId="0">
      <alignment vertical="center"/>
    </xf>
    <xf numFmtId="0" fontId="15" fillId="0" borderId="0">
      <alignment vertical="center"/>
    </xf>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0" fontId="16" fillId="0" borderId="0"/>
    <xf numFmtId="178" fontId="16" fillId="0" borderId="0" applyFont="0" applyFill="0" applyBorder="0" applyAlignment="0" applyProtection="0"/>
    <xf numFmtId="177" fontId="1" fillId="0" borderId="0" applyFont="0" applyFill="0" applyBorder="0" applyAlignment="0" applyProtection="0"/>
    <xf numFmtId="0" fontId="17" fillId="0" borderId="0"/>
    <xf numFmtId="178" fontId="17" fillId="0" borderId="0" applyFont="0" applyFill="0" applyBorder="0" applyAlignment="0" applyProtection="0"/>
    <xf numFmtId="0" fontId="18" fillId="0" borderId="0"/>
    <xf numFmtId="0" fontId="1" fillId="0" borderId="0"/>
    <xf numFmtId="0" fontId="1" fillId="0" borderId="0"/>
    <xf numFmtId="0" fontId="17" fillId="0" borderId="0"/>
    <xf numFmtId="187" fontId="17" fillId="0" borderId="0" applyFont="0" applyFill="0" applyBorder="0" applyAlignment="0" applyProtection="0"/>
    <xf numFmtId="0" fontId="17" fillId="0" borderId="0"/>
    <xf numFmtId="0" fontId="1" fillId="0" borderId="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6" fillId="0" borderId="0" applyFont="0" applyFill="0" applyBorder="0" applyAlignment="0" applyProtection="0"/>
    <xf numFmtId="177" fontId="1" fillId="0" borderId="0" applyFont="0" applyFill="0" applyBorder="0" applyAlignment="0" applyProtection="0"/>
    <xf numFmtId="178" fontId="17"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6" fillId="0" borderId="0" applyFont="0" applyFill="0" applyBorder="0" applyAlignment="0" applyProtection="0"/>
    <xf numFmtId="177" fontId="1" fillId="0" borderId="0" applyFont="0" applyFill="0" applyBorder="0" applyAlignment="0" applyProtection="0"/>
    <xf numFmtId="178" fontId="17" fillId="0" borderId="0" applyFont="0" applyFill="0" applyBorder="0" applyAlignment="0" applyProtection="0"/>
    <xf numFmtId="185" fontId="1"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85" fontId="20" fillId="0" borderId="0"/>
    <xf numFmtId="185" fontId="1" fillId="0" borderId="0">
      <alignment vertical="center"/>
    </xf>
    <xf numFmtId="9" fontId="1" fillId="0" borderId="0" applyFont="0" applyFill="0" applyBorder="0" applyAlignment="0" applyProtection="0">
      <alignment vertical="center"/>
    </xf>
    <xf numFmtId="185" fontId="1" fillId="0" borderId="0">
      <alignment vertical="center"/>
    </xf>
    <xf numFmtId="185" fontId="1" fillId="0" borderId="0">
      <alignment vertical="center"/>
    </xf>
    <xf numFmtId="188" fontId="1" fillId="0" borderId="0">
      <alignment vertical="center"/>
    </xf>
    <xf numFmtId="185" fontId="1" fillId="0" borderId="0">
      <alignment vertical="center"/>
    </xf>
    <xf numFmtId="185" fontId="1" fillId="0" borderId="0">
      <alignment vertical="center"/>
    </xf>
    <xf numFmtId="185" fontId="1" fillId="0" borderId="0">
      <alignment vertical="center"/>
    </xf>
    <xf numFmtId="185" fontId="1" fillId="0" borderId="0">
      <alignment vertical="center"/>
    </xf>
    <xf numFmtId="177" fontId="1" fillId="0" borderId="0" applyFont="0" applyFill="0" applyBorder="0" applyAlignment="0" applyProtection="0"/>
    <xf numFmtId="0" fontId="1" fillId="0" borderId="0"/>
    <xf numFmtId="178" fontId="1" fillId="0" borderId="0" applyFont="0" applyFill="0" applyBorder="0" applyAlignment="0" applyProtection="0"/>
    <xf numFmtId="9" fontId="1" fillId="0" borderId="0" applyFont="0" applyFill="0" applyBorder="0" applyAlignment="0" applyProtection="0"/>
    <xf numFmtId="0" fontId="1" fillId="0" borderId="0">
      <alignment vertical="center"/>
    </xf>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86" fontId="14" fillId="0" borderId="0"/>
    <xf numFmtId="186" fontId="15" fillId="0" borderId="0">
      <alignment vertical="center"/>
    </xf>
    <xf numFmtId="184" fontId="15" fillId="0" borderId="0"/>
    <xf numFmtId="178" fontId="1" fillId="0" borderId="0" applyFont="0" applyFill="0" applyBorder="0" applyAlignment="0" applyProtection="0"/>
    <xf numFmtId="0" fontId="15" fillId="0" borderId="0">
      <alignment vertical="center"/>
    </xf>
    <xf numFmtId="183" fontId="15" fillId="0" borderId="0">
      <alignment vertical="center"/>
    </xf>
    <xf numFmtId="0" fontId="15" fillId="0" borderId="0">
      <alignment vertical="center"/>
    </xf>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7" fontId="1" fillId="0" borderId="0" applyFont="0" applyFill="0" applyBorder="0" applyAlignment="0" applyProtection="0"/>
    <xf numFmtId="178" fontId="12" fillId="0" borderId="0" applyFont="0" applyFill="0" applyBorder="0" applyAlignment="0" applyProtection="0"/>
    <xf numFmtId="177" fontId="12"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 fillId="0" borderId="0" applyFont="0" applyFill="0" applyBorder="0" applyAlignment="0" applyProtection="0"/>
    <xf numFmtId="178" fontId="16" fillId="0" borderId="0" applyFont="0" applyFill="0" applyBorder="0" applyAlignment="0" applyProtection="0"/>
    <xf numFmtId="177" fontId="1" fillId="0" borderId="0" applyFont="0" applyFill="0" applyBorder="0" applyAlignment="0" applyProtection="0"/>
    <xf numFmtId="178" fontId="17" fillId="0" borderId="0" applyFont="0" applyFill="0" applyBorder="0" applyAlignment="0" applyProtection="0"/>
    <xf numFmtId="0" fontId="17" fillId="0" borderId="0"/>
    <xf numFmtId="187" fontId="17" fillId="0" borderId="0" applyFont="0" applyFill="0" applyBorder="0" applyAlignment="0" applyProtection="0"/>
    <xf numFmtId="0" fontId="17" fillId="0" borderId="0"/>
    <xf numFmtId="183"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xf numFmtId="183" fontId="20" fillId="0" borderId="0"/>
    <xf numFmtId="183" fontId="13" fillId="0" borderId="0">
      <alignment vertical="center"/>
    </xf>
    <xf numFmtId="183" fontId="21" fillId="0" borderId="0">
      <protection locked="0"/>
    </xf>
    <xf numFmtId="189" fontId="22" fillId="0" borderId="0"/>
    <xf numFmtId="183" fontId="22" fillId="0" borderId="0"/>
    <xf numFmtId="183" fontId="23" fillId="0" borderId="0">
      <protection locked="0"/>
    </xf>
    <xf numFmtId="183" fontId="1" fillId="0" borderId="0">
      <alignment vertical="center"/>
    </xf>
    <xf numFmtId="183" fontId="1" fillId="0" borderId="0">
      <alignment vertical="center"/>
    </xf>
    <xf numFmtId="183" fontId="1" fillId="0" borderId="0"/>
    <xf numFmtId="190" fontId="1" fillId="0" borderId="0">
      <alignment vertical="center"/>
    </xf>
    <xf numFmtId="43" fontId="1" fillId="0" borderId="0" applyFont="0" applyFill="0" applyBorder="0" applyAlignment="0" applyProtection="0"/>
    <xf numFmtId="183"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xf numFmtId="183" fontId="13" fillId="0" borderId="0">
      <alignment vertical="center"/>
    </xf>
    <xf numFmtId="183" fontId="1" fillId="0" borderId="0">
      <alignment vertical="center"/>
    </xf>
    <xf numFmtId="183" fontId="1" fillId="0" borderId="0">
      <alignment vertical="center"/>
    </xf>
    <xf numFmtId="183" fontId="1" fillId="0" borderId="0"/>
    <xf numFmtId="183" fontId="1" fillId="0" borderId="0">
      <alignment vertical="center"/>
    </xf>
    <xf numFmtId="178" fontId="1" fillId="0" borderId="0" applyFont="0" applyFill="0" applyBorder="0" applyAlignment="0" applyProtection="0"/>
    <xf numFmtId="183" fontId="1" fillId="0" borderId="0">
      <alignment vertical="center"/>
    </xf>
    <xf numFmtId="191" fontId="1" fillId="0" borderId="0">
      <alignment vertical="center"/>
    </xf>
    <xf numFmtId="0" fontId="1" fillId="0" borderId="0">
      <alignment vertical="center"/>
    </xf>
    <xf numFmtId="9" fontId="1" fillId="0" borderId="0" applyFont="0" applyFill="0" applyBorder="0" applyAlignment="0" applyProtection="0"/>
    <xf numFmtId="178" fontId="1" fillId="0" borderId="0" applyFont="0" applyFill="0" applyBorder="0" applyAlignment="0" applyProtection="0"/>
    <xf numFmtId="0" fontId="18" fillId="0" borderId="0"/>
    <xf numFmtId="183" fontId="5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90" fontId="1" fillId="0" borderId="0">
      <alignment vertical="center"/>
    </xf>
    <xf numFmtId="183" fontId="52" fillId="0" borderId="0"/>
    <xf numFmtId="189" fontId="53" fillId="0" borderId="0"/>
    <xf numFmtId="183" fontId="53" fillId="0" borderId="0"/>
    <xf numFmtId="218" fontId="1" fillId="0" borderId="0">
      <alignment vertical="center"/>
    </xf>
    <xf numFmtId="183" fontId="54" fillId="0" borderId="0">
      <protection locked="0"/>
    </xf>
    <xf numFmtId="218" fontId="1" fillId="0" borderId="0">
      <alignment vertical="center"/>
    </xf>
    <xf numFmtId="43"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183" fontId="1" fillId="0" borderId="0">
      <alignment vertical="center"/>
    </xf>
    <xf numFmtId="0" fontId="18" fillId="0" borderId="0"/>
    <xf numFmtId="183" fontId="1" fillId="0" borderId="0">
      <alignment vertical="center"/>
    </xf>
    <xf numFmtId="178" fontId="1" fillId="0" borderId="0" applyFont="0" applyFill="0" applyBorder="0" applyAlignment="0" applyProtection="0"/>
    <xf numFmtId="43" fontId="1" fillId="0" borderId="0" applyFont="0" applyFill="0" applyBorder="0" applyAlignment="0" applyProtection="0"/>
    <xf numFmtId="218" fontId="1" fillId="0" borderId="0">
      <alignment vertical="center"/>
    </xf>
    <xf numFmtId="183" fontId="1" fillId="0" borderId="0"/>
    <xf numFmtId="218" fontId="1" fillId="0" borderId="0">
      <alignment vertical="center"/>
    </xf>
    <xf numFmtId="43" fontId="1" fillId="0" borderId="0" applyFont="0" applyFill="0" applyBorder="0" applyAlignment="0" applyProtection="0">
      <alignment vertical="center"/>
    </xf>
  </cellStyleXfs>
  <cellXfs count="442">
    <xf numFmtId="0" fontId="0" fillId="0" borderId="0" xfId="0"/>
    <xf numFmtId="0" fontId="2" fillId="0" borderId="0" xfId="0" applyFont="1"/>
    <xf numFmtId="17" fontId="3" fillId="2" borderId="1" xfId="0" applyNumberFormat="1" applyFont="1" applyFill="1" applyBorder="1" applyAlignment="1">
      <alignment horizontal="center"/>
    </xf>
    <xf numFmtId="178" fontId="0" fillId="0" borderId="0" xfId="0" applyNumberFormat="1"/>
    <xf numFmtId="0" fontId="5" fillId="3" borderId="0" xfId="0" applyFont="1" applyFill="1" applyAlignment="1">
      <alignment horizontal="centerContinuous"/>
    </xf>
    <xf numFmtId="178" fontId="0" fillId="0" borderId="0" xfId="1" applyFont="1"/>
    <xf numFmtId="0" fontId="7" fillId="5" borderId="0" xfId="0" applyFont="1" applyFill="1" applyAlignment="1">
      <alignment vertical="center"/>
    </xf>
    <xf numFmtId="0" fontId="7" fillId="5" borderId="0" xfId="0" applyFont="1" applyFill="1" applyAlignment="1">
      <alignment horizontal="left"/>
    </xf>
    <xf numFmtId="0" fontId="0" fillId="0" borderId="0" xfId="0" applyAlignment="1">
      <alignment vertical="center" wrapText="1"/>
    </xf>
    <xf numFmtId="179" fontId="0" fillId="0" borderId="0" xfId="2" applyNumberFormat="1" applyFont="1"/>
    <xf numFmtId="0" fontId="0" fillId="0" borderId="2" xfId="0" applyBorder="1"/>
    <xf numFmtId="0" fontId="6" fillId="4"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2" fillId="0" borderId="0" xfId="0" applyFont="1" applyAlignment="1">
      <alignment horizontal="center"/>
    </xf>
    <xf numFmtId="0" fontId="2" fillId="0" borderId="0" xfId="0" applyFont="1" applyAlignment="1">
      <alignment wrapText="1"/>
    </xf>
    <xf numFmtId="0" fontId="10" fillId="8" borderId="0" xfId="0" applyFont="1" applyFill="1" applyAlignment="1">
      <alignment horizontal="center"/>
    </xf>
    <xf numFmtId="178" fontId="2" fillId="0" borderId="0" xfId="1" applyFont="1" applyFill="1"/>
    <xf numFmtId="0" fontId="2" fillId="6" borderId="2" xfId="0" applyFont="1" applyFill="1" applyBorder="1" applyAlignment="1">
      <alignment horizontal="center"/>
    </xf>
    <xf numFmtId="0" fontId="2" fillId="0" borderId="2" xfId="0" applyFont="1" applyBorder="1" applyAlignment="1">
      <alignment wrapText="1"/>
    </xf>
    <xf numFmtId="179" fontId="10" fillId="9" borderId="0" xfId="2" applyNumberFormat="1" applyFont="1" applyFill="1"/>
    <xf numFmtId="0" fontId="7" fillId="10" borderId="0" xfId="0" applyFont="1" applyFill="1" applyAlignment="1">
      <alignment vertical="center"/>
    </xf>
    <xf numFmtId="0" fontId="7" fillId="10" borderId="0" xfId="0" applyFont="1" applyFill="1" applyAlignment="1">
      <alignment horizontal="left" vertical="center"/>
    </xf>
    <xf numFmtId="0" fontId="7" fillId="10" borderId="0" xfId="0" applyFont="1" applyFill="1" applyAlignment="1">
      <alignment horizontal="left"/>
    </xf>
    <xf numFmtId="0" fontId="0" fillId="0" borderId="0" xfId="0" applyAlignment="1">
      <alignment horizontal="left"/>
    </xf>
    <xf numFmtId="0" fontId="7" fillId="10" borderId="2" xfId="0" applyFont="1" applyFill="1" applyBorder="1" applyAlignment="1">
      <alignment horizontal="left" vertical="center"/>
    </xf>
    <xf numFmtId="0" fontId="7" fillId="10" borderId="2" xfId="0" applyFont="1" applyFill="1" applyBorder="1" applyAlignment="1">
      <alignment vertical="center"/>
    </xf>
    <xf numFmtId="0" fontId="7" fillId="10" borderId="2" xfId="0" applyFont="1" applyFill="1" applyBorder="1" applyAlignment="1">
      <alignment horizontal="left"/>
    </xf>
    <xf numFmtId="0" fontId="7" fillId="5" borderId="0" xfId="0" applyFont="1" applyFill="1" applyAlignment="1">
      <alignment horizontal="left" vertical="center"/>
    </xf>
    <xf numFmtId="0" fontId="7" fillId="11" borderId="0" xfId="0" applyFont="1" applyFill="1" applyAlignment="1">
      <alignment horizontal="left" vertical="center"/>
    </xf>
    <xf numFmtId="0" fontId="7" fillId="11" borderId="0" xfId="0" applyFont="1" applyFill="1" applyAlignment="1">
      <alignment vertical="center"/>
    </xf>
    <xf numFmtId="0" fontId="7" fillId="11" borderId="0" xfId="0" applyFont="1" applyFill="1"/>
    <xf numFmtId="180" fontId="7" fillId="11" borderId="0" xfId="1" applyNumberFormat="1" applyFont="1" applyFill="1" applyBorder="1"/>
    <xf numFmtId="181" fontId="7" fillId="11" borderId="0" xfId="0" applyNumberFormat="1" applyFont="1" applyFill="1"/>
    <xf numFmtId="0" fontId="7" fillId="11" borderId="0" xfId="0" applyFont="1" applyFill="1" applyAlignment="1">
      <alignment horizontal="left"/>
    </xf>
    <xf numFmtId="0" fontId="6" fillId="4" borderId="0" xfId="0" applyFont="1" applyFill="1" applyAlignment="1">
      <alignment horizontal="left"/>
    </xf>
    <xf numFmtId="0" fontId="10" fillId="12" borderId="0" xfId="0" applyFont="1" applyFill="1" applyAlignment="1">
      <alignment vertical="center"/>
    </xf>
    <xf numFmtId="0" fontId="11" fillId="12" borderId="0" xfId="0" applyFont="1" applyFill="1"/>
    <xf numFmtId="17" fontId="4" fillId="12" borderId="1" xfId="0" applyNumberFormat="1" applyFont="1" applyFill="1" applyBorder="1" applyAlignment="1">
      <alignment horizontal="center" vertical="center"/>
    </xf>
    <xf numFmtId="17" fontId="4" fillId="12" borderId="1" xfId="0" applyNumberFormat="1" applyFont="1" applyFill="1" applyBorder="1" applyAlignment="1">
      <alignment horizontal="center"/>
    </xf>
    <xf numFmtId="0" fontId="7" fillId="5" borderId="2" xfId="0" applyFont="1" applyFill="1" applyBorder="1" applyAlignment="1">
      <alignment horizontal="left" vertical="center"/>
    </xf>
    <xf numFmtId="0" fontId="7" fillId="5" borderId="2" xfId="0" applyFont="1" applyFill="1" applyBorder="1" applyAlignment="1">
      <alignment vertical="center"/>
    </xf>
    <xf numFmtId="0" fontId="7" fillId="5" borderId="2" xfId="0" applyFont="1" applyFill="1" applyBorder="1" applyAlignment="1">
      <alignment horizontal="left"/>
    </xf>
    <xf numFmtId="180" fontId="7" fillId="11" borderId="0" xfId="1" applyNumberFormat="1" applyFont="1" applyFill="1"/>
    <xf numFmtId="0" fontId="7" fillId="5" borderId="0" xfId="0" applyFont="1" applyFill="1"/>
    <xf numFmtId="180" fontId="7" fillId="5" borderId="0" xfId="1" applyNumberFormat="1" applyFont="1" applyFill="1"/>
    <xf numFmtId="0" fontId="0" fillId="14" borderId="0" xfId="0" applyFill="1"/>
    <xf numFmtId="0" fontId="0" fillId="14" borderId="0" xfId="0" applyFill="1" applyAlignment="1">
      <alignment horizontal="left"/>
    </xf>
    <xf numFmtId="179" fontId="0" fillId="0" borderId="0" xfId="0" applyNumberFormat="1"/>
    <xf numFmtId="0" fontId="11" fillId="15" borderId="0" xfId="0" applyFont="1" applyFill="1"/>
    <xf numFmtId="179" fontId="11" fillId="15" borderId="0" xfId="0" applyNumberFormat="1" applyFont="1" applyFill="1"/>
    <xf numFmtId="0" fontId="19" fillId="13" borderId="0" xfId="0" applyFont="1" applyFill="1"/>
    <xf numFmtId="0" fontId="10" fillId="16" borderId="0" xfId="0" applyFont="1" applyFill="1" applyAlignment="1">
      <alignment wrapText="1"/>
    </xf>
    <xf numFmtId="177" fontId="0" fillId="0" borderId="0" xfId="0" applyNumberFormat="1"/>
    <xf numFmtId="178" fontId="10" fillId="17" borderId="0" xfId="0" applyNumberFormat="1" applyFont="1" applyFill="1"/>
    <xf numFmtId="192" fontId="0" fillId="0" borderId="0" xfId="0" applyNumberFormat="1"/>
    <xf numFmtId="0" fontId="11" fillId="0" borderId="0" xfId="0" applyFont="1"/>
    <xf numFmtId="179" fontId="11" fillId="0" borderId="0" xfId="0" applyNumberFormat="1" applyFont="1"/>
    <xf numFmtId="193" fontId="0" fillId="0" borderId="0" xfId="0" applyNumberFormat="1"/>
    <xf numFmtId="0" fontId="10" fillId="18" borderId="0" xfId="0" applyFont="1" applyFill="1" applyAlignment="1">
      <alignment vertical="center"/>
    </xf>
    <xf numFmtId="0" fontId="10" fillId="18" borderId="0" xfId="0" applyFont="1" applyFill="1" applyAlignment="1">
      <alignment horizontal="center"/>
    </xf>
    <xf numFmtId="0" fontId="10" fillId="18" borderId="0" xfId="0" applyFont="1" applyFill="1"/>
    <xf numFmtId="0" fontId="2" fillId="19" borderId="0" xfId="0" applyFont="1" applyFill="1" applyAlignment="1">
      <alignment vertical="center"/>
    </xf>
    <xf numFmtId="0" fontId="2" fillId="19" borderId="0" xfId="0" applyFont="1" applyFill="1" applyAlignment="1">
      <alignment horizontal="center" vertical="center"/>
    </xf>
    <xf numFmtId="0" fontId="24" fillId="20" borderId="0" xfId="0" applyFont="1" applyFill="1" applyAlignment="1">
      <alignment horizontal="center"/>
    </xf>
    <xf numFmtId="0" fontId="25" fillId="20" borderId="0" xfId="0" applyFont="1" applyFill="1"/>
    <xf numFmtId="178" fontId="25" fillId="20" borderId="0" xfId="0" applyNumberFormat="1" applyFont="1" applyFill="1"/>
    <xf numFmtId="178" fontId="24" fillId="20" borderId="0" xfId="0" applyNumberFormat="1" applyFont="1" applyFill="1"/>
    <xf numFmtId="9" fontId="0" fillId="0" borderId="0" xfId="177" applyFont="1"/>
    <xf numFmtId="0" fontId="10" fillId="0" borderId="0" xfId="0" applyFont="1" applyAlignment="1">
      <alignment wrapText="1"/>
    </xf>
    <xf numFmtId="17" fontId="4" fillId="18" borderId="0" xfId="0" applyNumberFormat="1" applyFont="1" applyFill="1" applyAlignment="1">
      <alignment horizontal="center" vertical="center"/>
    </xf>
    <xf numFmtId="0" fontId="0" fillId="21" borderId="0" xfId="0" applyFill="1"/>
    <xf numFmtId="193" fontId="0" fillId="21" borderId="0" xfId="2" applyNumberFormat="1" applyFont="1" applyFill="1"/>
    <xf numFmtId="193" fontId="0" fillId="21" borderId="0" xfId="0" applyNumberFormat="1" applyFill="1"/>
    <xf numFmtId="0" fontId="11" fillId="21" borderId="0" xfId="0" applyFont="1" applyFill="1"/>
    <xf numFmtId="179" fontId="11" fillId="21" borderId="0" xfId="0" applyNumberFormat="1" applyFont="1" applyFill="1"/>
    <xf numFmtId="0" fontId="10" fillId="21" borderId="0" xfId="0" applyFont="1" applyFill="1" applyAlignment="1">
      <alignment wrapText="1"/>
    </xf>
    <xf numFmtId="194" fontId="0" fillId="0" borderId="0" xfId="0" applyNumberFormat="1"/>
    <xf numFmtId="194" fontId="0" fillId="21" borderId="0" xfId="2" applyNumberFormat="1" applyFont="1" applyFill="1"/>
    <xf numFmtId="194" fontId="0" fillId="21" borderId="0" xfId="0" applyNumberFormat="1" applyFill="1"/>
    <xf numFmtId="0" fontId="11" fillId="18" borderId="0" xfId="0" applyFont="1" applyFill="1" applyAlignment="1">
      <alignment vertical="center"/>
    </xf>
    <xf numFmtId="17" fontId="26" fillId="18" borderId="0" xfId="0" applyNumberFormat="1" applyFont="1" applyFill="1" applyAlignment="1">
      <alignment horizontal="center" vertical="center"/>
    </xf>
    <xf numFmtId="0" fontId="11" fillId="18" borderId="0" xfId="0" applyFont="1" applyFill="1"/>
    <xf numFmtId="0" fontId="28" fillId="10" borderId="0" xfId="0" applyFont="1" applyFill="1" applyAlignment="1">
      <alignment vertical="center"/>
    </xf>
    <xf numFmtId="0" fontId="28" fillId="10" borderId="0" xfId="0" applyFont="1" applyFill="1" applyAlignment="1">
      <alignment horizontal="left"/>
    </xf>
    <xf numFmtId="0" fontId="0" fillId="0" borderId="0" xfId="0" applyAlignment="1">
      <alignment vertical="center"/>
    </xf>
    <xf numFmtId="180" fontId="8" fillId="11" borderId="0" xfId="1" applyNumberFormat="1" applyFont="1" applyFill="1"/>
    <xf numFmtId="196" fontId="0" fillId="0" borderId="0" xfId="0" applyNumberFormat="1"/>
    <xf numFmtId="180" fontId="0" fillId="0" borderId="0" xfId="0" applyNumberFormat="1"/>
    <xf numFmtId="0" fontId="8" fillId="11" borderId="0" xfId="0" applyFont="1" applyFill="1" applyAlignment="1">
      <alignment horizontal="left" vertical="center"/>
    </xf>
    <xf numFmtId="0" fontId="8" fillId="11" borderId="0" xfId="0" applyFont="1" applyFill="1" applyAlignment="1">
      <alignment vertical="center"/>
    </xf>
    <xf numFmtId="0" fontId="8" fillId="11" borderId="0" xfId="0" applyFont="1" applyFill="1" applyAlignment="1">
      <alignment horizontal="left"/>
    </xf>
    <xf numFmtId="0" fontId="8" fillId="5" borderId="0" xfId="0" applyFont="1" applyFill="1" applyAlignment="1">
      <alignment horizontal="left" vertical="center"/>
    </xf>
    <xf numFmtId="0" fontId="8" fillId="5" borderId="0" xfId="0" applyFont="1" applyFill="1" applyAlignment="1">
      <alignment vertical="center"/>
    </xf>
    <xf numFmtId="0" fontId="8" fillId="5" borderId="0" xfId="0" applyFont="1" applyFill="1" applyAlignment="1">
      <alignment horizontal="left"/>
    </xf>
    <xf numFmtId="180" fontId="8" fillId="5" borderId="0" xfId="1" applyNumberFormat="1" applyFont="1" applyFill="1"/>
    <xf numFmtId="0" fontId="2" fillId="0" borderId="2" xfId="0" applyFont="1" applyBorder="1"/>
    <xf numFmtId="181" fontId="0" fillId="14" borderId="0" xfId="0" applyNumberFormat="1" applyFill="1"/>
    <xf numFmtId="197" fontId="0" fillId="14" borderId="0" xfId="0" applyNumberFormat="1" applyFill="1"/>
    <xf numFmtId="0" fontId="31" fillId="0" borderId="0" xfId="0" applyFont="1"/>
    <xf numFmtId="0" fontId="31" fillId="6" borderId="0" xfId="0" applyFont="1" applyFill="1" applyAlignment="1">
      <alignment horizontal="center"/>
    </xf>
    <xf numFmtId="0" fontId="8" fillId="10" borderId="0" xfId="0" applyFont="1" applyFill="1" applyAlignment="1">
      <alignment horizontal="left" vertical="center"/>
    </xf>
    <xf numFmtId="0" fontId="8" fillId="10" borderId="0" xfId="0" applyFont="1" applyFill="1" applyAlignment="1">
      <alignment vertical="center"/>
    </xf>
    <xf numFmtId="0" fontId="8" fillId="10" borderId="0" xfId="0" applyFont="1" applyFill="1" applyAlignment="1">
      <alignment horizontal="left"/>
    </xf>
    <xf numFmtId="0" fontId="0" fillId="0" borderId="0" xfId="0" applyAlignment="1">
      <alignment horizontal="right"/>
    </xf>
    <xf numFmtId="198" fontId="0" fillId="0" borderId="0" xfId="0" applyNumberFormat="1"/>
    <xf numFmtId="180" fontId="8" fillId="25" borderId="0" xfId="1" applyNumberFormat="1" applyFont="1" applyFill="1"/>
    <xf numFmtId="180" fontId="7" fillId="11" borderId="0" xfId="1" applyNumberFormat="1" applyFont="1" applyFill="1" applyAlignment="1">
      <alignment horizontal="left"/>
    </xf>
    <xf numFmtId="0" fontId="2" fillId="23" borderId="0" xfId="0" applyFont="1" applyFill="1"/>
    <xf numFmtId="0" fontId="2" fillId="23" borderId="0" xfId="0" applyFont="1" applyFill="1" applyAlignment="1">
      <alignment horizontal="center"/>
    </xf>
    <xf numFmtId="0" fontId="19" fillId="26" borderId="0" xfId="0" applyFont="1" applyFill="1"/>
    <xf numFmtId="0" fontId="0" fillId="23" borderId="0" xfId="0" applyFill="1"/>
    <xf numFmtId="195" fontId="33" fillId="27" borderId="3" xfId="0" applyNumberFormat="1" applyFont="1" applyFill="1" applyBorder="1" applyAlignment="1">
      <alignment horizontal="center" vertical="center"/>
    </xf>
    <xf numFmtId="178" fontId="8" fillId="10" borderId="0" xfId="1" applyFont="1" applyFill="1"/>
    <xf numFmtId="178" fontId="9" fillId="6" borderId="0" xfId="1" applyFont="1" applyFill="1"/>
    <xf numFmtId="178" fontId="8" fillId="10" borderId="2" xfId="1" applyFont="1" applyFill="1" applyBorder="1"/>
    <xf numFmtId="178" fontId="9" fillId="6" borderId="2" xfId="1" applyFont="1" applyFill="1" applyBorder="1"/>
    <xf numFmtId="180" fontId="8" fillId="10" borderId="0" xfId="1" applyNumberFormat="1" applyFont="1" applyFill="1"/>
    <xf numFmtId="180" fontId="9" fillId="6" borderId="0" xfId="1" applyNumberFormat="1" applyFont="1" applyFill="1"/>
    <xf numFmtId="180" fontId="7" fillId="10" borderId="0" xfId="1" applyNumberFormat="1" applyFont="1" applyFill="1"/>
    <xf numFmtId="180" fontId="7" fillId="10" borderId="2" xfId="1" applyNumberFormat="1" applyFont="1" applyFill="1" applyBorder="1"/>
    <xf numFmtId="180" fontId="8" fillId="10" borderId="2" xfId="1" applyNumberFormat="1" applyFont="1" applyFill="1" applyBorder="1"/>
    <xf numFmtId="180" fontId="9" fillId="6" borderId="2" xfId="1" applyNumberFormat="1" applyFont="1" applyFill="1" applyBorder="1"/>
    <xf numFmtId="180" fontId="0" fillId="0" borderId="0" xfId="1" applyNumberFormat="1" applyFont="1"/>
    <xf numFmtId="178" fontId="8" fillId="5" borderId="0" xfId="1" applyFont="1" applyFill="1"/>
    <xf numFmtId="178" fontId="7" fillId="11" borderId="0" xfId="1" applyFont="1" applyFill="1"/>
    <xf numFmtId="0" fontId="34" fillId="11" borderId="0" xfId="0" applyFont="1" applyFill="1" applyAlignment="1">
      <alignment horizontal="left" vertical="center"/>
    </xf>
    <xf numFmtId="0" fontId="34" fillId="11" borderId="0" xfId="0" applyFont="1" applyFill="1" applyAlignment="1">
      <alignment vertical="center"/>
    </xf>
    <xf numFmtId="0" fontId="34" fillId="11" borderId="0" xfId="0" applyFont="1" applyFill="1" applyAlignment="1">
      <alignment horizontal="left"/>
    </xf>
    <xf numFmtId="180" fontId="34" fillId="11" borderId="0" xfId="1" applyNumberFormat="1" applyFont="1" applyFill="1"/>
    <xf numFmtId="180" fontId="8" fillId="5" borderId="2" xfId="1" applyNumberFormat="1" applyFont="1" applyFill="1" applyBorder="1"/>
    <xf numFmtId="0" fontId="19" fillId="25" borderId="0" xfId="0" applyFont="1" applyFill="1"/>
    <xf numFmtId="0" fontId="0" fillId="28" borderId="0" xfId="0" applyFill="1"/>
    <xf numFmtId="0" fontId="7" fillId="13" borderId="0" xfId="0" applyFont="1" applyFill="1" applyAlignment="1">
      <alignment horizontal="left"/>
    </xf>
    <xf numFmtId="180" fontId="28" fillId="10" borderId="0" xfId="1" applyNumberFormat="1" applyFont="1" applyFill="1"/>
    <xf numFmtId="0" fontId="28" fillId="10" borderId="0" xfId="0" applyFont="1" applyFill="1" applyAlignment="1">
      <alignment horizontal="left" vertical="center"/>
    </xf>
    <xf numFmtId="199" fontId="0" fillId="0" borderId="0" xfId="0" applyNumberFormat="1"/>
    <xf numFmtId="0" fontId="0" fillId="28" borderId="0" xfId="0" applyFill="1" applyAlignment="1">
      <alignment horizontal="center"/>
    </xf>
    <xf numFmtId="180" fontId="8" fillId="29" borderId="0" xfId="1" applyNumberFormat="1" applyFont="1" applyFill="1"/>
    <xf numFmtId="0" fontId="4" fillId="30" borderId="0" xfId="0" applyFont="1" applyFill="1" applyAlignment="1">
      <alignment horizontal="center" vertical="center"/>
    </xf>
    <xf numFmtId="180" fontId="8" fillId="31" borderId="0" xfId="1" applyNumberFormat="1" applyFont="1" applyFill="1"/>
    <xf numFmtId="180" fontId="0" fillId="28" borderId="0" xfId="0" applyNumberFormat="1" applyFill="1"/>
    <xf numFmtId="200" fontId="0" fillId="0" borderId="0" xfId="0" applyNumberFormat="1"/>
    <xf numFmtId="0" fontId="0" fillId="0" borderId="0" xfId="0" applyAlignment="1">
      <alignment horizontal="center"/>
    </xf>
    <xf numFmtId="201" fontId="0" fillId="0" borderId="0" xfId="0" applyNumberFormat="1"/>
    <xf numFmtId="177" fontId="0" fillId="0" borderId="0" xfId="2" applyFont="1"/>
    <xf numFmtId="201" fontId="0" fillId="0" borderId="0" xfId="2" applyNumberFormat="1" applyFont="1"/>
    <xf numFmtId="0" fontId="28" fillId="10" borderId="2" xfId="0" applyFont="1" applyFill="1" applyBorder="1" applyAlignment="1">
      <alignment vertical="center"/>
    </xf>
    <xf numFmtId="0" fontId="6" fillId="4" borderId="0" xfId="0" applyFont="1" applyFill="1" applyAlignment="1">
      <alignment horizontal="center" vertical="center"/>
    </xf>
    <xf numFmtId="17" fontId="3" fillId="2" borderId="1" xfId="0" applyNumberFormat="1" applyFont="1" applyFill="1" applyBorder="1" applyAlignment="1">
      <alignment horizontal="center" vertical="center"/>
    </xf>
    <xf numFmtId="0" fontId="2" fillId="0" borderId="0" xfId="0" applyFont="1" applyAlignment="1">
      <alignment horizontal="center" vertical="center"/>
    </xf>
    <xf numFmtId="0" fontId="5" fillId="3" borderId="0" xfId="0" applyFont="1" applyFill="1" applyAlignment="1">
      <alignment horizontal="center" vertical="center"/>
    </xf>
    <xf numFmtId="0" fontId="0" fillId="0" borderId="0" xfId="0" applyAlignment="1">
      <alignment horizontal="center" vertical="center"/>
    </xf>
    <xf numFmtId="0" fontId="35" fillId="6" borderId="0" xfId="0" applyFont="1" applyFill="1" applyAlignment="1">
      <alignment horizontal="center"/>
    </xf>
    <xf numFmtId="0" fontId="36" fillId="0" borderId="0" xfId="0" applyFont="1" applyAlignment="1">
      <alignment horizontal="center"/>
    </xf>
    <xf numFmtId="0" fontId="37" fillId="0" borderId="0" xfId="0" applyFont="1" applyAlignment="1">
      <alignment horizontal="center"/>
    </xf>
    <xf numFmtId="17" fontId="4" fillId="32" borderId="1" xfId="0" applyNumberFormat="1" applyFont="1" applyFill="1" applyBorder="1" applyAlignment="1">
      <alignment horizontal="center"/>
    </xf>
    <xf numFmtId="0" fontId="7" fillId="33" borderId="0" xfId="0" applyFont="1" applyFill="1" applyAlignment="1">
      <alignment horizontal="left"/>
    </xf>
    <xf numFmtId="0" fontId="7" fillId="33" borderId="2" xfId="0" applyFont="1" applyFill="1" applyBorder="1" applyAlignment="1">
      <alignment horizontal="left"/>
    </xf>
    <xf numFmtId="0" fontId="7" fillId="33" borderId="0" xfId="0" applyFont="1" applyFill="1" applyAlignment="1">
      <alignment horizontal="left" vertical="center"/>
    </xf>
    <xf numFmtId="0" fontId="0" fillId="2" borderId="0" xfId="0" applyFill="1" applyAlignment="1">
      <alignment horizontal="left"/>
    </xf>
    <xf numFmtId="0" fontId="7" fillId="33" borderId="0" xfId="0" applyFont="1" applyFill="1"/>
    <xf numFmtId="180" fontId="8" fillId="5" borderId="0" xfId="1" applyNumberFormat="1" applyFont="1" applyFill="1" applyBorder="1"/>
    <xf numFmtId="180" fontId="8" fillId="10" borderId="0" xfId="1" applyNumberFormat="1" applyFont="1" applyFill="1" applyBorder="1"/>
    <xf numFmtId="180" fontId="9" fillId="6" borderId="0" xfId="1" applyNumberFormat="1" applyFont="1" applyFill="1" applyBorder="1"/>
    <xf numFmtId="180" fontId="7" fillId="34" borderId="0" xfId="1" applyNumberFormat="1" applyFont="1" applyFill="1" applyBorder="1" applyAlignment="1">
      <alignment horizontal="left"/>
    </xf>
    <xf numFmtId="0" fontId="7" fillId="34" borderId="0" xfId="0" applyFont="1" applyFill="1"/>
    <xf numFmtId="0" fontId="0" fillId="35" borderId="0" xfId="0" applyFill="1" applyAlignment="1">
      <alignment horizontal="left"/>
    </xf>
    <xf numFmtId="180" fontId="8" fillId="34" borderId="0" xfId="1" applyNumberFormat="1" applyFont="1" applyFill="1" applyBorder="1"/>
    <xf numFmtId="180" fontId="9" fillId="35" borderId="0" xfId="1" applyNumberFormat="1" applyFont="1" applyFill="1" applyBorder="1"/>
    <xf numFmtId="0" fontId="7" fillId="34" borderId="0" xfId="0" applyFont="1" applyFill="1" applyAlignment="1">
      <alignment horizontal="left"/>
    </xf>
    <xf numFmtId="199" fontId="8" fillId="34" borderId="0" xfId="1" applyNumberFormat="1" applyFont="1" applyFill="1" applyBorder="1"/>
    <xf numFmtId="199" fontId="9" fillId="35" borderId="0" xfId="1" applyNumberFormat="1" applyFont="1" applyFill="1" applyBorder="1"/>
    <xf numFmtId="180" fontId="8" fillId="34" borderId="2" xfId="1" applyNumberFormat="1" applyFont="1" applyFill="1" applyBorder="1"/>
    <xf numFmtId="180" fontId="9" fillId="35" borderId="2" xfId="1" applyNumberFormat="1" applyFont="1" applyFill="1" applyBorder="1"/>
    <xf numFmtId="180" fontId="7" fillId="34" borderId="2" xfId="1" applyNumberFormat="1" applyFont="1" applyFill="1" applyBorder="1" applyAlignment="1">
      <alignment horizontal="left"/>
    </xf>
    <xf numFmtId="199" fontId="8" fillId="34" borderId="2" xfId="1" applyNumberFormat="1" applyFont="1" applyFill="1" applyBorder="1"/>
    <xf numFmtId="199" fontId="9" fillId="35" borderId="2" xfId="1" applyNumberFormat="1" applyFont="1" applyFill="1" applyBorder="1"/>
    <xf numFmtId="199" fontId="0" fillId="0" borderId="2" xfId="0" applyNumberFormat="1" applyBorder="1"/>
    <xf numFmtId="197" fontId="0" fillId="0" borderId="0" xfId="0" applyNumberFormat="1"/>
    <xf numFmtId="201" fontId="10" fillId="9" borderId="0" xfId="2" applyNumberFormat="1" applyFont="1" applyFill="1"/>
    <xf numFmtId="202" fontId="7" fillId="34" borderId="0" xfId="1" applyNumberFormat="1" applyFont="1" applyFill="1" applyAlignment="1">
      <alignment horizontal="left"/>
    </xf>
    <xf numFmtId="202" fontId="7" fillId="34" borderId="0" xfId="1" applyNumberFormat="1" applyFont="1" applyFill="1" applyBorder="1" applyAlignment="1">
      <alignment horizontal="left"/>
    </xf>
    <xf numFmtId="202" fontId="28" fillId="34" borderId="0" xfId="1" applyNumberFormat="1" applyFont="1" applyFill="1" applyBorder="1" applyAlignment="1">
      <alignment horizontal="left"/>
    </xf>
    <xf numFmtId="202" fontId="7" fillId="34" borderId="2" xfId="1" applyNumberFormat="1" applyFont="1" applyFill="1" applyBorder="1" applyAlignment="1">
      <alignment horizontal="left"/>
    </xf>
    <xf numFmtId="202" fontId="7" fillId="34" borderId="0" xfId="1" applyNumberFormat="1" applyFont="1" applyFill="1"/>
    <xf numFmtId="202" fontId="7" fillId="36" borderId="0" xfId="1" applyNumberFormat="1" applyFont="1" applyFill="1" applyBorder="1" applyAlignment="1">
      <alignment horizontal="left"/>
    </xf>
    <xf numFmtId="202" fontId="28" fillId="36" borderId="0" xfId="1" applyNumberFormat="1" applyFont="1" applyFill="1" applyBorder="1" applyAlignment="1">
      <alignment horizontal="left"/>
    </xf>
    <xf numFmtId="0" fontId="38" fillId="21" borderId="0" xfId="0" applyFont="1" applyFill="1"/>
    <xf numFmtId="179" fontId="38" fillId="21" borderId="0" xfId="0" applyNumberFormat="1" applyFont="1" applyFill="1" applyAlignment="1">
      <alignment wrapText="1"/>
    </xf>
    <xf numFmtId="179" fontId="38" fillId="21" borderId="0" xfId="0" applyNumberFormat="1" applyFont="1" applyFill="1"/>
    <xf numFmtId="194" fontId="38" fillId="21" borderId="0" xfId="0" applyNumberFormat="1" applyFont="1" applyFill="1"/>
    <xf numFmtId="0" fontId="38" fillId="0" borderId="0" xfId="0" applyFont="1"/>
    <xf numFmtId="203" fontId="0" fillId="0" borderId="0" xfId="0" applyNumberFormat="1"/>
    <xf numFmtId="0" fontId="38" fillId="21" borderId="0" xfId="0" applyFont="1" applyFill="1" applyAlignment="1">
      <alignment vertical="center"/>
    </xf>
    <xf numFmtId="180" fontId="7" fillId="37" borderId="0" xfId="1" applyNumberFormat="1" applyFont="1" applyFill="1"/>
    <xf numFmtId="199" fontId="7" fillId="37" borderId="0" xfId="1" applyNumberFormat="1" applyFont="1" applyFill="1"/>
    <xf numFmtId="179" fontId="38" fillId="21" borderId="0" xfId="0" applyNumberFormat="1" applyFont="1" applyFill="1" applyAlignment="1">
      <alignment horizontal="left" vertical="center" wrapText="1"/>
    </xf>
    <xf numFmtId="17" fontId="3" fillId="2" borderId="0" xfId="0" applyNumberFormat="1" applyFont="1" applyFill="1" applyAlignment="1">
      <alignment horizontal="center" vertical="center"/>
    </xf>
    <xf numFmtId="179" fontId="6" fillId="4" borderId="0" xfId="2" applyNumberFormat="1" applyFont="1" applyFill="1" applyAlignment="1">
      <alignment horizontal="center" vertical="center"/>
    </xf>
    <xf numFmtId="0" fontId="6" fillId="38" borderId="0" xfId="0" applyFont="1" applyFill="1" applyAlignment="1">
      <alignment horizontal="center" vertical="center"/>
    </xf>
    <xf numFmtId="179" fontId="6" fillId="38" borderId="0" xfId="2" applyNumberFormat="1" applyFont="1" applyFill="1" applyAlignment="1">
      <alignment horizontal="center" vertical="center"/>
    </xf>
    <xf numFmtId="180" fontId="6" fillId="4" borderId="0" xfId="2" applyNumberFormat="1" applyFont="1" applyFill="1" applyAlignment="1">
      <alignment horizontal="center" vertical="center"/>
    </xf>
    <xf numFmtId="180" fontId="8" fillId="13" borderId="0" xfId="1" applyNumberFormat="1" applyFont="1" applyFill="1"/>
    <xf numFmtId="180" fontId="8" fillId="26" borderId="0" xfId="1" applyNumberFormat="1" applyFont="1" applyFill="1"/>
    <xf numFmtId="0" fontId="7" fillId="34" borderId="2" xfId="0" applyFont="1" applyFill="1" applyBorder="1" applyAlignment="1">
      <alignment horizontal="left"/>
    </xf>
    <xf numFmtId="180" fontId="9" fillId="35" borderId="0" xfId="1" applyNumberFormat="1" applyFont="1" applyFill="1"/>
    <xf numFmtId="178" fontId="8" fillId="34" borderId="0" xfId="1" applyFont="1" applyFill="1" applyBorder="1"/>
    <xf numFmtId="201" fontId="6" fillId="4" borderId="0" xfId="2" applyNumberFormat="1" applyFont="1" applyFill="1" applyAlignment="1">
      <alignment horizontal="center" vertical="center"/>
    </xf>
    <xf numFmtId="178" fontId="6" fillId="4" borderId="0" xfId="2" applyNumberFormat="1" applyFont="1" applyFill="1" applyAlignment="1">
      <alignment horizontal="center" vertical="center"/>
    </xf>
    <xf numFmtId="201" fontId="6" fillId="38" borderId="0" xfId="2" applyNumberFormat="1" applyFont="1" applyFill="1" applyAlignment="1">
      <alignment horizontal="center" vertical="center"/>
    </xf>
    <xf numFmtId="203" fontId="6" fillId="38" borderId="0" xfId="2" applyNumberFormat="1" applyFont="1" applyFill="1" applyAlignment="1">
      <alignment horizontal="center" vertical="center"/>
    </xf>
    <xf numFmtId="203" fontId="10" fillId="9" borderId="0" xfId="2" applyNumberFormat="1" applyFont="1" applyFill="1"/>
    <xf numFmtId="179" fontId="29" fillId="0" borderId="0" xfId="0" applyNumberFormat="1" applyFont="1"/>
    <xf numFmtId="0" fontId="19" fillId="0" borderId="0" xfId="0" applyFont="1"/>
    <xf numFmtId="180" fontId="0" fillId="14" borderId="0" xfId="1" applyNumberFormat="1" applyFont="1" applyFill="1"/>
    <xf numFmtId="199" fontId="0" fillId="14" borderId="0" xfId="1" applyNumberFormat="1" applyFont="1" applyFill="1"/>
    <xf numFmtId="0" fontId="39" fillId="14" borderId="0" xfId="0" applyFont="1" applyFill="1"/>
    <xf numFmtId="0" fontId="39" fillId="14" borderId="0" xfId="0" applyFont="1" applyFill="1" applyAlignment="1">
      <alignment horizontal="left"/>
    </xf>
    <xf numFmtId="195" fontId="39" fillId="14" borderId="0" xfId="0" applyNumberFormat="1" applyFont="1" applyFill="1"/>
    <xf numFmtId="199" fontId="7" fillId="25" borderId="0" xfId="1" applyNumberFormat="1" applyFont="1" applyFill="1"/>
    <xf numFmtId="195" fontId="0" fillId="14" borderId="0" xfId="0" applyNumberFormat="1" applyFill="1"/>
    <xf numFmtId="0" fontId="41" fillId="13" borderId="0" xfId="0" applyFont="1" applyFill="1"/>
    <xf numFmtId="199" fontId="8" fillId="11" borderId="0" xfId="1" applyNumberFormat="1" applyFont="1" applyFill="1"/>
    <xf numFmtId="0" fontId="40" fillId="14" borderId="0" xfId="0" applyFont="1" applyFill="1"/>
    <xf numFmtId="0" fontId="40" fillId="28" borderId="0" xfId="0" applyFont="1" applyFill="1"/>
    <xf numFmtId="199" fontId="0" fillId="0" borderId="0" xfId="1" applyNumberFormat="1" applyFont="1"/>
    <xf numFmtId="0" fontId="6" fillId="38" borderId="0" xfId="0" applyFont="1" applyFill="1" applyAlignment="1">
      <alignment horizontal="left" vertical="center"/>
    </xf>
    <xf numFmtId="0" fontId="10" fillId="16" borderId="0" xfId="0" applyFont="1" applyFill="1" applyAlignment="1">
      <alignment vertical="center" wrapText="1"/>
    </xf>
    <xf numFmtId="199" fontId="7" fillId="11" borderId="0" xfId="1" applyNumberFormat="1" applyFont="1" applyFill="1"/>
    <xf numFmtId="204" fontId="0" fillId="0" borderId="0" xfId="0" applyNumberFormat="1"/>
    <xf numFmtId="204" fontId="0" fillId="0" borderId="0" xfId="1" applyNumberFormat="1" applyFont="1"/>
    <xf numFmtId="2" fontId="0" fillId="0" borderId="0" xfId="0" applyNumberFormat="1"/>
    <xf numFmtId="205" fontId="0" fillId="14" borderId="0" xfId="0" applyNumberFormat="1" applyFill="1"/>
    <xf numFmtId="203" fontId="6" fillId="4" borderId="0" xfId="2" applyNumberFormat="1" applyFont="1" applyFill="1" applyAlignment="1">
      <alignment horizontal="center" vertical="center"/>
    </xf>
    <xf numFmtId="206" fontId="6" fillId="38" borderId="0" xfId="2" applyNumberFormat="1" applyFont="1" applyFill="1" applyAlignment="1">
      <alignment horizontal="center" vertical="center"/>
    </xf>
    <xf numFmtId="207" fontId="0" fillId="14" borderId="0" xfId="1" applyNumberFormat="1" applyFont="1" applyFill="1"/>
    <xf numFmtId="207" fontId="7" fillId="11" borderId="0" xfId="1" applyNumberFormat="1" applyFont="1" applyFill="1"/>
    <xf numFmtId="207" fontId="0" fillId="14" borderId="0" xfId="0" applyNumberFormat="1" applyFill="1"/>
    <xf numFmtId="180" fontId="7" fillId="28" borderId="0" xfId="1" applyNumberFormat="1" applyFont="1" applyFill="1"/>
    <xf numFmtId="0" fontId="9" fillId="0" borderId="0" xfId="0" applyFont="1" applyAlignment="1">
      <alignment horizontal="left" vertical="center" wrapText="1"/>
    </xf>
    <xf numFmtId="0" fontId="9" fillId="0" borderId="0" xfId="0" applyFont="1" applyAlignment="1">
      <alignment vertical="center" wrapText="1"/>
    </xf>
    <xf numFmtId="0" fontId="9" fillId="32" borderId="0" xfId="0" applyFont="1" applyFill="1" applyAlignment="1">
      <alignment vertical="center" wrapText="1"/>
    </xf>
    <xf numFmtId="178" fontId="9" fillId="0" borderId="0" xfId="1" applyFont="1" applyAlignment="1">
      <alignment vertical="center" wrapText="1"/>
    </xf>
    <xf numFmtId="208" fontId="9" fillId="32" borderId="0" xfId="0" applyNumberFormat="1" applyFont="1" applyFill="1" applyAlignment="1">
      <alignment vertical="center" wrapText="1"/>
    </xf>
    <xf numFmtId="180" fontId="9" fillId="0" borderId="0" xfId="1" applyNumberFormat="1" applyFont="1" applyAlignment="1">
      <alignment vertical="center" wrapText="1"/>
    </xf>
    <xf numFmtId="209" fontId="9" fillId="0" borderId="0" xfId="1" applyNumberFormat="1" applyFont="1" applyAlignment="1">
      <alignment vertical="center" wrapText="1"/>
    </xf>
    <xf numFmtId="180" fontId="9" fillId="32" borderId="0" xfId="1" applyNumberFormat="1" applyFont="1" applyFill="1" applyAlignment="1">
      <alignment vertical="center" wrapText="1"/>
    </xf>
    <xf numFmtId="0" fontId="3" fillId="39" borderId="4" xfId="0" applyFont="1" applyFill="1" applyBorder="1" applyAlignment="1">
      <alignment horizontal="left" vertical="center" wrapText="1"/>
    </xf>
    <xf numFmtId="0" fontId="3" fillId="39" borderId="5" xfId="0" applyFont="1" applyFill="1" applyBorder="1" applyAlignment="1">
      <alignment horizontal="left" vertical="center" wrapText="1"/>
    </xf>
    <xf numFmtId="0" fontId="3" fillId="39" borderId="5" xfId="0" applyFont="1" applyFill="1" applyBorder="1" applyAlignment="1">
      <alignment horizontal="center" vertical="center" wrapText="1"/>
    </xf>
    <xf numFmtId="0" fontId="3" fillId="39" borderId="6" xfId="0" applyFont="1" applyFill="1" applyBorder="1" applyAlignment="1">
      <alignment horizontal="center" vertical="center" wrapText="1"/>
    </xf>
    <xf numFmtId="0" fontId="3" fillId="39" borderId="0" xfId="0" applyFont="1" applyFill="1" applyAlignment="1">
      <alignment horizontal="center" vertical="center" wrapText="1"/>
    </xf>
    <xf numFmtId="0" fontId="3" fillId="0" borderId="0" xfId="0" applyFont="1" applyAlignment="1">
      <alignment horizontal="left" vertical="center" wrapText="1"/>
    </xf>
    <xf numFmtId="210" fontId="3" fillId="0" borderId="0" xfId="0" applyNumberFormat="1" applyFont="1" applyAlignment="1">
      <alignment horizontal="left" vertical="center" wrapText="1"/>
    </xf>
    <xf numFmtId="0" fontId="3" fillId="32" borderId="0" xfId="0" applyFont="1" applyFill="1" applyAlignment="1">
      <alignment horizontal="center" vertical="center" wrapText="1"/>
    </xf>
    <xf numFmtId="208" fontId="3" fillId="0" borderId="0" xfId="0" applyNumberFormat="1" applyFont="1" applyAlignment="1">
      <alignment horizontal="center" vertical="center" wrapText="1"/>
    </xf>
    <xf numFmtId="208" fontId="3" fillId="32" borderId="0" xfId="0" applyNumberFormat="1" applyFont="1" applyFill="1" applyAlignment="1">
      <alignment horizontal="center" vertical="center" wrapText="1"/>
    </xf>
    <xf numFmtId="211"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39" borderId="7" xfId="0" applyFont="1" applyFill="1" applyBorder="1" applyAlignment="1">
      <alignment horizontal="left" vertical="center" wrapText="1"/>
    </xf>
    <xf numFmtId="0" fontId="3" fillId="39" borderId="8" xfId="0" applyFont="1" applyFill="1" applyBorder="1" applyAlignment="1">
      <alignment horizontal="left" vertical="center" wrapText="1"/>
    </xf>
    <xf numFmtId="0" fontId="3" fillId="39" borderId="8" xfId="0" applyFont="1" applyFill="1" applyBorder="1" applyAlignment="1">
      <alignment horizontal="center" vertical="center" wrapText="1"/>
    </xf>
    <xf numFmtId="0" fontId="3" fillId="39" borderId="9" xfId="0" applyFont="1" applyFill="1" applyBorder="1" applyAlignment="1">
      <alignment horizontal="center" vertical="center" wrapText="1"/>
    </xf>
    <xf numFmtId="0" fontId="9" fillId="32" borderId="0" xfId="0" applyFont="1" applyFill="1" applyAlignment="1">
      <alignment horizontal="left" vertical="center" wrapText="1"/>
    </xf>
    <xf numFmtId="208" fontId="42" fillId="0" borderId="0" xfId="0" applyNumberFormat="1" applyFont="1" applyAlignment="1">
      <alignment horizontal="center" vertical="center" wrapText="1"/>
    </xf>
    <xf numFmtId="208" fontId="43" fillId="0" borderId="0" xfId="0" applyNumberFormat="1" applyFont="1" applyAlignment="1">
      <alignment horizontal="center" vertical="center" wrapText="1"/>
    </xf>
    <xf numFmtId="0" fontId="42" fillId="0" borderId="0" xfId="0" applyFont="1" applyAlignment="1">
      <alignment horizontal="center" vertical="center" wrapText="1"/>
    </xf>
    <xf numFmtId="0" fontId="43" fillId="0" borderId="0" xfId="0" applyFont="1" applyAlignment="1">
      <alignment horizontal="center" vertical="center" wrapText="1"/>
    </xf>
    <xf numFmtId="17" fontId="44" fillId="0" borderId="0" xfId="0" applyNumberFormat="1" applyFont="1" applyAlignment="1">
      <alignment horizontal="center" vertical="center" wrapText="1"/>
    </xf>
    <xf numFmtId="0" fontId="44" fillId="0" borderId="0" xfId="0" applyFont="1" applyAlignment="1">
      <alignment horizontal="center" vertical="center" wrapText="1"/>
    </xf>
    <xf numFmtId="17" fontId="4" fillId="32" borderId="1" xfId="0" applyNumberFormat="1" applyFont="1" applyFill="1" applyBorder="1" applyAlignment="1">
      <alignment horizontal="center" vertical="center" wrapText="1"/>
    </xf>
    <xf numFmtId="17" fontId="3" fillId="2" borderId="1" xfId="0" applyNumberFormat="1" applyFont="1" applyFill="1" applyBorder="1" applyAlignment="1">
      <alignment horizontal="center" vertical="center" wrapText="1"/>
    </xf>
    <xf numFmtId="17" fontId="3" fillId="14" borderId="1" xfId="0" applyNumberFormat="1" applyFont="1" applyFill="1" applyBorder="1" applyAlignment="1">
      <alignment horizontal="center" vertical="center" wrapText="1"/>
    </xf>
    <xf numFmtId="17" fontId="3" fillId="28" borderId="1" xfId="0" applyNumberFormat="1" applyFont="1" applyFill="1" applyBorder="1" applyAlignment="1">
      <alignment horizontal="center" vertical="center" wrapText="1"/>
    </xf>
    <xf numFmtId="202" fontId="44" fillId="40" borderId="0" xfId="1" applyNumberFormat="1" applyFont="1" applyFill="1" applyAlignment="1">
      <alignment horizontal="left" vertical="center" wrapText="1"/>
    </xf>
    <xf numFmtId="202" fontId="3" fillId="40" borderId="0" xfId="1" applyNumberFormat="1" applyFont="1" applyFill="1" applyAlignment="1">
      <alignment horizontal="right" vertical="center" wrapText="1"/>
    </xf>
    <xf numFmtId="202" fontId="44" fillId="40" borderId="0" xfId="1" applyNumberFormat="1" applyFont="1" applyFill="1" applyAlignment="1">
      <alignment horizontal="right" vertical="center"/>
    </xf>
    <xf numFmtId="202" fontId="44" fillId="40" borderId="0" xfId="1" applyNumberFormat="1" applyFont="1" applyFill="1" applyAlignment="1">
      <alignment horizontal="left" vertical="center"/>
    </xf>
    <xf numFmtId="202" fontId="44" fillId="32" borderId="0" xfId="1" applyNumberFormat="1" applyFont="1" applyFill="1" applyAlignment="1">
      <alignment horizontal="right" vertical="center" wrapText="1"/>
    </xf>
    <xf numFmtId="202" fontId="44" fillId="40" borderId="0" xfId="1" applyNumberFormat="1" applyFont="1" applyFill="1" applyBorder="1" applyAlignment="1">
      <alignment horizontal="right" vertical="center" wrapText="1"/>
    </xf>
    <xf numFmtId="212" fontId="44" fillId="40" borderId="0" xfId="1" applyNumberFormat="1" applyFont="1" applyFill="1" applyBorder="1" applyAlignment="1">
      <alignment horizontal="right" vertical="center" wrapText="1"/>
    </xf>
    <xf numFmtId="213" fontId="44" fillId="40" borderId="0" xfId="1" applyNumberFormat="1" applyFont="1" applyFill="1" applyBorder="1" applyAlignment="1">
      <alignment horizontal="right" vertical="center" wrapText="1"/>
    </xf>
    <xf numFmtId="202" fontId="44" fillId="32" borderId="0" xfId="1" applyNumberFormat="1" applyFont="1" applyFill="1" applyBorder="1" applyAlignment="1">
      <alignment horizontal="right" vertical="center" wrapText="1"/>
    </xf>
    <xf numFmtId="202" fontId="3" fillId="40" borderId="0" xfId="1" applyNumberFormat="1" applyFont="1" applyFill="1" applyAlignment="1">
      <alignment horizontal="right" vertical="center"/>
    </xf>
    <xf numFmtId="202" fontId="44" fillId="40" borderId="0" xfId="1" applyNumberFormat="1" applyFont="1" applyFill="1" applyAlignment="1">
      <alignment horizontal="right" vertical="center" wrapText="1"/>
    </xf>
    <xf numFmtId="202" fontId="30" fillId="0" borderId="0" xfId="1" applyNumberFormat="1" applyFont="1" applyFill="1" applyAlignment="1">
      <alignment horizontal="left" vertical="center" wrapText="1"/>
    </xf>
    <xf numFmtId="202" fontId="8" fillId="0" borderId="0" xfId="1" applyNumberFormat="1" applyFont="1" applyFill="1" applyAlignment="1">
      <alignment horizontal="left" vertical="center" wrapText="1"/>
    </xf>
    <xf numFmtId="202" fontId="30" fillId="0" borderId="0" xfId="1" applyNumberFormat="1" applyFont="1" applyFill="1" applyAlignment="1">
      <alignment horizontal="right" vertical="center" wrapText="1"/>
    </xf>
    <xf numFmtId="202" fontId="30" fillId="0" borderId="0" xfId="1" applyNumberFormat="1" applyFont="1" applyFill="1" applyAlignment="1">
      <alignment horizontal="right" vertical="center"/>
    </xf>
    <xf numFmtId="202" fontId="8" fillId="0" borderId="0" xfId="1" applyNumberFormat="1" applyFont="1" applyFill="1" applyAlignment="1">
      <alignment horizontal="right" vertical="center" wrapText="1"/>
    </xf>
    <xf numFmtId="202" fontId="30" fillId="41" borderId="0" xfId="1" applyNumberFormat="1" applyFont="1" applyFill="1" applyAlignment="1">
      <alignment horizontal="right" vertical="center" wrapText="1"/>
    </xf>
    <xf numFmtId="202" fontId="30" fillId="28" borderId="0" xfId="1" applyNumberFormat="1" applyFont="1" applyFill="1" applyAlignment="1">
      <alignment horizontal="right" vertical="center" wrapText="1"/>
    </xf>
    <xf numFmtId="202" fontId="30" fillId="32" borderId="0" xfId="1" applyNumberFormat="1" applyFont="1" applyFill="1" applyAlignment="1">
      <alignment horizontal="right" vertical="center" wrapText="1"/>
    </xf>
    <xf numFmtId="202" fontId="30" fillId="41" borderId="0" xfId="1" applyNumberFormat="1" applyFont="1" applyFill="1" applyAlignment="1">
      <alignment horizontal="right" vertical="center"/>
    </xf>
    <xf numFmtId="202" fontId="30" fillId="28" borderId="0" xfId="1" applyNumberFormat="1" applyFont="1" applyFill="1" applyAlignment="1">
      <alignment horizontal="right" vertical="center"/>
    </xf>
    <xf numFmtId="202" fontId="30" fillId="0" borderId="0" xfId="1" applyNumberFormat="1" applyFont="1" applyAlignment="1">
      <alignment horizontal="left" vertical="center" wrapText="1"/>
    </xf>
    <xf numFmtId="202" fontId="8" fillId="32" borderId="0" xfId="1" applyNumberFormat="1" applyFont="1" applyFill="1" applyAlignment="1">
      <alignment horizontal="right" vertical="center" wrapText="1"/>
    </xf>
    <xf numFmtId="202" fontId="30" fillId="0" borderId="0" xfId="1" applyNumberFormat="1" applyFont="1" applyAlignment="1">
      <alignment horizontal="right" vertical="center" wrapText="1"/>
    </xf>
    <xf numFmtId="202" fontId="30" fillId="40" borderId="0" xfId="1" applyNumberFormat="1" applyFont="1" applyFill="1" applyAlignment="1">
      <alignment horizontal="right" vertical="center" wrapText="1"/>
    </xf>
    <xf numFmtId="202" fontId="30" fillId="40" borderId="0" xfId="1" applyNumberFormat="1" applyFont="1" applyFill="1" applyAlignment="1">
      <alignment horizontal="left" vertical="center" wrapText="1"/>
    </xf>
    <xf numFmtId="202" fontId="44" fillId="0" borderId="0" xfId="1" applyNumberFormat="1" applyFont="1" applyFill="1" applyAlignment="1">
      <alignment horizontal="right" vertical="center" wrapText="1"/>
    </xf>
    <xf numFmtId="202" fontId="30" fillId="14" borderId="0" xfId="1" applyNumberFormat="1" applyFont="1" applyFill="1" applyAlignment="1">
      <alignment horizontal="right" vertical="center" wrapText="1"/>
    </xf>
    <xf numFmtId="202" fontId="30" fillId="0" borderId="0" xfId="1" applyNumberFormat="1" applyFont="1" applyAlignment="1">
      <alignment horizontal="right" vertical="center"/>
    </xf>
    <xf numFmtId="202" fontId="30" fillId="40" borderId="0" xfId="1" applyNumberFormat="1" applyFont="1" applyFill="1" applyAlignment="1">
      <alignment horizontal="right" vertical="center"/>
    </xf>
    <xf numFmtId="202" fontId="44" fillId="28" borderId="0" xfId="1" applyNumberFormat="1" applyFont="1" applyFill="1" applyBorder="1" applyAlignment="1">
      <alignment horizontal="right" vertical="center" wrapText="1"/>
    </xf>
    <xf numFmtId="202" fontId="44" fillId="0" borderId="0" xfId="1" applyNumberFormat="1" applyFont="1" applyFill="1" applyAlignment="1">
      <alignment horizontal="left" vertical="center" wrapText="1"/>
    </xf>
    <xf numFmtId="212" fontId="3" fillId="40" borderId="0" xfId="1" applyNumberFormat="1" applyFont="1" applyFill="1" applyAlignment="1">
      <alignment horizontal="right" vertical="center"/>
    </xf>
    <xf numFmtId="202" fontId="46" fillId="0" borderId="0" xfId="1" applyNumberFormat="1" applyFont="1" applyFill="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vertical="center" wrapText="1"/>
    </xf>
    <xf numFmtId="0" fontId="30" fillId="32" borderId="0" xfId="0" applyFont="1" applyFill="1" applyAlignment="1">
      <alignment vertical="center" wrapText="1"/>
    </xf>
    <xf numFmtId="208" fontId="30" fillId="0" borderId="0" xfId="0" applyNumberFormat="1" applyFont="1" applyAlignment="1">
      <alignment vertical="center" wrapText="1"/>
    </xf>
    <xf numFmtId="208" fontId="30" fillId="32" borderId="0" xfId="0" applyNumberFormat="1" applyFont="1" applyFill="1" applyAlignment="1">
      <alignment vertical="center" wrapText="1"/>
    </xf>
    <xf numFmtId="208" fontId="9" fillId="0" borderId="0" xfId="0" applyNumberFormat="1" applyFont="1" applyAlignment="1">
      <alignment vertical="center" wrapText="1"/>
    </xf>
    <xf numFmtId="0" fontId="8" fillId="25" borderId="0" xfId="0" applyFont="1" applyFill="1" applyAlignment="1">
      <alignment vertical="center"/>
    </xf>
    <xf numFmtId="199" fontId="7" fillId="34" borderId="0" xfId="1" applyNumberFormat="1" applyFont="1" applyFill="1"/>
    <xf numFmtId="180" fontId="7" fillId="34" borderId="0" xfId="1" applyNumberFormat="1" applyFont="1" applyFill="1"/>
    <xf numFmtId="180" fontId="8" fillId="34" borderId="0" xfId="1" applyNumberFormat="1" applyFont="1" applyFill="1"/>
    <xf numFmtId="0" fontId="28" fillId="11" borderId="0" xfId="0" applyFont="1" applyFill="1"/>
    <xf numFmtId="0" fontId="28" fillId="11" borderId="0" xfId="0" applyFont="1" applyFill="1" applyAlignment="1">
      <alignment horizontal="left"/>
    </xf>
    <xf numFmtId="17" fontId="4" fillId="42" borderId="1" xfId="0" applyNumberFormat="1" applyFont="1" applyFill="1" applyBorder="1" applyAlignment="1">
      <alignment horizontal="center"/>
    </xf>
    <xf numFmtId="199" fontId="0" fillId="0" borderId="0" xfId="1" applyNumberFormat="1" applyFont="1" applyAlignment="1">
      <alignment horizontal="center" vertical="center"/>
    </xf>
    <xf numFmtId="199" fontId="0" fillId="0" borderId="0" xfId="1" applyNumberFormat="1" applyFont="1" applyAlignment="1">
      <alignment vertical="center"/>
    </xf>
    <xf numFmtId="199" fontId="0" fillId="0" borderId="0" xfId="1" applyNumberFormat="1" applyFont="1" applyAlignment="1">
      <alignment vertical="center" wrapText="1"/>
    </xf>
    <xf numFmtId="199" fontId="0" fillId="39" borderId="0" xfId="1" applyNumberFormat="1" applyFont="1" applyFill="1" applyAlignment="1">
      <alignment horizontal="center" vertical="center"/>
    </xf>
    <xf numFmtId="199" fontId="0" fillId="43" borderId="0" xfId="1" applyNumberFormat="1" applyFont="1" applyFill="1" applyAlignment="1">
      <alignment horizontal="center" vertical="center" wrapText="1"/>
    </xf>
    <xf numFmtId="201" fontId="11" fillId="15" borderId="0" xfId="0" applyNumberFormat="1" applyFont="1" applyFill="1"/>
    <xf numFmtId="199" fontId="2" fillId="0" borderId="0" xfId="1" applyNumberFormat="1" applyFont="1" applyAlignment="1">
      <alignment vertical="center" wrapText="1"/>
    </xf>
    <xf numFmtId="199" fontId="2" fillId="0" borderId="0" xfId="1" applyNumberFormat="1" applyFont="1" applyAlignment="1">
      <alignment horizontal="center" vertical="center" wrapText="1"/>
    </xf>
    <xf numFmtId="199" fontId="2" fillId="0" borderId="0" xfId="1" applyNumberFormat="1" applyFont="1" applyAlignment="1">
      <alignment vertical="center"/>
    </xf>
    <xf numFmtId="178" fontId="0" fillId="0" borderId="0" xfId="1" applyFont="1" applyAlignment="1">
      <alignment vertical="center"/>
    </xf>
    <xf numFmtId="179" fontId="49" fillId="38" borderId="0" xfId="2" applyNumberFormat="1" applyFont="1" applyFill="1" applyAlignment="1">
      <alignment horizontal="center" vertical="center"/>
    </xf>
    <xf numFmtId="206" fontId="6" fillId="4" borderId="0" xfId="2" applyNumberFormat="1" applyFont="1" applyFill="1" applyAlignment="1">
      <alignment horizontal="center" vertical="center"/>
    </xf>
    <xf numFmtId="179" fontId="49" fillId="4" borderId="0" xfId="2" applyNumberFormat="1" applyFont="1" applyFill="1" applyAlignment="1">
      <alignment horizontal="center" vertical="center"/>
    </xf>
    <xf numFmtId="0" fontId="2" fillId="0" borderId="0" xfId="0" applyFont="1" applyAlignment="1">
      <alignment vertical="center"/>
    </xf>
    <xf numFmtId="199" fontId="28" fillId="10" borderId="0" xfId="1" applyNumberFormat="1" applyFont="1" applyFill="1"/>
    <xf numFmtId="199" fontId="28" fillId="10" borderId="2" xfId="1" applyNumberFormat="1" applyFont="1" applyFill="1" applyBorder="1"/>
    <xf numFmtId="199" fontId="7" fillId="11" borderId="0" xfId="1" applyNumberFormat="1" applyFont="1" applyFill="1" applyBorder="1"/>
    <xf numFmtId="199" fontId="8" fillId="10" borderId="0" xfId="1" applyNumberFormat="1" applyFont="1" applyFill="1"/>
    <xf numFmtId="0" fontId="3" fillId="24" borderId="0" xfId="0" quotePrefix="1" applyFont="1" applyFill="1" applyAlignment="1">
      <alignment vertical="center"/>
    </xf>
    <xf numFmtId="0" fontId="9" fillId="0" borderId="0" xfId="0" quotePrefix="1" applyFont="1" applyAlignment="1">
      <alignment horizontal="center" vertical="center"/>
    </xf>
    <xf numFmtId="0" fontId="9" fillId="0" borderId="0" xfId="0" quotePrefix="1" applyFont="1" applyAlignment="1">
      <alignment vertical="center"/>
    </xf>
    <xf numFmtId="0" fontId="10" fillId="22" borderId="0" xfId="0" applyFont="1" applyFill="1" applyAlignment="1">
      <alignment horizontal="center" vertical="center"/>
    </xf>
    <xf numFmtId="0" fontId="10" fillId="22" borderId="0" xfId="0" applyFont="1" applyFill="1" applyAlignment="1">
      <alignment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0" fillId="0" borderId="0" xfId="0" applyAlignment="1">
      <alignment horizontal="left" vertical="center"/>
    </xf>
    <xf numFmtId="179" fontId="0" fillId="0" borderId="0" xfId="2" applyNumberFormat="1" applyFont="1" applyAlignment="1">
      <alignment horizontal="left" vertical="center"/>
    </xf>
    <xf numFmtId="193" fontId="0" fillId="0" borderId="0" xfId="0" applyNumberFormat="1" applyAlignment="1">
      <alignment vertical="center"/>
    </xf>
    <xf numFmtId="178" fontId="0" fillId="0" borderId="0" xfId="0" applyNumberFormat="1" applyAlignment="1">
      <alignment vertical="center"/>
    </xf>
    <xf numFmtId="177" fontId="0" fillId="0" borderId="0" xfId="2" applyFont="1" applyAlignment="1">
      <alignment horizontal="left" vertical="center"/>
    </xf>
    <xf numFmtId="179" fontId="0" fillId="0" borderId="0" xfId="0" applyNumberFormat="1" applyAlignment="1">
      <alignment vertical="center"/>
    </xf>
    <xf numFmtId="214" fontId="0" fillId="0" borderId="0" xfId="0" applyNumberFormat="1" applyAlignment="1">
      <alignment vertical="center"/>
    </xf>
    <xf numFmtId="179" fontId="29" fillId="0" borderId="0" xfId="2" applyNumberFormat="1" applyFont="1" applyAlignment="1">
      <alignment horizontal="left" vertical="center"/>
    </xf>
    <xf numFmtId="177" fontId="29" fillId="0" borderId="0" xfId="2" applyFont="1" applyAlignment="1">
      <alignment horizontal="left" vertical="center"/>
    </xf>
    <xf numFmtId="178" fontId="29" fillId="0" borderId="0" xfId="0" applyNumberFormat="1" applyFont="1" applyAlignment="1">
      <alignment vertical="center"/>
    </xf>
    <xf numFmtId="179" fontId="29" fillId="0" borderId="0" xfId="2" applyNumberFormat="1" applyFont="1" applyFill="1" applyAlignment="1">
      <alignment horizontal="left" vertical="center"/>
    </xf>
    <xf numFmtId="177" fontId="0" fillId="0" borderId="0" xfId="0" applyNumberFormat="1" applyAlignment="1">
      <alignment vertical="center"/>
    </xf>
    <xf numFmtId="0" fontId="0" fillId="0" borderId="0" xfId="0" quotePrefix="1" applyAlignment="1">
      <alignment horizontal="center" vertical="center"/>
    </xf>
    <xf numFmtId="0" fontId="32" fillId="0" borderId="0" xfId="0" applyFont="1" applyAlignment="1">
      <alignment horizontal="left" vertical="center"/>
    </xf>
    <xf numFmtId="177" fontId="27" fillId="0" borderId="0" xfId="0" applyNumberFormat="1" applyFont="1" applyAlignment="1">
      <alignment vertical="center"/>
    </xf>
    <xf numFmtId="201" fontId="0" fillId="0" borderId="0" xfId="0" applyNumberFormat="1" applyAlignment="1">
      <alignment vertical="center"/>
    </xf>
    <xf numFmtId="200" fontId="0" fillId="0" borderId="0" xfId="0" applyNumberFormat="1" applyAlignment="1">
      <alignment vertical="center"/>
    </xf>
    <xf numFmtId="193" fontId="10" fillId="22" borderId="0" xfId="0" applyNumberFormat="1" applyFont="1" applyFill="1" applyAlignment="1">
      <alignment vertical="center"/>
    </xf>
    <xf numFmtId="177" fontId="2" fillId="0" borderId="0" xfId="0" applyNumberFormat="1" applyFont="1" applyAlignment="1">
      <alignment vertical="center"/>
    </xf>
    <xf numFmtId="201" fontId="2" fillId="7" borderId="0" xfId="0" applyNumberFormat="1" applyFont="1" applyFill="1" applyAlignment="1">
      <alignment horizontal="center" vertical="center"/>
    </xf>
    <xf numFmtId="179" fontId="0" fillId="0" borderId="0" xfId="2" applyNumberFormat="1" applyFont="1" applyFill="1" applyAlignment="1">
      <alignment horizontal="left" vertical="center"/>
    </xf>
    <xf numFmtId="177" fontId="2" fillId="0" borderId="0" xfId="2" applyFont="1" applyAlignment="1">
      <alignment horizontal="left" vertical="center"/>
    </xf>
    <xf numFmtId="177" fontId="10" fillId="8" borderId="0" xfId="0" applyNumberFormat="1" applyFont="1" applyFill="1" applyAlignment="1">
      <alignment horizontal="left" vertical="center"/>
    </xf>
    <xf numFmtId="180" fontId="7" fillId="25" borderId="0" xfId="1" applyNumberFormat="1" applyFont="1" applyFill="1"/>
    <xf numFmtId="202" fontId="30" fillId="44" borderId="0" xfId="1" applyNumberFormat="1" applyFont="1" applyFill="1" applyAlignment="1">
      <alignment horizontal="right" vertical="center" wrapText="1"/>
    </xf>
    <xf numFmtId="199" fontId="28" fillId="25" borderId="0" xfId="1" applyNumberFormat="1" applyFont="1" applyFill="1"/>
    <xf numFmtId="199" fontId="8" fillId="25" borderId="0" xfId="1" applyNumberFormat="1" applyFont="1" applyFill="1"/>
    <xf numFmtId="199" fontId="8" fillId="29" borderId="0" xfId="1" applyNumberFormat="1" applyFont="1" applyFill="1"/>
    <xf numFmtId="0" fontId="7" fillId="25" borderId="0" xfId="0" applyFont="1" applyFill="1"/>
    <xf numFmtId="0" fontId="7" fillId="36" borderId="0" xfId="0" applyFont="1" applyFill="1" applyAlignment="1">
      <alignment horizontal="left" vertical="center"/>
    </xf>
    <xf numFmtId="180" fontId="7" fillId="39" borderId="0" xfId="1" applyNumberFormat="1" applyFont="1" applyFill="1"/>
    <xf numFmtId="199" fontId="8" fillId="5" borderId="0" xfId="1" applyNumberFormat="1" applyFont="1" applyFill="1"/>
    <xf numFmtId="207" fontId="7" fillId="39" borderId="0" xfId="1" applyNumberFormat="1" applyFont="1" applyFill="1" applyBorder="1"/>
    <xf numFmtId="180" fontId="7" fillId="39" borderId="0" xfId="1" applyNumberFormat="1" applyFont="1" applyFill="1" applyBorder="1"/>
    <xf numFmtId="199" fontId="8" fillId="31" borderId="0" xfId="1" applyNumberFormat="1" applyFont="1" applyFill="1"/>
    <xf numFmtId="207" fontId="7" fillId="39" borderId="0" xfId="1" applyNumberFormat="1" applyFont="1" applyFill="1"/>
    <xf numFmtId="0" fontId="0" fillId="39" borderId="0" xfId="0" applyFill="1"/>
    <xf numFmtId="0" fontId="7" fillId="36" borderId="0" xfId="0" applyFont="1" applyFill="1" applyAlignment="1">
      <alignment vertical="center"/>
    </xf>
    <xf numFmtId="0" fontId="7" fillId="36" borderId="0" xfId="0" applyFont="1" applyFill="1" applyAlignment="1">
      <alignment horizontal="left"/>
    </xf>
    <xf numFmtId="0" fontId="7" fillId="25" borderId="0" xfId="0" applyFont="1" applyFill="1" applyAlignment="1">
      <alignment horizontal="left" vertical="center"/>
    </xf>
    <xf numFmtId="199" fontId="7" fillId="39" borderId="0" xfId="1" applyNumberFormat="1" applyFont="1" applyFill="1"/>
    <xf numFmtId="0" fontId="7" fillId="36" borderId="0" xfId="0" applyFont="1" applyFill="1"/>
    <xf numFmtId="0" fontId="3" fillId="14" borderId="0" xfId="0" applyFont="1" applyFill="1" applyAlignment="1">
      <alignment horizontal="center" vertical="center" wrapText="1"/>
    </xf>
    <xf numFmtId="199" fontId="2" fillId="0" borderId="0" xfId="1" applyNumberFormat="1" applyFont="1" applyAlignment="1">
      <alignment horizontal="left" vertical="center"/>
    </xf>
    <xf numFmtId="176" fontId="0" fillId="0" borderId="0" xfId="0" applyNumberFormat="1" applyAlignment="1">
      <alignment vertical="center"/>
    </xf>
    <xf numFmtId="178" fontId="2" fillId="0" borderId="0" xfId="1" applyFont="1" applyAlignment="1">
      <alignment vertical="center"/>
    </xf>
    <xf numFmtId="176" fontId="2" fillId="0" borderId="0" xfId="0" applyNumberFormat="1" applyFont="1" applyAlignment="1">
      <alignment vertical="center"/>
    </xf>
    <xf numFmtId="0" fontId="44" fillId="40" borderId="0" xfId="1" applyNumberFormat="1" applyFont="1" applyFill="1" applyAlignment="1">
      <alignment horizontal="right" vertical="center"/>
    </xf>
    <xf numFmtId="179" fontId="40" fillId="0" borderId="0" xfId="2" applyNumberFormat="1" applyFont="1"/>
    <xf numFmtId="207" fontId="28" fillId="11" borderId="0" xfId="1" applyNumberFormat="1" applyFont="1" applyFill="1"/>
    <xf numFmtId="0" fontId="8" fillId="25" borderId="0" xfId="0" applyFont="1" applyFill="1" applyAlignment="1">
      <alignment horizontal="left"/>
    </xf>
    <xf numFmtId="180" fontId="28" fillId="25" borderId="0" xfId="1" applyNumberFormat="1" applyFont="1" applyFill="1"/>
    <xf numFmtId="216" fontId="0" fillId="0" borderId="0" xfId="0" applyNumberFormat="1"/>
    <xf numFmtId="216" fontId="0" fillId="0" borderId="2" xfId="0" applyNumberFormat="1" applyBorder="1"/>
    <xf numFmtId="2" fontId="0" fillId="0" borderId="0" xfId="0" applyNumberFormat="1" applyAlignment="1">
      <alignment vertical="center"/>
    </xf>
    <xf numFmtId="215" fontId="0" fillId="0" borderId="0" xfId="0" applyNumberFormat="1"/>
    <xf numFmtId="49" fontId="0" fillId="0" borderId="0" xfId="0" applyNumberFormat="1" applyAlignment="1">
      <alignment horizontal="left" vertical="center" wrapText="1"/>
    </xf>
    <xf numFmtId="217" fontId="0" fillId="0" borderId="0" xfId="0" applyNumberFormat="1"/>
    <xf numFmtId="180" fontId="39" fillId="28" borderId="0" xfId="1" applyNumberFormat="1" applyFont="1" applyFill="1"/>
    <xf numFmtId="209" fontId="7" fillId="11" borderId="0" xfId="1" applyNumberFormat="1" applyFont="1" applyFill="1"/>
    <xf numFmtId="199" fontId="34" fillId="11" borderId="0" xfId="1" applyNumberFormat="1" applyFont="1" applyFill="1"/>
    <xf numFmtId="207" fontId="39" fillId="14" borderId="0" xfId="0" applyNumberFormat="1" applyFont="1" applyFill="1"/>
    <xf numFmtId="219" fontId="7" fillId="11" borderId="0" xfId="1" applyNumberFormat="1" applyFont="1" applyFill="1"/>
    <xf numFmtId="0" fontId="2" fillId="28" borderId="0" xfId="0" applyFont="1" applyFill="1" applyAlignment="1">
      <alignment vertical="center" wrapText="1"/>
    </xf>
    <xf numFmtId="0" fontId="2" fillId="28" borderId="0" xfId="0" applyFont="1" applyFill="1" applyAlignment="1">
      <alignment vertical="center"/>
    </xf>
    <xf numFmtId="177" fontId="0" fillId="45" borderId="0" xfId="2" applyFont="1" applyFill="1" applyAlignment="1">
      <alignment horizontal="left" vertical="center"/>
    </xf>
    <xf numFmtId="177" fontId="29" fillId="45" borderId="0" xfId="2" applyFont="1" applyFill="1" applyAlignment="1">
      <alignment horizontal="left" vertical="center"/>
    </xf>
    <xf numFmtId="0" fontId="2" fillId="45" borderId="0" xfId="0" applyFont="1" applyFill="1" applyAlignment="1">
      <alignment wrapText="1"/>
    </xf>
    <xf numFmtId="0" fontId="2" fillId="45" borderId="0" xfId="0" applyFont="1" applyFill="1" applyAlignment="1">
      <alignment horizontal="center"/>
    </xf>
    <xf numFmtId="0" fontId="7" fillId="46" borderId="0" xfId="0" applyFont="1" applyFill="1"/>
    <xf numFmtId="0" fontId="7" fillId="46" borderId="0" xfId="0" applyFont="1" applyFill="1" applyAlignment="1">
      <alignment horizontal="left" vertical="center"/>
    </xf>
    <xf numFmtId="0" fontId="0" fillId="45" borderId="0" xfId="0" applyFill="1"/>
    <xf numFmtId="180" fontId="34" fillId="46" borderId="0" xfId="1" applyNumberFormat="1" applyFont="1" applyFill="1"/>
    <xf numFmtId="207" fontId="7" fillId="46" borderId="0" xfId="1" applyNumberFormat="1" applyFont="1" applyFill="1"/>
    <xf numFmtId="180" fontId="7" fillId="46" borderId="0" xfId="1" applyNumberFormat="1" applyFont="1" applyFill="1"/>
    <xf numFmtId="179" fontId="50" fillId="9" borderId="0" xfId="2" applyNumberFormat="1" applyFont="1" applyFill="1"/>
    <xf numFmtId="180" fontId="55" fillId="11" borderId="0" xfId="1" applyNumberFormat="1" applyFont="1" applyFill="1"/>
    <xf numFmtId="180" fontId="55" fillId="25" borderId="0" xfId="1" applyNumberFormat="1" applyFont="1" applyFill="1"/>
    <xf numFmtId="180" fontId="55" fillId="5" borderId="0" xfId="1" applyNumberFormat="1" applyFont="1" applyFill="1"/>
    <xf numFmtId="0" fontId="0" fillId="40" borderId="0" xfId="0" applyFill="1"/>
    <xf numFmtId="0" fontId="8" fillId="13" borderId="0" xfId="0" applyFont="1" applyFill="1" applyAlignment="1">
      <alignment horizontal="left"/>
    </xf>
    <xf numFmtId="0" fontId="28" fillId="11" borderId="0" xfId="0" applyFont="1" applyFill="1" applyAlignment="1">
      <alignment horizontal="left" vertical="center"/>
    </xf>
    <xf numFmtId="199" fontId="0" fillId="40" borderId="0" xfId="1" applyNumberFormat="1" applyFont="1" applyFill="1"/>
    <xf numFmtId="180" fontId="0" fillId="40" borderId="0" xfId="1" applyNumberFormat="1" applyFont="1" applyFill="1"/>
    <xf numFmtId="195" fontId="39" fillId="40" borderId="0" xfId="0" applyNumberFormat="1" applyFont="1" applyFill="1"/>
    <xf numFmtId="207" fontId="0" fillId="0" borderId="0" xfId="1" applyNumberFormat="1" applyFont="1"/>
    <xf numFmtId="199" fontId="6" fillId="38" borderId="0" xfId="2" applyNumberFormat="1" applyFont="1" applyFill="1" applyAlignment="1">
      <alignment horizontal="center" vertical="center"/>
    </xf>
    <xf numFmtId="181" fontId="0" fillId="41" borderId="0" xfId="0" applyNumberFormat="1" applyFill="1"/>
    <xf numFmtId="220" fontId="0" fillId="14" borderId="0" xfId="0" applyNumberFormat="1" applyFill="1"/>
    <xf numFmtId="0" fontId="28" fillId="13" borderId="0" xfId="0" applyFont="1" applyFill="1" applyAlignment="1">
      <alignment horizontal="left" vertical="center"/>
    </xf>
    <xf numFmtId="180" fontId="7" fillId="47" borderId="0" xfId="1" applyNumberFormat="1" applyFont="1" applyFill="1"/>
    <xf numFmtId="180" fontId="28" fillId="47" borderId="0" xfId="1" applyNumberFormat="1" applyFont="1" applyFill="1"/>
    <xf numFmtId="180" fontId="56" fillId="11" borderId="0" xfId="1" applyNumberFormat="1" applyFont="1" applyFill="1"/>
    <xf numFmtId="0" fontId="40" fillId="40" borderId="0" xfId="0" applyFont="1" applyFill="1"/>
    <xf numFmtId="0" fontId="10" fillId="22" borderId="0" xfId="0" applyFont="1" applyFill="1" applyAlignment="1">
      <alignment horizontal="center" vertical="center"/>
    </xf>
  </cellXfs>
  <cellStyles count="202">
    <cellStyle name="Comma 10" xfId="3" xr:uid="{D3F13E43-EFED-4DC3-A048-8A005C59A17B}"/>
    <cellStyle name="Comma 10 2" xfId="101" xr:uid="{43189B58-FF14-4CF5-9C05-F8D906DAD84F}"/>
    <cellStyle name="Comma 11" xfId="54" xr:uid="{B9642BBB-A24E-4399-809F-2D595BAA78EF}"/>
    <cellStyle name="Comma 11 2" xfId="115" xr:uid="{5D489A51-C808-4468-BC41-37393C3EB1C7}"/>
    <cellStyle name="Comma 12" xfId="150" xr:uid="{D992D2EA-3B96-4493-B0BA-07CD924CE7F9}"/>
    <cellStyle name="Comma 13" xfId="165" xr:uid="{7E687246-AA79-4C23-BD05-C882C75DFDEF}"/>
    <cellStyle name="Comma 14" xfId="77" xr:uid="{5F41BABB-7A4D-48B8-87B0-844F60570003}"/>
    <cellStyle name="Comma 2" xfId="9" xr:uid="{AA3DF245-8519-434A-B943-60F652F29D7A}"/>
    <cellStyle name="Comma 2 10" xfId="173" xr:uid="{D099D783-F019-442E-B6C9-753AEBC59784}"/>
    <cellStyle name="Comma 2 11" xfId="80" xr:uid="{5CC7F938-7326-4BD3-B5B1-F1EDA245E438}"/>
    <cellStyle name="Comma 2 2" xfId="32" xr:uid="{2F9ECC10-F77E-4F1E-BC96-C20DB4B83C38}"/>
    <cellStyle name="Comma 2 2 2" xfId="64" xr:uid="{4B329554-5DE6-40B9-ADDE-11A75B865B68}"/>
    <cellStyle name="Comma 2 2 2 2" xfId="133" xr:uid="{34A2CC38-4BD2-43A9-B6AD-50C3693F4E48}"/>
    <cellStyle name="Comma 2 2 2 3" xfId="178" xr:uid="{11EFF79F-30B7-4BD6-8060-8537B20A4F28}"/>
    <cellStyle name="Comma 2 2 3" xfId="87" xr:uid="{2C96E475-1719-45A7-A6FA-C9D37E8DF8DA}"/>
    <cellStyle name="Comma 2 2 4" xfId="196" xr:uid="{F27A2124-33E0-4071-A82D-8280E8BCCEF5}"/>
    <cellStyle name="Comma 2 3" xfId="37" xr:uid="{F432B82D-7803-4CDC-9B7F-191CC6ADCF58}"/>
    <cellStyle name="Comma 2 3 2" xfId="69" xr:uid="{653C3F46-C102-4701-A5AE-37E2FE899AB8}"/>
    <cellStyle name="Comma 2 3 2 2" xfId="138" xr:uid="{B8ECB5E5-4932-420B-81D8-8C56E922CE70}"/>
    <cellStyle name="Comma 2 3 3" xfId="92" xr:uid="{3A4B39AC-9D52-4376-B52B-55C712F7D4A0}"/>
    <cellStyle name="Comma 2 4" xfId="39" xr:uid="{E89DF689-7588-4869-826C-AAF8C459EC96}"/>
    <cellStyle name="Comma 2 4 2" xfId="71" xr:uid="{F169FDBB-6C69-4A61-891F-78C98162C591}"/>
    <cellStyle name="Comma 2 4 2 2" xfId="140" xr:uid="{DDE1AF57-C920-4167-BF21-6EBFA6C38F33}"/>
    <cellStyle name="Comma 2 4 3" xfId="94" xr:uid="{2B740BC6-9309-4629-860A-D397170BC485}"/>
    <cellStyle name="Comma 2 5" xfId="40" xr:uid="{E844D421-9E4D-47C7-A793-5EEE3676AA9D}"/>
    <cellStyle name="Comma 2 5 2" xfId="72" xr:uid="{3EB119E4-ACDA-4BA8-BB9D-86BDB365CE02}"/>
    <cellStyle name="Comma 2 5 2 2" xfId="141" xr:uid="{202436A5-CC94-40BB-B0D7-7C5E2AE84BDE}"/>
    <cellStyle name="Comma 2 5 3" xfId="95" xr:uid="{C874676D-2338-4353-8AC9-BE78071E9F62}"/>
    <cellStyle name="Comma 2 6" xfId="51" xr:uid="{07C1CCA4-9A2F-4CBD-9EC4-13A452394B8B}"/>
    <cellStyle name="Comma 2 6 2" xfId="147" xr:uid="{4EB54619-D303-44EF-AA48-C0F9709841F6}"/>
    <cellStyle name="Comma 2 7" xfId="57" xr:uid="{C87955D8-2A51-4DD6-9542-46F87ADF145C}"/>
    <cellStyle name="Comma 2 7 2" xfId="120" xr:uid="{EBB6624A-3E48-40E4-93D9-FFD0DF57A806}"/>
    <cellStyle name="Comma 2 8" xfId="152" xr:uid="{4D6F6940-2A59-4BE8-8FE5-3F3004F0B561}"/>
    <cellStyle name="Comma 2 9" xfId="167" xr:uid="{24B74B4D-8708-4936-8278-5742B1EC975F}"/>
    <cellStyle name="Comma 3" xfId="21" xr:uid="{8B5E3D37-B131-4CB6-9E5F-BDE7D502003C}"/>
    <cellStyle name="Comma 3 2" xfId="34" xr:uid="{DAF785C3-AFA3-4A8B-88C2-C7341642686E}"/>
    <cellStyle name="Comma 3 2 2" xfId="66" xr:uid="{DC6298CB-7EB7-4F79-AFBD-EBF1D591F8FD}"/>
    <cellStyle name="Comma 3 2 2 2" xfId="135" xr:uid="{909B3E04-E123-490F-942D-A3C28A851EFD}"/>
    <cellStyle name="Comma 3 2 3" xfId="89" xr:uid="{6FC6091C-A41D-4C65-8542-7B84669ACEF6}"/>
    <cellStyle name="Comma 3 2 4" xfId="197" xr:uid="{AC28906D-BDCC-47EB-8352-933E03D4954E}"/>
    <cellStyle name="Comma 3 3" xfId="59" xr:uid="{317FF77B-0B8A-4798-8817-9790ECC1FE64}"/>
    <cellStyle name="Comma 3 3 2" xfId="125" xr:uid="{0638BFBE-722C-4368-A935-526128434B1B}"/>
    <cellStyle name="Comma 3 4" xfId="163" xr:uid="{2CDACD12-AD66-40FF-A0FF-4C08109C4051}"/>
    <cellStyle name="Comma 3 5" xfId="82" xr:uid="{8852B1EC-E014-4E39-A374-89C26F7D965E}"/>
    <cellStyle name="Comma 4" xfId="28" xr:uid="{0AA34DD8-6256-4CC6-8181-3BB5D6C2E633}"/>
    <cellStyle name="Comma 4 2" xfId="35" xr:uid="{D5A1E047-4E3F-4506-BDA8-A7EB76955DA9}"/>
    <cellStyle name="Comma 4 2 2" xfId="67" xr:uid="{2EAB7E96-7785-4209-B60C-493A1083ADF8}"/>
    <cellStyle name="Comma 4 2 2 2" xfId="136" xr:uid="{3674CB49-6F9C-4809-889C-57EC65A58891}"/>
    <cellStyle name="Comma 4 2 3" xfId="90" xr:uid="{3A81B7BA-3EA0-4F76-88A1-C59BDCC67817}"/>
    <cellStyle name="Comma 4 3" xfId="60" xr:uid="{5DE5288E-B55F-43CD-8048-5CA966BE6A4C}"/>
    <cellStyle name="Comma 4 3 2" xfId="129" xr:uid="{2C32688E-B536-4D82-B822-F25545542B56}"/>
    <cellStyle name="Comma 4 4" xfId="83" xr:uid="{407BA457-3A6A-4147-B60C-00CC131C044B}"/>
    <cellStyle name="Comma 4 5" xfId="181" xr:uid="{226594F7-7AD5-4042-833E-4C0E61F2E183}"/>
    <cellStyle name="Comma 5" xfId="6" xr:uid="{E983230F-021F-4543-AE31-0831D24E6406}"/>
    <cellStyle name="Comma 5 2" xfId="30" xr:uid="{3375EC5F-9DFC-4C62-92CB-94080E6E0152}"/>
    <cellStyle name="Comma 5 2 2" xfId="62" xr:uid="{C5AAC5B0-1862-434E-9EB3-0814753D9B56}"/>
    <cellStyle name="Comma 5 2 2 2" xfId="131" xr:uid="{7D873927-6D90-4C5A-98D0-B07A8834F9A1}"/>
    <cellStyle name="Comma 5 2 3" xfId="85" xr:uid="{DD283B7F-8038-4055-B1A5-4C75028C0CAC}"/>
    <cellStyle name="Comma 5 3" xfId="55" xr:uid="{27C44206-4E52-4BB9-9195-C963D1815B03}"/>
    <cellStyle name="Comma 5 3 2" xfId="118" xr:uid="{D2B085CE-8098-4E66-B63F-B9B8371182C6}"/>
    <cellStyle name="Comma 5 4" xfId="78" xr:uid="{3D92D3CE-4B33-458B-A26B-6227DEEE47FC}"/>
    <cellStyle name="Comma 6" xfId="29" xr:uid="{201BEE57-E555-4622-9F19-91C6C407A6AD}"/>
    <cellStyle name="Comma 6 2" xfId="61" xr:uid="{740A2347-0885-4728-B548-464500BEC28D}"/>
    <cellStyle name="Comma 6 2 2" xfId="130" xr:uid="{8D1D8492-6D02-47AC-A344-2CAE76F8034E}"/>
    <cellStyle name="Comma 6 3" xfId="84" xr:uid="{326C488C-9A7F-4017-B551-9E9CE03E5CF6}"/>
    <cellStyle name="Comma 7" xfId="41" xr:uid="{33654B06-F8A3-4601-9213-9601C0121FF3}"/>
    <cellStyle name="Comma 7 2" xfId="73" xr:uid="{FB06DE64-6267-4686-9F5B-289FE929FB83}"/>
    <cellStyle name="Comma 7 2 2" xfId="142" xr:uid="{CC30E26D-332C-4CE2-BABC-7B970983FB1E}"/>
    <cellStyle name="Comma 7 3" xfId="96" xr:uid="{C7BDF145-316E-471B-AC58-C61718CF61B1}"/>
    <cellStyle name="Comma 8" xfId="43" xr:uid="{7D2FEA35-D5D9-4EC7-B1B2-9117F2AAB758}"/>
    <cellStyle name="Comma 8 2" xfId="74" xr:uid="{FBE7E2B8-E83D-46E9-9528-925CE33180AB}"/>
    <cellStyle name="Comma 8 2 2" xfId="143" xr:uid="{723C7923-1F8D-45CE-81D8-33E33B6EB4C3}"/>
    <cellStyle name="Comma 8 3" xfId="97" xr:uid="{C807924D-6CD3-42C5-9FDB-B2E61F0DA061}"/>
    <cellStyle name="Comma 9" xfId="46" xr:uid="{8D056C04-6481-46E6-B5A9-FC9757167FAD}"/>
    <cellStyle name="Comma 9 2" xfId="76" xr:uid="{68E79AD3-785C-4C6E-872A-AF297F922766}"/>
    <cellStyle name="Comma 9 2 2" xfId="145" xr:uid="{E78FAD70-F819-4E75-81FD-5B8C928DAFA9}"/>
    <cellStyle name="Comma 9 3" xfId="99" xr:uid="{7E32CE17-4B5D-410F-897B-3F43B094E05F}"/>
    <cellStyle name="Currency 2" xfId="7" xr:uid="{99612246-170A-44CA-A055-5E298D170545}"/>
    <cellStyle name="Currency 2 2" xfId="31" xr:uid="{93A6B2D6-503C-4C4B-B643-23DE14BD7D9F}"/>
    <cellStyle name="Currency 2 2 2" xfId="63" xr:uid="{2D0C38DF-075F-44EE-BCDB-888D08EA7D08}"/>
    <cellStyle name="Currency 2 2 2 2" xfId="132" xr:uid="{168738C7-C907-4C2D-9B32-A118AB10C5A9}"/>
    <cellStyle name="Currency 2 2 3" xfId="86" xr:uid="{0DEBD54E-6702-46F2-9727-6B101D50C580}"/>
    <cellStyle name="Currency 2 3" xfId="56" xr:uid="{29C05611-7DC8-4DD4-92A4-B1343B50B414}"/>
    <cellStyle name="Currency 2 3 2" xfId="119" xr:uid="{FCAAB67C-6CFE-4804-AE66-A6FEE7D96FB2}"/>
    <cellStyle name="Currency 2 4" xfId="79" xr:uid="{086180F0-24C5-40BA-904F-2A02F8BED557}"/>
    <cellStyle name="Currency 3" xfId="10" xr:uid="{E9324A66-E846-4559-93E3-72C509F27BD1}"/>
    <cellStyle name="Currency 3 2" xfId="33" xr:uid="{EA6F3262-AE3D-4C3F-AD13-88079B5AFC7B}"/>
    <cellStyle name="Currency 3 2 2" xfId="65" xr:uid="{BC0EB3CF-2103-48C9-A2FF-6F7C6F07B9C0}"/>
    <cellStyle name="Currency 3 2 2 2" xfId="134" xr:uid="{E43FC430-7D6E-4698-A1B2-5004236B9AE4}"/>
    <cellStyle name="Currency 3 2 3" xfId="88" xr:uid="{89914E21-5F98-4D39-BD13-5E301F3E4F3A}"/>
    <cellStyle name="Currency 3 3" xfId="38" xr:uid="{DCD33C6B-EA3B-44B9-B7DD-1524D5FB6783}"/>
    <cellStyle name="Currency 3 3 2" xfId="70" xr:uid="{2ACA04B5-EA05-4E62-AAC7-046445CDA357}"/>
    <cellStyle name="Currency 3 3 2 2" xfId="139" xr:uid="{A941A586-A871-491C-9A99-82C2AB0D97FC}"/>
    <cellStyle name="Currency 3 3 3" xfId="93" xr:uid="{282CAA96-4BF7-4595-8605-B37B19BB17E6}"/>
    <cellStyle name="Currency 3 4" xfId="58" xr:uid="{EB4CB2DA-42D8-4D3B-B076-C9429FD1F996}"/>
    <cellStyle name="Currency 3 4 2" xfId="121" xr:uid="{338D6F07-0757-4D89-93B9-72C09D33BE40}"/>
    <cellStyle name="Currency 3 5" xfId="81" xr:uid="{3787BE58-9275-471D-A4FA-1097B55CA55A}"/>
    <cellStyle name="Currency 4" xfId="36" xr:uid="{A65DE4BF-F395-440B-92AA-B83927276487}"/>
    <cellStyle name="Currency 4 2" xfId="68" xr:uid="{AF67EF39-9F9D-427F-BF84-74CF4888FC81}"/>
    <cellStyle name="Currency 4 2 2" xfId="137" xr:uid="{A4F57749-272A-4AAC-A286-C56583BE599A}"/>
    <cellStyle name="Currency 4 3" xfId="91" xr:uid="{A7C885ED-D700-443E-AD4E-03FECCF30402}"/>
    <cellStyle name="Currency 5" xfId="44" xr:uid="{615E1D8D-F65F-4FCE-8ABB-A92151659E6A}"/>
    <cellStyle name="Currency 5 2" xfId="144" xr:uid="{674DDA0F-011C-4419-B166-50E11CE98C8E}"/>
    <cellStyle name="Currency 6" xfId="75" xr:uid="{4C842231-1F91-4AD5-AA70-2793DC1C6CDB}"/>
    <cellStyle name="Currency 6 2" xfId="113" xr:uid="{82498D35-D768-48EA-8046-13E725AF09C8}"/>
    <cellStyle name="Currency 7" xfId="98" xr:uid="{B105757F-3661-49B6-9E79-3D2D02642238}"/>
    <cellStyle name="Normal 10" xfId="149" xr:uid="{E2C59C58-261B-4CBC-A022-BD296B056F69}"/>
    <cellStyle name="Normal 11" xfId="164" xr:uid="{76E596CA-45A5-41E3-B2E9-116A1DBB4088}"/>
    <cellStyle name="Normal 12" xfId="8" xr:uid="{D5D49709-A735-463F-9D48-3AA07EFF2242}"/>
    <cellStyle name="Normal 13" xfId="172" xr:uid="{230C589C-51B3-4AFF-AC05-791EED6D9CEF}"/>
    <cellStyle name="Normal 14" xfId="174" xr:uid="{836A0BDC-B6CE-4608-8E9A-5DA2DA741109}"/>
    <cellStyle name="Normal 2" xfId="12" xr:uid="{360531DD-81F1-4EB0-8E0A-15E3D914F3CE}"/>
    <cellStyle name="Normal 2 2" xfId="52" xr:uid="{3B7AEB7D-4A24-40B5-A362-ED02483A85BA}"/>
    <cellStyle name="Normal 2 2 2" xfId="148" xr:uid="{69BC65DB-99CC-4D5E-834D-3771875F253E}"/>
    <cellStyle name="Normal 2 2 2 2" xfId="183" xr:uid="{8AB31FE3-E9C7-4AB6-89D6-1042A9B4F730}"/>
    <cellStyle name="Normal 2 2 3" xfId="162" xr:uid="{43C943C9-A3FE-4720-A96A-502DB842CCE5}"/>
    <cellStyle name="Normal 2 2 3 2" xfId="194" xr:uid="{0BE12707-1BB1-4D64-ABA9-3A8BF9517197}"/>
    <cellStyle name="Normal 2 2 4" xfId="179" xr:uid="{E2439F2D-6769-40E1-A863-252D38D2DC0B}"/>
    <cellStyle name="Normal 2 3" xfId="48" xr:uid="{A5B1D83F-3B33-4C78-92C8-31907A12EA5B}"/>
    <cellStyle name="Normal 3" xfId="42" xr:uid="{330FE117-944E-4042-99FF-B2D1AF02375F}"/>
    <cellStyle name="Normal 3 2" xfId="53" xr:uid="{B0066E44-7B7D-48BF-B1DC-6DAF375F66F7}"/>
    <cellStyle name="Normal 3 2 2" xfId="195" xr:uid="{19396F80-5088-4B5F-9D00-A69031D31B57}"/>
    <cellStyle name="Normal 3 3" xfId="47" xr:uid="{D1126032-2AE6-46FE-B5DB-F4B9EB74245E}"/>
    <cellStyle name="Normal 3 4" xfId="180" xr:uid="{7C1F1B46-3643-4447-B672-8E777F0921B3}"/>
    <cellStyle name="Normal 4" xfId="50" xr:uid="{9B96A62E-771F-46A8-B74D-6C9BE64830DA}"/>
    <cellStyle name="Normal 4 2" xfId="146" xr:uid="{91830667-5B5D-4606-A285-24BB719A724C}"/>
    <cellStyle name="Normal 4 3" xfId="191" xr:uid="{B06DD597-0543-4F79-B307-94696FCC5074}"/>
    <cellStyle name="Normal 5" xfId="45" xr:uid="{8108D148-B77B-4D6C-BB3C-C714B4EBB326}"/>
    <cellStyle name="Normal 6" xfId="100" xr:uid="{B8F859C7-740B-4DA0-AC04-61155780BCAC}"/>
    <cellStyle name="Normal 63" xfId="16" xr:uid="{1B3EB10A-1DDF-438B-916A-CA8A23A95FBA}"/>
    <cellStyle name="Normal 63 2" xfId="17" xr:uid="{BCAFF0D6-DE4D-4522-8821-757FC769728A}"/>
    <cellStyle name="Normal 63 3" xfId="103" xr:uid="{49A0B923-29FA-4C71-8E20-25768BDE4494}"/>
    <cellStyle name="Normal 63 4" xfId="122" xr:uid="{28100D1B-76D9-4AEC-8947-1EDFCC7310CA}"/>
    <cellStyle name="Normal 63 5" xfId="153" xr:uid="{E826E424-93E5-4B59-A75A-9DD4AB1E2A81}"/>
    <cellStyle name="Normal 63 6" xfId="184" xr:uid="{6BF88324-6BB1-46AD-ABF6-63E8BDFC0A6C}"/>
    <cellStyle name="Normal 65 2" xfId="13" xr:uid="{16ADFE0A-90C5-43E9-B600-0C76DF30806C}"/>
    <cellStyle name="Normal 65 2 2" xfId="154" xr:uid="{733B5863-590C-4538-989A-4685D921D954}"/>
    <cellStyle name="Normal 65 2 3" xfId="168" xr:uid="{00FED0CD-73A6-4CD4-B6A8-AF517810A1CB}"/>
    <cellStyle name="Normal 7" xfId="11" xr:uid="{F1E74F42-78DF-4CFF-8ECC-B64F26088B0F}"/>
    <cellStyle name="Normal 7 2" xfId="104" xr:uid="{57C99014-2D39-4BB6-8760-51D47672D2D6}"/>
    <cellStyle name="Normal 8" xfId="114" xr:uid="{1A5D05F0-3FD7-4671-B0D3-BF4B1E8C5145}"/>
    <cellStyle name="Normal 9" xfId="49" xr:uid="{AC2CD216-C009-4667-9E0A-C3D32F9342A1}"/>
    <cellStyle name="Normalny 3" xfId="155" xr:uid="{90EADA38-6818-4AD2-A700-5DE48704A340}"/>
    <cellStyle name="Percent 2" xfId="14" xr:uid="{017DA3E2-BFF6-4626-9C91-B5B4B68C02D5}"/>
    <cellStyle name="Percent 2 2" xfId="182" xr:uid="{5CDE3F9E-73F1-42AD-BCB7-33732278FE85}"/>
    <cellStyle name="Percent 3" xfId="102" xr:uid="{2C56149D-298A-4CC9-8001-CFD59AC2090A}"/>
    <cellStyle name="Percent 3 2" xfId="192" xr:uid="{B17E154F-E6BA-4816-B539-907B2BFE7532}"/>
    <cellStyle name="Percent 4" xfId="116" xr:uid="{F7B49893-256F-49A5-9D8F-9288B80FCE9C}"/>
    <cellStyle name="Percent 5" xfId="151" xr:uid="{1F66C31B-2F1A-4ABD-9E4E-9B84BDB86C80}"/>
    <cellStyle name="Percent 6" xfId="166" xr:uid="{D235CD56-EB75-472E-87C1-2043CB49933C}"/>
    <cellStyle name="百分比" xfId="177" builtinId="5"/>
    <cellStyle name="百分比 2" xfId="105" xr:uid="{42BCDF09-2225-4B2D-B230-34AB5F9D4510}"/>
    <cellStyle name="常规" xfId="0" builtinId="0"/>
    <cellStyle name="常规 10" xfId="26" xr:uid="{451E2BF9-9A47-4F2B-9616-E1DD7E5A8A8E}"/>
    <cellStyle name="常规 10 2" xfId="106" xr:uid="{375447FE-2396-494D-BDCF-7CE6AD558C6F}"/>
    <cellStyle name="常规 10 3" xfId="127" xr:uid="{6A24C1BE-753C-47D6-B281-DC5ABFEC6B45}"/>
    <cellStyle name="常规 11 13" xfId="156" xr:uid="{CB0D4BCB-1C7F-41DF-A9EF-18EE80D9F355}"/>
    <cellStyle name="常规 11 13 2" xfId="157" xr:uid="{5F856F0B-34C3-46FD-A37E-BFAECB5209BC}"/>
    <cellStyle name="常规 11 13 2 2" xfId="186" xr:uid="{7F58050E-38E4-4F1C-AD3E-534707361F22}"/>
    <cellStyle name="常规 11 13 3" xfId="185" xr:uid="{96FEEEFE-0308-4A44-858F-B21EDA799A69}"/>
    <cellStyle name="常规 19" xfId="107" xr:uid="{F992D4BE-EBE3-43DE-976E-8BB9C4CEF822}"/>
    <cellStyle name="常规 2" xfId="18" xr:uid="{3476793F-A5EA-4986-B2AB-4F94683694A1}"/>
    <cellStyle name="常规 2 2" xfId="108" xr:uid="{AB60C633-1C1F-429A-9DC1-3D53DD71B942}"/>
    <cellStyle name="常规 2 2 2" xfId="158" xr:uid="{774FA559-8AD3-46CA-B4A9-048AB7E5EB49}"/>
    <cellStyle name="常规 2 2 3" xfId="188" xr:uid="{DB255B43-66B5-4C5B-B2F9-B40F29D12C15}"/>
    <cellStyle name="常规 2 3" xfId="123" xr:uid="{1936DF01-4650-4BA0-B007-D157254A43E2}"/>
    <cellStyle name="常规 2 3 2" xfId="176" xr:uid="{7CA303FC-57DD-4B81-B440-380573468583}"/>
    <cellStyle name="常规 2 4" xfId="198" xr:uid="{169CF608-B1AE-4847-B2D2-75BDEC90705C}"/>
    <cellStyle name="常规 2 5" xfId="187" xr:uid="{7CAB47E1-7AA6-4AAF-8BDC-4EB67F7EA8D0}"/>
    <cellStyle name="常规 3" xfId="27" xr:uid="{0AAB00EF-7138-4A4A-B05A-EA1D2880E730}"/>
    <cellStyle name="常规 3 2" xfId="25" xr:uid="{9CB3423C-2183-410B-9787-63F09638DC43}"/>
    <cellStyle name="常规 3 2 2" xfId="5" xr:uid="{370C7C0A-6DAF-4D76-9EE2-45E92485E95F}"/>
    <cellStyle name="常规 3 2 2 2" xfId="111" xr:uid="{85EFDC1A-C163-4CE4-A359-29C9D1793DF4}"/>
    <cellStyle name="常规 3 2 2 2 2" xfId="193" xr:uid="{8C4377E2-AC46-4921-9766-4EAC4111E7C1}"/>
    <cellStyle name="常规 3 2 2 3" xfId="117" xr:uid="{D0341AF1-DC90-473A-B23C-ED6B6B023E0E}"/>
    <cellStyle name="常规 3 2 2 4" xfId="160" xr:uid="{55721A71-B696-414B-962E-E16FAFBCFC5C}"/>
    <cellStyle name="常规 3 2 2 5" xfId="170" xr:uid="{70F577CB-19C5-48BC-AA90-A8F883BBCA4F}"/>
    <cellStyle name="常规 3 2 3" xfId="110" xr:uid="{54FA992E-8A90-4C2A-8A4B-F75F7CB4FEF9}"/>
    <cellStyle name="常规 3 2 4" xfId="126" xr:uid="{0F5983FA-4C9D-49D5-B82C-502D42AC07C3}"/>
    <cellStyle name="常规 3 2 5" xfId="159" xr:uid="{1E860EFF-2344-444E-9B82-0252E250028D}"/>
    <cellStyle name="常规 3 2 6" xfId="169" xr:uid="{343DD012-E7CE-402A-9580-942D899FE9F2}"/>
    <cellStyle name="常规 3 3" xfId="109" xr:uid="{B1335163-4A5D-4717-B4BA-2D73D2DFB06E}"/>
    <cellStyle name="常规 3 4" xfId="128" xr:uid="{D9318D86-4B91-40F2-BA90-5896491CB6EA}"/>
    <cellStyle name="常规 4" xfId="19" xr:uid="{BF753D35-4C7E-49FD-B121-8363903AD177}"/>
    <cellStyle name="常规 4 2" xfId="112" xr:uid="{6A31B9A6-CA6B-40F3-A54E-6499C19B81D9}"/>
    <cellStyle name="常规 4 2 2" xfId="199" xr:uid="{96B80086-3F6F-48EE-B1D1-3F84948354E1}"/>
    <cellStyle name="常规 4 3" xfId="124" xr:uid="{81120BD3-E2CE-4F66-B4D6-6F339A709F3A}"/>
    <cellStyle name="常规 4 4" xfId="161" xr:uid="{F6859CC6-7A11-45B3-AA87-64C38AB718A8}"/>
    <cellStyle name="常规 4 5" xfId="171" xr:uid="{5E6BF4A8-59B3-4B8E-97B9-1635D90F10BF}"/>
    <cellStyle name="常规 58" xfId="4" xr:uid="{F9B4A560-3A83-41AB-8C19-321C15A55DDA}"/>
    <cellStyle name="常规 6" xfId="15" xr:uid="{670C1390-DBF0-45DB-928D-22EB28832AB6}"/>
    <cellStyle name="常规 6 2" xfId="24" xr:uid="{94E10B8B-10AB-45D1-B852-9FE52BA2E093}"/>
    <cellStyle name="常规 6 3" xfId="175" xr:uid="{43A1B6E7-A755-482E-B8A0-6D118B1F3DF7}"/>
    <cellStyle name="常规 7" xfId="20" xr:uid="{F57386E8-1EBD-4B6E-8E19-9DBF724FF5BB}"/>
    <cellStyle name="常规 7 3" xfId="22" xr:uid="{1FAEC304-14F7-4876-A59C-0B8DB5FE4FB6}"/>
    <cellStyle name="常规 7 3 2 2" xfId="189" xr:uid="{44BFE920-EA1E-4032-9FF2-95445E50D093}"/>
    <cellStyle name="常规 7 3 2 2 2" xfId="200" xr:uid="{665226BF-6F96-4BE7-ADA0-6C7B3F3D1A4B}"/>
    <cellStyle name="常规 8" xfId="23" xr:uid="{B996C3EB-8DEA-4115-BB85-88EB2F9566B2}"/>
    <cellStyle name="货币" xfId="2" builtinId="4"/>
    <cellStyle name="千位分隔" xfId="1" builtinId="3"/>
    <cellStyle name="千位分隔 3 2" xfId="190" xr:uid="{53D9C9E0-64B4-4650-B3DE-2BF8E4DE52A5}"/>
    <cellStyle name="千位分隔 3 2 2" xfId="201" xr:uid="{307A7885-4007-4B12-B592-D109DB013003}"/>
  </cellStyles>
  <dxfs count="12">
    <dxf>
      <font>
        <color rgb="FF9C0006"/>
      </font>
    </dxf>
    <dxf>
      <font>
        <color rgb="FF006100"/>
      </font>
      <fill>
        <patternFill>
          <bgColor rgb="FFC6EFCE"/>
        </patternFill>
      </fill>
    </dxf>
    <dxf>
      <font>
        <color rgb="FF9C0006"/>
      </font>
    </dxf>
    <dxf>
      <font>
        <color theme="9"/>
      </font>
      <fill>
        <patternFill patternType="none">
          <bgColor auto="1"/>
        </patternFill>
      </fill>
    </dxf>
    <dxf>
      <font>
        <color theme="9"/>
      </font>
      <fill>
        <patternFill patternType="none">
          <bgColor auto="1"/>
        </patternFill>
      </fill>
    </dxf>
    <dxf>
      <font>
        <color theme="9"/>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CFEA29CA-A1FE-47D0-AA76-193874D2DA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ocumenttasks/documenttask1.xml><?xml version="1.0" encoding="utf-8"?>
<Tasks xmlns="http://schemas.microsoft.com/office/tasks/2019/documenttasks">
  <Task id="{FF1F8D5C-A1E5-4016-BF89-9A950EEEF128}">
    <Anchor>
      <Comment id="{E892BCD2-1719-423C-B592-91103FC35EE0}"/>
    </Anchor>
    <History>
      <Event time="2025-03-17T07:32:15.65" id="{811C2DCD-90E1-4C9A-99A6-C051B9A9B731}">
        <Attribution userId="S::85184835@bat.com::8afab3d2-7605-4469-82d0-bb95bcd5101b" userName="Cailine Huang" userProvider="AD"/>
        <Anchor>
          <Comment id="{E892BCD2-1719-423C-B592-91103FC35EE0}"/>
        </Anchor>
        <Create/>
      </Event>
      <Event time="2025-03-17T07:32:15.65" id="{692B590D-4BDE-495C-8F5E-43377A3209D4}">
        <Attribution userId="S::85184835@bat.com::8afab3d2-7605-4469-82d0-bb95bcd5101b" userName="Cailine Huang" userProvider="AD"/>
        <Anchor>
          <Comment id="{E892BCD2-1719-423C-B592-91103FC35EE0}"/>
        </Anchor>
        <Assign userId="S::85186727@bat.com::336aaaff-ca7d-47c9-8b45-91845f8f8752" userName="Laura Sanchez Curtidor" userProvider="AD"/>
      </Event>
      <Event time="2025-03-17T07:32:15.65" id="{A12ED428-C297-4C1A-8B4B-1840F144308A}">
        <Attribution userId="S::85184835@bat.com::8afab3d2-7605-4469-82d0-bb95bcd5101b" userName="Cailine Huang" userProvider="AD"/>
        <Anchor>
          <Comment id="{E892BCD2-1719-423C-B592-91103FC35EE0}"/>
        </Anchor>
        <SetTitle title="@Laura Sanchez Curtidor Remove this packaging inflation, as packaging cost up already implemented in Mar."/>
      </Event>
    </History>
  </Task>
  <Task id="{58E7038C-C879-4935-A019-5ABC260007B5}">
    <Anchor>
      <Comment id="{91A7C05F-BAE5-422D-B8D7-18548F08C932}"/>
    </Anchor>
    <History>
      <Event time="2025-03-17T07:28:47.86" id="{D7E72C4B-0ECA-4C7B-86B8-A7910FB982D6}">
        <Attribution userId="S::85184835@bat.com::8afab3d2-7605-4469-82d0-bb95bcd5101b" userName="Cailine Huang" userProvider="AD"/>
        <Anchor>
          <Comment id="{91A7C05F-BAE5-422D-B8D7-18548F08C932}"/>
        </Anchor>
        <Create/>
      </Event>
      <Event time="2025-03-17T07:28:47.86" id="{E7391EF5-9CA9-4AD3-9138-2A60C88AA726}">
        <Attribution userId="S::85184835@bat.com::8afab3d2-7605-4469-82d0-bb95bcd5101b" userName="Cailine Huang" userProvider="AD"/>
        <Anchor>
          <Comment id="{91A7C05F-BAE5-422D-B8D7-18548F08C932}"/>
        </Anchor>
        <Assign userId="S::daisy_cai@bat.com::d229c6e9-b27a-479b-89bd-1e5b44ad3300" userName="Daisy Cai" userProvider="AD"/>
      </Event>
      <Event time="2025-03-17T07:28:47.86" id="{EEDA8B8B-FE00-43DC-B21C-B864EEDD71B9}">
        <Attribution userId="S::85184835@bat.com::8afab3d2-7605-4469-82d0-bb95bcd5101b" userName="Cailine Huang" userProvider="AD"/>
        <Anchor>
          <Comment id="{91A7C05F-BAE5-422D-B8D7-18548F08C932}"/>
        </Anchor>
        <SetTitle title="@Daisy Cai Daisy, this is the final cost up from Haishun, but blister rate change? "/>
      </Event>
    </History>
  </Task>
  <Task id="{716ED3A3-7558-425F-A8C1-2DFDB5378BE7}">
    <Anchor>
      <Comment id="{145392A2-3E9E-42BB-9EB5-4F006D59F622}"/>
    </Anchor>
    <History>
      <Event time="2025-03-17T07:32:15.65" id="{811C2DCD-90E1-4C9A-99A6-C051B9A9B731}">
        <Attribution userId="S::85184835@bat.com::8afab3d2-7605-4469-82d0-bb95bcd5101b" userName="Cailine Huang" userProvider="AD"/>
        <Anchor>
          <Comment id="{145392A2-3E9E-42BB-9EB5-4F006D59F622}"/>
        </Anchor>
        <Create/>
      </Event>
      <Event time="2025-03-17T07:32:15.65" id="{692B590D-4BDE-495C-8F5E-43377A3209D4}">
        <Attribution userId="S::85184835@bat.com::8afab3d2-7605-4469-82d0-bb95bcd5101b" userName="Cailine Huang" userProvider="AD"/>
        <Anchor>
          <Comment id="{145392A2-3E9E-42BB-9EB5-4F006D59F622}"/>
        </Anchor>
        <Assign userId="S::85186727@bat.com::336aaaff-ca7d-47c9-8b45-91845f8f8752" userName="Laura Sanchez Curtidor" userProvider="AD"/>
      </Event>
      <Event time="2025-03-17T07:32:15.65" id="{A12ED428-C297-4C1A-8B4B-1840F144308A}">
        <Attribution userId="S::85184835@bat.com::8afab3d2-7605-4469-82d0-bb95bcd5101b" userName="Cailine Huang" userProvider="AD"/>
        <Anchor>
          <Comment id="{145392A2-3E9E-42BB-9EB5-4F006D59F622}"/>
        </Anchor>
        <SetTitle title="@Laura Sanchez Curtidor Remove this packaging inflation, as packaging cost up already implemented in Mar."/>
      </Event>
    </History>
  </Task>
</Tasks>
</file>

<file path=xl/documenttasks/documenttask2.xml><?xml version="1.0" encoding="utf-8"?>
<Tasks xmlns="http://schemas.microsoft.com/office/tasks/2019/documenttasks">
  <Task id="{B9D06005-5912-4DF4-A1BE-B4D54E8BA814}">
    <Anchor>
      <Comment id="{C6E245EC-A1E3-490B-AF42-C36C93E4DC7D}"/>
    </Anchor>
    <History>
      <Event time="2025-03-06T09:50:23.18" id="{9F97B794-82B6-4722-B3DB-28BB0ECD9DE7}">
        <Attribution userId="S::ruilong_ge@bat.com::2fc5c6bd-1657-46f1-90d5-38d880c341f5" userName="Johnson Ge" userProvider="AD"/>
        <Anchor>
          <Comment id="{C6E245EC-A1E3-490B-AF42-C36C93E4DC7D}"/>
        </Anchor>
        <Create/>
      </Event>
      <Event time="2025-03-06T09:50:23.18" id="{C8BDC1E6-5ED1-4CC0-95B9-C77275CBCD49}">
        <Attribution userId="S::ruilong_ge@bat.com::2fc5c6bd-1657-46f1-90d5-38d880c341f5" userName="Johnson Ge" userProvider="AD"/>
        <Anchor>
          <Comment id="{C6E245EC-A1E3-490B-AF42-C36C93E4DC7D}"/>
        </Anchor>
        <Assign userId="S::85209856@bat.com::5760922e-6edd-4b51-bf67-79a2ea7463ba" userName="Johnny Yu (External)" userProvider="AD"/>
      </Event>
      <Event time="2025-03-06T09:50:23.18" id="{212D106E-216F-4BD9-AA18-FDF29E179347}">
        <Attribution userId="S::ruilong_ge@bat.com::2fc5c6bd-1657-46f1-90d5-38d880c341f5" userName="Johnson Ge" userProvider="AD"/>
        <Anchor>
          <Comment id="{C6E245EC-A1E3-490B-AF42-C36C93E4DC7D}"/>
        </Anchor>
        <SetTitle title="@Cailine Huang @Johnny Yu (External) please check the unit saving - it was 0.0033 from brief and email."/>
      </Event>
    </History>
  </Task>
  <Task id="{099EF93D-9179-4225-989A-616E47C9E8AA}">
    <Anchor>
      <Comment id="{0B53D52E-CE2E-40CC-9DC5-01718AEC7103}"/>
    </Anchor>
    <History>
      <Event time="2025-03-10T08:51:09.59" id="{42674201-26B5-417A-8F54-31344DAAFB9C}">
        <Attribution userId="S::85184835@bat.com::8afab3d2-7605-4469-82d0-bb95bcd5101b" userName="Cailine Huang" userProvider="AD"/>
        <Anchor>
          <Comment id="{0B53D52E-CE2E-40CC-9DC5-01718AEC7103}"/>
        </Anchor>
        <Create/>
      </Event>
      <Event time="2025-03-10T08:51:09.59" id="{2E8333E4-2A0A-484D-94F4-526A2C40F8E3}">
        <Attribution userId="S::85184835@bat.com::8afab3d2-7605-4469-82d0-bb95bcd5101b" userName="Cailine Huang" userProvider="AD"/>
        <Anchor>
          <Comment id="{0B53D52E-CE2E-40CC-9DC5-01718AEC7103}"/>
        </Anchor>
        <Assign userId="S::85186727@bat.com::336aaaff-ca7d-47c9-8b45-91845f8f8752" userName="Laura Sanchez Curtidor" userProvider="AD"/>
      </Event>
      <Event time="2025-03-10T08:51:09.59" id="{C52B77EE-3D07-43B5-82CA-8FA14261C1FF}">
        <Attribution userId="S::85184835@bat.com::8afab3d2-7605-4469-82d0-bb95bcd5101b" userName="Cailine Huang" userProvider="AD"/>
        <Anchor>
          <Comment id="{0B53D52E-CE2E-40CC-9DC5-01718AEC7103}"/>
        </Anchor>
        <SetTitle title="Default version no PCBA! Need to remove @Laura Sanchez Curtidor "/>
      </Event>
    </History>
  </Task>
  <Task id="{EF59B2DA-5D11-4176-950F-C25979FB46E1}">
    <Anchor>
      <Comment id="{C9F221ED-2A60-49B1-94AA-80EBD41CE502}"/>
    </Anchor>
    <History>
      <Event time="2025-03-10T09:40:50.08" id="{CB921571-2FDC-4496-A7D7-7A53104BABE3}">
        <Attribution userId="S::85184835@bat.com::8afab3d2-7605-4469-82d0-bb95bcd5101b" userName="Cailine Huang" userProvider="AD"/>
        <Anchor>
          <Comment id="{C9F221ED-2A60-49B1-94AA-80EBD41CE502}"/>
        </Anchor>
        <Create/>
      </Event>
      <Event time="2025-03-10T09:40:50.08" id="{890FCB13-901F-48D7-9776-E3F19EC0C55B}">
        <Attribution userId="S::85184835@bat.com::8afab3d2-7605-4469-82d0-bb95bcd5101b" userName="Cailine Huang" userProvider="AD"/>
        <Anchor>
          <Comment id="{C9F221ED-2A60-49B1-94AA-80EBD41CE502}"/>
        </Anchor>
        <Assign userId="S::85186727@bat.com::336aaaff-ca7d-47c9-8b45-91845f8f8752" userName="Laura Sanchez Curtidor" userProvider="AD"/>
      </Event>
      <Event time="2025-03-10T09:40:50.08" id="{EFAE1AAF-1740-4B34-AB68-CEFE55499AF3}">
        <Attribution userId="S::85184835@bat.com::8afab3d2-7605-4469-82d0-bb95bcd5101b" userName="Cailine Huang" userProvider="AD"/>
        <Anchor>
          <Comment id="{C9F221ED-2A60-49B1-94AA-80EBD41CE502}"/>
        </Anchor>
        <SetTitle title="@Laura Sanchez Curtidor No PCBA for Default, we need to remove this stretch."/>
      </Event>
      <Event time="2025-03-10T10:06:27.51" id="{EE19D622-6F7E-4350-956F-B7B6E7A7FEC3}">
        <Attribution userId="S::85184835@bat.com::8afab3d2-7605-4469-82d0-bb95bcd5101b" userName="Cailine Huang" userProvider="AD"/>
        <Anchor>
          <Comment id="{C180AC7F-45CF-46C6-A540-0D84693BE31B}"/>
        </Anchor>
        <UnassignAll/>
      </Event>
      <Event time="2025-03-10T10:06:27.51" id="{24A296B3-D39A-432F-AD6A-6D4616469775}">
        <Attribution userId="S::85184835@bat.com::8afab3d2-7605-4469-82d0-bb95bcd5101b" userName="Cailine Huang" userProvider="AD"/>
        <Anchor>
          <Comment id="{C180AC7F-45CF-46C6-A540-0D84693BE31B}"/>
        </Anchor>
        <Assign userId="S::sugithan_kuhendraruban@bat.com::2c9c53a9-3f1a-40c0-9dd4-88b8a2bc5504" userName="Sugi Kuhendraruban" userProvider="AD"/>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65</xdr:col>
      <xdr:colOff>241299</xdr:colOff>
      <xdr:row>186</xdr:row>
      <xdr:rowOff>63955</xdr:rowOff>
    </xdr:from>
    <xdr:to>
      <xdr:col>108</xdr:col>
      <xdr:colOff>188486</xdr:colOff>
      <xdr:row>1416</xdr:row>
      <xdr:rowOff>25974</xdr:rowOff>
    </xdr:to>
    <xdr:pic>
      <xdr:nvPicPr>
        <xdr:cNvPr id="4" name="Picture 1">
          <a:extLst>
            <a:ext uri="{FF2B5EF4-FFF2-40B4-BE49-F238E27FC236}">
              <a16:creationId xmlns:a16="http://schemas.microsoft.com/office/drawing/2014/main" id="{68ADCF5E-91D3-4604-5433-B85B744805ED}"/>
            </a:ext>
          </a:extLst>
        </xdr:cNvPr>
        <xdr:cNvPicPr>
          <a:picLocks noChangeAspect="1"/>
        </xdr:cNvPicPr>
      </xdr:nvPicPr>
      <xdr:blipFill>
        <a:blip xmlns:r="http://schemas.openxmlformats.org/officeDocument/2006/relationships" r:embed="rId1"/>
        <a:stretch>
          <a:fillRect/>
        </a:stretch>
      </xdr:blipFill>
      <xdr:spPr>
        <a:xfrm>
          <a:off x="42303699" y="31734580"/>
          <a:ext cx="26163162" cy="2225551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t.sharepoint.com/sites/NCVAPOURCOMMUNITY-BAU/Shared%20Documents/Cost%20Glidepath/CO-PLAN/Glidepaths%20COPLAN%20vs%20SOP1-%20Gap%20&amp;%20simulate%20analysis%2020250302%20.xlsx" TargetMode="External"/><Relationship Id="rId1" Type="http://schemas.openxmlformats.org/officeDocument/2006/relationships/externalLinkPath" Target="https://bat.sharepoint.com/sites/NCVAPOURCOMMUNITY-BAU/Shared%20Documents/Cost%20Glidepath/CO-PLAN/Glidepaths%20COPLAN%20vs%20SOP1-%20Gap%20&amp;%20simulate%20analysis%2020250302%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at.sharepoint.com/sites/NCVAPOURCOMMUNITY-BAU/Shared%20Documents/Cost%20Glidepath/CO-PLAN/Glidepaths%20COPLAN%20vs%20SOP2%20-%20Gap%20&amp;%20simulate%20analysis%2020250306.xlsx" TargetMode="External"/><Relationship Id="rId1" Type="http://schemas.openxmlformats.org/officeDocument/2006/relationships/externalLinkPath" Target="https://bat.sharepoint.com/sites/NCVAPOURCOMMUNITY-BAU/Shared%20Documents/Cost%20Glidepath/CO-PLAN/Glidepaths%20COPLAN%20vs%20SOP2%20-%20Gap%20&amp;%20simulate%20analysis%202025030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Cailine\Vapour%20Project\Vapour\Saving\2025%20Saving%20MS\NC%20OPS%20Savings%20-%20Vapour%20Master%20File%202025%20-%2020250228%20download%20-%20SOP2%20only.xlsx" TargetMode="External"/><Relationship Id="rId1" Type="http://schemas.openxmlformats.org/officeDocument/2006/relationships/externalLinkPath" Target="file:///C:\Cailine\Vapour%20Project\Vapour\Saving\2025%20Saving%20MS\NC%20OPS%20Savings%20-%20Vapour%20Master%20File%202025%20-%2020250228%20download%20-%20SOP2%20onl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at.sharepoint.com/sites/OpsFinanceTHP-VapourFinance/Shared%20Documents/Vapour%20Finance/002.%202024/001.%20Pre%20VC%20Meetings/Finance,%20Procurement,%20Optimisation/COGS%20Model%20-%20SOP08%202024_SOP6%20Vol_NEW%20VERSION_CONR'24.xlsx" TargetMode="External"/><Relationship Id="rId1" Type="http://schemas.openxmlformats.org/officeDocument/2006/relationships/externalLinkPath" Target="https://bat.sharepoint.com/sites/OpsFinanceTHP-VapourFinance/Shared%20Documents/Vapour%20Finance/002.%202024/001.%20Pre%20VC%20Meetings/Finance,%20Procurement,%20Optimisation/COGS%20Model%20-%20SOP08%202024_SOP6%20Vol_NEW%20VERSION_CONR'2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at.sharepoint.com/sites/OpsFinanceTHP-VapourFinance/Shared%20Documents/Vapour%20Finance/003.%202025/CoGS%20Model%20-%202025.xlsx" TargetMode="External"/><Relationship Id="rId1" Type="http://schemas.openxmlformats.org/officeDocument/2006/relationships/externalLinkPath" Target="https://bat.sharepoint.com/sites/OpsFinanceTHP-VapourFinance/Shared%20Documents/Vapour%20Finance/003.%202025/CoGS%20Model%20-%202025.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bat.sharepoint.com/sites/OpsFinanceTHP-VapourFinance/Shared%20Documents/Vapour%20Finance/003.%202025/001.%20Pre%20VC%20Meetings/002.%20February%202025/COGS%20Model%20-%20SOP08%202024_SOP01'25%20Vol.xlsx" TargetMode="External"/><Relationship Id="rId1" Type="http://schemas.openxmlformats.org/officeDocument/2006/relationships/externalLinkPath" Target="https://bat.sharepoint.com/sites/OpsFinanceTHP-VapourFinance/Shared%20Documents/Vapour%20Finance/003.%202025/001.%20Pre%20VC%20Meetings/002.%20February%202025/COGS%20Model%20-%20SOP08%202024_SOP01'25%20Vo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bat.sharepoint.com/sites/OpsFinanceTHP-VapourFinance/Shared%20Documents/Vapour%20Finance/002.%202024/001.%20Pre%20VC%20Meetings/010.%20Oct%202024/COGS%20Model%20-%20SOP08%202024_SOP9%20Vol.xlsx" TargetMode="External"/><Relationship Id="rId1" Type="http://schemas.openxmlformats.org/officeDocument/2006/relationships/externalLinkPath" Target="https://bat.sharepoint.com/sites/OpsFinanceTHP-VapourFinance/Shared%20Documents/Vapour%20Finance/002.%202024/001.%20Pre%20VC%20Meetings/010.%20Oct%202024/COGS%20Model%20-%20SOP08%202024_SOP9%20V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Za2kSv8GrE6atjnRqvc2d-Pmi79xkjRCjWioli-FWncza-6SW1J8QYIr0BdNYM1y" itemId="013XL2NUY5GMP26TMQWBC2W7QL4OMPZMIE">
      <xxl21:absoluteUrl r:id="rId2"/>
    </xxl21:alternateUrls>
    <sheetNames>
      <sheetName val="Summary"/>
      <sheetName val="Gap summary"/>
      <sheetName val="Gap Analysis update"/>
      <sheetName val="SUMMARY SOP4 TP"/>
      <sheetName val="RCS"/>
      <sheetName val="RCS Initiatives"/>
      <sheetName val="Gap Analysis"/>
      <sheetName val="MoDi"/>
      <sheetName val="MoDi Initiatives"/>
      <sheetName val="SOP6‘24 Stretch saving activity"/>
      <sheetName val="actions"/>
      <sheetName val="remark"/>
    </sheetNames>
    <sheetDataSet>
      <sheetData sheetId="0"/>
      <sheetData sheetId="1"/>
      <sheetData sheetId="2"/>
      <sheetData sheetId="3"/>
      <sheetData sheetId="4"/>
      <sheetData sheetId="5"/>
      <sheetData sheetId="6"/>
      <sheetData sheetId="7"/>
      <sheetData sheetId="8">
        <row r="1">
          <cell r="E1" t="str">
            <v>Jun</v>
          </cell>
        </row>
        <row r="2">
          <cell r="A2" t="str">
            <v>Product</v>
          </cell>
          <cell r="B2" t="str">
            <v>Cycle</v>
          </cell>
          <cell r="C2" t="str">
            <v>Initiatives</v>
          </cell>
          <cell r="E2" t="str">
            <v>Category</v>
          </cell>
          <cell r="G2">
            <v>45474</v>
          </cell>
        </row>
        <row r="3">
          <cell r="A3" t="str">
            <v>BOX 800 Default 2.0</v>
          </cell>
          <cell r="B3" t="str">
            <v>CoPlan FCA</v>
          </cell>
          <cell r="C3"/>
          <cell r="E3"/>
          <cell r="G3">
            <v>0.95806469850202336</v>
          </cell>
          <cell r="H3">
            <v>0.95806469850202358</v>
          </cell>
          <cell r="I3">
            <v>0.95806469850202358</v>
          </cell>
          <cell r="J3">
            <v>0.95806469850202358</v>
          </cell>
          <cell r="K3">
            <v>0.95806469850202336</v>
          </cell>
          <cell r="L3">
            <v>0.95789088591726945</v>
          </cell>
          <cell r="M3">
            <v>0.92372004197884483</v>
          </cell>
          <cell r="N3">
            <v>0.90421112283929661</v>
          </cell>
          <cell r="O3">
            <v>0.88984015236176628</v>
          </cell>
          <cell r="P3">
            <v>0.88984015236176628</v>
          </cell>
          <cell r="Q3">
            <v>0.88217563477375005</v>
          </cell>
          <cell r="R3">
            <v>0.88217563477375005</v>
          </cell>
          <cell r="S3">
            <v>0.87532612609009519</v>
          </cell>
          <cell r="T3">
            <v>0.87532612609009519</v>
          </cell>
          <cell r="U3">
            <v>0.87532612609009519</v>
          </cell>
          <cell r="V3">
            <v>0.87532612609009519</v>
          </cell>
        </row>
        <row r="4">
          <cell r="A4" t="str">
            <v>BOX 800 Default 2.0</v>
          </cell>
          <cell r="B4" t="str">
            <v>CoPlan</v>
          </cell>
          <cell r="C4" t="str">
            <v>Strategic_Supp</v>
          </cell>
          <cell r="E4" t="str">
            <v>Assembly</v>
          </cell>
          <cell r="G4"/>
        </row>
        <row r="5">
          <cell r="A5" t="str">
            <v>BOX 800 Default 2.0</v>
          </cell>
          <cell r="B5" t="str">
            <v>CoPlan</v>
          </cell>
          <cell r="C5" t="str">
            <v>SC023561</v>
          </cell>
          <cell r="E5" t="str">
            <v>Core Technology</v>
          </cell>
          <cell r="G5"/>
        </row>
        <row r="6">
          <cell r="A6" t="str">
            <v>BOX 800 Default 2.0</v>
          </cell>
          <cell r="B6" t="str">
            <v>CoPlan</v>
          </cell>
          <cell r="C6" t="str">
            <v>SC023772</v>
          </cell>
          <cell r="E6" t="str">
            <v>Electronics</v>
          </cell>
          <cell r="G6"/>
        </row>
        <row r="7">
          <cell r="A7" t="str">
            <v>BOX 800 Default 2.0</v>
          </cell>
          <cell r="B7" t="str">
            <v>CoPlan</v>
          </cell>
          <cell r="C7" t="str">
            <v>SC023763</v>
          </cell>
          <cell r="E7" t="str">
            <v>Electronics</v>
          </cell>
          <cell r="G7"/>
        </row>
        <row r="8">
          <cell r="A8" t="str">
            <v>BOX 800 Default 2.0</v>
          </cell>
          <cell r="B8" t="str">
            <v>CoPlan</v>
          </cell>
          <cell r="C8" t="str">
            <v>SC023846</v>
          </cell>
          <cell r="E8" t="str">
            <v>Electronics</v>
          </cell>
          <cell r="G8"/>
        </row>
        <row r="9">
          <cell r="A9" t="str">
            <v>BOX 800 Default 2.0</v>
          </cell>
          <cell r="B9" t="str">
            <v>CoPlan</v>
          </cell>
          <cell r="C9" t="str">
            <v>SC023735</v>
          </cell>
          <cell r="E9" t="str">
            <v>Mechanical Parts</v>
          </cell>
          <cell r="G9"/>
        </row>
        <row r="10">
          <cell r="A10" t="str">
            <v>BOX 800 Default 2.0</v>
          </cell>
          <cell r="B10" t="str">
            <v>CoPlan</v>
          </cell>
          <cell r="C10" t="str">
            <v>SC023737</v>
          </cell>
          <cell r="E10" t="str">
            <v>Mechanical Parts</v>
          </cell>
          <cell r="G10"/>
        </row>
        <row r="11">
          <cell r="A11" t="str">
            <v>BOX 800 Default 2.0</v>
          </cell>
          <cell r="B11" t="str">
            <v>CoPlan</v>
          </cell>
          <cell r="C11" t="str">
            <v>Laura 6</v>
          </cell>
          <cell r="E11" t="str">
            <v>Mechanical Parts</v>
          </cell>
          <cell r="G11"/>
        </row>
        <row r="12">
          <cell r="A12" t="str">
            <v>BOX 800 Default 2.0</v>
          </cell>
          <cell r="B12" t="str">
            <v>CoPlan</v>
          </cell>
          <cell r="C12" t="str">
            <v>Laura 7</v>
          </cell>
          <cell r="E12" t="str">
            <v>Mechanical Parts</v>
          </cell>
          <cell r="G12"/>
        </row>
        <row r="13">
          <cell r="A13" t="str">
            <v>BOX 800 Default 2.0</v>
          </cell>
          <cell r="B13" t="str">
            <v>CoPlan</v>
          </cell>
          <cell r="C13" t="str">
            <v>Laura 8</v>
          </cell>
          <cell r="E13" t="str">
            <v>Packaging</v>
          </cell>
          <cell r="G13"/>
        </row>
        <row r="14">
          <cell r="A14" t="str">
            <v>BOX 800 Default 2.0</v>
          </cell>
          <cell r="B14" t="str">
            <v>CoPlan</v>
          </cell>
          <cell r="C14" t="str">
            <v xml:space="preserve">Laura 5 </v>
          </cell>
          <cell r="E14" t="str">
            <v>E-liquid</v>
          </cell>
          <cell r="G14"/>
        </row>
        <row r="15">
          <cell r="A15" t="str">
            <v>BOX 800 Default 2.0</v>
          </cell>
          <cell r="B15" t="str">
            <v>CoPlan</v>
          </cell>
          <cell r="C15" t="str">
            <v>Inflation</v>
          </cell>
          <cell r="E15" t="str">
            <v>Mechanical Parts</v>
          </cell>
          <cell r="G15"/>
        </row>
        <row r="16">
          <cell r="A16" t="str">
            <v>BOX 800 Default 2.0</v>
          </cell>
          <cell r="B16" t="str">
            <v>CoPlan</v>
          </cell>
          <cell r="C16" t="str">
            <v>Inflation</v>
          </cell>
          <cell r="E16" t="str">
            <v>Core Technology</v>
          </cell>
          <cell r="G16"/>
        </row>
        <row r="17">
          <cell r="A17" t="str">
            <v>BOX 800 Default 2.0</v>
          </cell>
          <cell r="B17" t="str">
            <v>CoPlan</v>
          </cell>
          <cell r="C17" t="str">
            <v>Inflation</v>
          </cell>
          <cell r="E17" t="str">
            <v>Packaging</v>
          </cell>
          <cell r="G17"/>
        </row>
        <row r="18">
          <cell r="A18" t="str">
            <v>BOX 800 Default 2.0</v>
          </cell>
          <cell r="B18" t="str">
            <v>CoPlan</v>
          </cell>
          <cell r="C18" t="str">
            <v>Inflation</v>
          </cell>
          <cell r="E18" t="str">
            <v>E-liquid</v>
          </cell>
          <cell r="G18"/>
        </row>
        <row r="19">
          <cell r="A19" t="str">
            <v>BOX 800 Default 2.0</v>
          </cell>
          <cell r="B19" t="str">
            <v>CoPlan</v>
          </cell>
          <cell r="C19" t="str">
            <v>Inflation</v>
          </cell>
          <cell r="E19" t="str">
            <v>Assembly</v>
          </cell>
          <cell r="G19"/>
        </row>
        <row r="20">
          <cell r="A20" t="str">
            <v>BOX 800 Default 2.0</v>
          </cell>
          <cell r="B20" t="str">
            <v>CoPlan</v>
          </cell>
          <cell r="C20" t="str">
            <v>Inflation</v>
          </cell>
          <cell r="E20" t="str">
            <v>Electronics</v>
          </cell>
          <cell r="G20"/>
        </row>
        <row r="21">
          <cell r="A21" t="str">
            <v>BOX 800 Default 2.0</v>
          </cell>
          <cell r="B21" t="str">
            <v>CoPlan</v>
          </cell>
          <cell r="C21" t="str">
            <v>SC023743</v>
          </cell>
          <cell r="E21" t="str">
            <v>E-liquid</v>
          </cell>
          <cell r="G21">
            <v>0</v>
          </cell>
        </row>
        <row r="22">
          <cell r="A22" t="str">
            <v>BOX 800 Default 2.0</v>
          </cell>
          <cell r="B22" t="str">
            <v>CoPlan</v>
          </cell>
          <cell r="C22" t="str">
            <v>SC023547</v>
          </cell>
          <cell r="E22" t="str">
            <v>Electronics</v>
          </cell>
          <cell r="G22">
            <v>0</v>
          </cell>
        </row>
        <row r="23">
          <cell r="A23" t="str">
            <v>BOX 800 Default 2.0</v>
          </cell>
          <cell r="B23" t="str">
            <v>CoPlan</v>
          </cell>
          <cell r="C23" t="str">
            <v>SC023216</v>
          </cell>
          <cell r="E23" t="str">
            <v>Assembly</v>
          </cell>
          <cell r="G23">
            <v>0</v>
          </cell>
        </row>
        <row r="24">
          <cell r="A24" t="str">
            <v>BOX 800 Default 2.0</v>
          </cell>
          <cell r="B24" t="str">
            <v>CoPlan</v>
          </cell>
          <cell r="C24" t="str">
            <v>SC023229</v>
          </cell>
          <cell r="E24" t="str">
            <v>Core Technology</v>
          </cell>
          <cell r="G24">
            <v>0</v>
          </cell>
        </row>
        <row r="25">
          <cell r="A25" t="str">
            <v>BOX 800 Default 2.0</v>
          </cell>
          <cell r="B25" t="str">
            <v>CoPlan</v>
          </cell>
          <cell r="C25" t="str">
            <v>SC023224</v>
          </cell>
          <cell r="E25" t="str">
            <v>Assembly</v>
          </cell>
          <cell r="G25">
            <v>0</v>
          </cell>
        </row>
        <row r="26">
          <cell r="A26" t="str">
            <v>BOX 800 Default 2.0</v>
          </cell>
          <cell r="B26" t="str">
            <v>CoPlan</v>
          </cell>
          <cell r="C26" t="str">
            <v>Strategic_Supp</v>
          </cell>
          <cell r="E26" t="str">
            <v>Assembly</v>
          </cell>
          <cell r="G26">
            <v>8.1541770043497969E-3</v>
          </cell>
        </row>
        <row r="27">
          <cell r="A27" t="str">
            <v>BOX 800 Default 2.0</v>
          </cell>
          <cell r="B27" t="str">
            <v>CoPlan</v>
          </cell>
          <cell r="C27" t="str">
            <v>Thimble cost up</v>
          </cell>
          <cell r="E27" t="str">
            <v>Mechanical Parts</v>
          </cell>
          <cell r="G27">
            <v>0</v>
          </cell>
        </row>
        <row r="28">
          <cell r="A28" t="str">
            <v>BOX 800 Default 2.0</v>
          </cell>
          <cell r="B28" t="str">
            <v>CoPlan</v>
          </cell>
          <cell r="C28" t="str">
            <v>SC023153</v>
          </cell>
          <cell r="E28" t="str">
            <v>Electronics</v>
          </cell>
          <cell r="G28">
            <v>-8.1541770043510684E-3</v>
          </cell>
        </row>
        <row r="29">
          <cell r="A29" t="str">
            <v>BOX 800 Default 2.0</v>
          </cell>
          <cell r="B29" t="str">
            <v>SOP1 FCA</v>
          </cell>
          <cell r="C29"/>
          <cell r="E29"/>
          <cell r="F29">
            <v>0.95806469850202469</v>
          </cell>
          <cell r="G29">
            <v>0.9580646985020248</v>
          </cell>
          <cell r="H29">
            <v>0.95806469850202491</v>
          </cell>
          <cell r="I29">
            <v>0.95806469850202569</v>
          </cell>
          <cell r="J29">
            <v>0.95806469850202569</v>
          </cell>
          <cell r="K29">
            <v>0.9580646985020258</v>
          </cell>
          <cell r="L29">
            <v>0.96014694914185283</v>
          </cell>
          <cell r="M29">
            <v>0.95907392078093001</v>
          </cell>
          <cell r="N29">
            <v>0.94218406245657316</v>
          </cell>
          <cell r="O29">
            <v>0.94045537693165071</v>
          </cell>
          <cell r="P29">
            <v>0.9417008610397033</v>
          </cell>
          <cell r="Q29">
            <v>0.93360617147465796</v>
          </cell>
          <cell r="R29">
            <v>0.93145297517015013</v>
          </cell>
          <cell r="S29">
            <v>0.92906108324887382</v>
          </cell>
          <cell r="T29">
            <v>0.92906108324887382</v>
          </cell>
          <cell r="U29">
            <v>0.92906108324887382</v>
          </cell>
          <cell r="V29">
            <v>0.92906108324887382</v>
          </cell>
        </row>
        <row r="30">
          <cell r="A30" t="str">
            <v>BOX 800 Default 2.0</v>
          </cell>
          <cell r="B30" t="str">
            <v>SOP1</v>
          </cell>
          <cell r="C30" t="str">
            <v>SC023743</v>
          </cell>
          <cell r="E30" t="str">
            <v>E-liquid</v>
          </cell>
          <cell r="G30"/>
        </row>
        <row r="31">
          <cell r="A31" t="str">
            <v>BOX 800 Default 2.0</v>
          </cell>
          <cell r="B31" t="str">
            <v>SOP1</v>
          </cell>
          <cell r="C31" t="str">
            <v>SC023547/SC024358/SC024359/SC024360</v>
          </cell>
          <cell r="E31" t="str">
            <v>Electronics</v>
          </cell>
          <cell r="G31">
            <v>-7.3931204839449531E-3</v>
          </cell>
        </row>
        <row r="32">
          <cell r="A32" t="str">
            <v>BOX 800 Default 2.0</v>
          </cell>
          <cell r="B32" t="str">
            <v>SOP1</v>
          </cell>
          <cell r="C32" t="str">
            <v>SC023216</v>
          </cell>
          <cell r="E32" t="str">
            <v>Assembly</v>
          </cell>
          <cell r="G32"/>
        </row>
        <row r="33">
          <cell r="A33" t="str">
            <v>BOX 800 Default 2.0</v>
          </cell>
          <cell r="B33" t="str">
            <v>SOP1</v>
          </cell>
          <cell r="C33" t="str">
            <v>SC023229</v>
          </cell>
          <cell r="E33" t="str">
            <v>Core Technology</v>
          </cell>
          <cell r="G33"/>
        </row>
        <row r="34">
          <cell r="A34" t="str">
            <v>BOX 800 Default 2.0</v>
          </cell>
          <cell r="B34" t="str">
            <v>SOP1</v>
          </cell>
          <cell r="C34" t="str">
            <v>SC023224</v>
          </cell>
          <cell r="E34" t="str">
            <v>Assembly</v>
          </cell>
          <cell r="G34">
            <v>-1.2002948550404783E-4</v>
          </cell>
        </row>
        <row r="35">
          <cell r="A35" t="str">
            <v>BOX 800 Default 2.0</v>
          </cell>
          <cell r="B35" t="str">
            <v>SOP1</v>
          </cell>
          <cell r="C35" t="str">
            <v>Strategic_Supp</v>
          </cell>
          <cell r="E35" t="str">
            <v>Assembly</v>
          </cell>
          <cell r="G35">
            <v>1.5123715173509997E-2</v>
          </cell>
        </row>
        <row r="36">
          <cell r="A36" t="str">
            <v>BOX 800 Default 2.0</v>
          </cell>
          <cell r="B36" t="str">
            <v>SOP1</v>
          </cell>
          <cell r="C36" t="str">
            <v>Cost up</v>
          </cell>
          <cell r="E36" t="str">
            <v>Mechanical Parts</v>
          </cell>
          <cell r="G36"/>
        </row>
        <row r="37">
          <cell r="A37" t="str">
            <v>BOX 800 Default 2.0</v>
          </cell>
          <cell r="B37" t="str">
            <v>SOP1</v>
          </cell>
          <cell r="C37" t="str">
            <v>SC023153</v>
          </cell>
          <cell r="E37" t="str">
            <v>Electronics</v>
          </cell>
          <cell r="G37">
            <v>-7.6105652040610273E-3</v>
          </cell>
        </row>
        <row r="38">
          <cell r="A38" t="str">
            <v>BOX 800 Default 2.0</v>
          </cell>
          <cell r="B38" t="str">
            <v>SOP1</v>
          </cell>
          <cell r="C38" t="str">
            <v>FX</v>
          </cell>
          <cell r="E38" t="str">
            <v>E-liquid</v>
          </cell>
          <cell r="G38"/>
        </row>
        <row r="39">
          <cell r="A39" t="str">
            <v>BOX 800 Default 2.0</v>
          </cell>
          <cell r="B39" t="str">
            <v>SOP1</v>
          </cell>
          <cell r="C39" t="str">
            <v>TBC</v>
          </cell>
          <cell r="E39" t="str">
            <v>Assembly</v>
          </cell>
          <cell r="G39"/>
        </row>
        <row r="40">
          <cell r="A40" t="str">
            <v>BOX 800 Default 2.0</v>
          </cell>
          <cell r="B40" t="str">
            <v>SOP1</v>
          </cell>
          <cell r="C40" t="str">
            <v>SC023547/SC024358/SC024359/SC024360</v>
          </cell>
          <cell r="E40" t="str">
            <v>Electronics</v>
          </cell>
          <cell r="G40"/>
        </row>
        <row r="41">
          <cell r="A41" t="str">
            <v>BOX 800 Default 2.0</v>
          </cell>
          <cell r="B41" t="str">
            <v>SOP1</v>
          </cell>
          <cell r="C41" t="str">
            <v>SC023224</v>
          </cell>
          <cell r="E41" t="str">
            <v>Assembly</v>
          </cell>
          <cell r="G41"/>
        </row>
        <row r="42">
          <cell r="A42" t="str">
            <v>BOX 800 Default 2.0</v>
          </cell>
          <cell r="B42" t="str">
            <v>SOP1</v>
          </cell>
          <cell r="C42" t="str">
            <v>Strategic_Supp</v>
          </cell>
          <cell r="E42" t="str">
            <v>Assembly</v>
          </cell>
          <cell r="G42"/>
        </row>
        <row r="43">
          <cell r="A43" t="str">
            <v>BOX 800 Default 2.0</v>
          </cell>
          <cell r="B43" t="str">
            <v>SOP1</v>
          </cell>
          <cell r="C43" t="str">
            <v>SC023561</v>
          </cell>
          <cell r="E43" t="str">
            <v>Core Technology</v>
          </cell>
          <cell r="G43"/>
        </row>
        <row r="44">
          <cell r="A44" t="str">
            <v>BOX 800 Default 2.0</v>
          </cell>
          <cell r="B44" t="str">
            <v>SOP1</v>
          </cell>
          <cell r="C44" t="str">
            <v>SC023763</v>
          </cell>
          <cell r="E44" t="str">
            <v>Electronics</v>
          </cell>
          <cell r="G44"/>
        </row>
        <row r="45">
          <cell r="A45" t="str">
            <v>BOX 800 Default 2.0</v>
          </cell>
          <cell r="B45" t="str">
            <v>SOP1</v>
          </cell>
          <cell r="C45" t="str">
            <v>SC023846</v>
          </cell>
          <cell r="E45" t="str">
            <v>Electronics</v>
          </cell>
          <cell r="G45"/>
        </row>
        <row r="46">
          <cell r="A46" t="str">
            <v>BOX 800 Default 2.0</v>
          </cell>
          <cell r="B46" t="str">
            <v>SOP1</v>
          </cell>
          <cell r="C46" t="str">
            <v>Cost up</v>
          </cell>
          <cell r="E46" t="str">
            <v>Packaging</v>
          </cell>
          <cell r="G46"/>
        </row>
        <row r="47">
          <cell r="A47" t="str">
            <v>BOX 800 Default 2.0</v>
          </cell>
          <cell r="B47" t="str">
            <v>SOP1</v>
          </cell>
          <cell r="C47" t="str">
            <v>Cost up</v>
          </cell>
          <cell r="E47" t="str">
            <v>Packaging</v>
          </cell>
          <cell r="G47"/>
        </row>
        <row r="48">
          <cell r="A48" t="str">
            <v>BOX 800 Default 2.0</v>
          </cell>
          <cell r="B48" t="str">
            <v>SOP1</v>
          </cell>
          <cell r="C48" t="str">
            <v>Inflation</v>
          </cell>
          <cell r="E48" t="str">
            <v>Assembly</v>
          </cell>
          <cell r="G48"/>
        </row>
        <row r="49">
          <cell r="A49" t="str">
            <v>BOX 800 Default 2.0</v>
          </cell>
          <cell r="B49" t="str">
            <v>SOP1</v>
          </cell>
          <cell r="C49" t="str">
            <v>Inflation</v>
          </cell>
          <cell r="E49" t="str">
            <v>Mechanical Parts</v>
          </cell>
          <cell r="G49"/>
        </row>
        <row r="50">
          <cell r="A50" t="str">
            <v>BOX 800 Default 2.0</v>
          </cell>
          <cell r="B50" t="str">
            <v>SOP1</v>
          </cell>
          <cell r="C50" t="str">
            <v>Inflation</v>
          </cell>
          <cell r="E50" t="str">
            <v>Core Technology</v>
          </cell>
          <cell r="G50"/>
        </row>
        <row r="51">
          <cell r="A51" t="str">
            <v>BOX 800 Default 2.0</v>
          </cell>
          <cell r="B51" t="str">
            <v>SOP1</v>
          </cell>
          <cell r="C51" t="str">
            <v>Inflation</v>
          </cell>
          <cell r="E51" t="str">
            <v>Packaging</v>
          </cell>
          <cell r="G51"/>
        </row>
        <row r="52">
          <cell r="A52" t="str">
            <v>BOX 800 Default 2.0</v>
          </cell>
          <cell r="B52" t="str">
            <v>SOP1</v>
          </cell>
          <cell r="C52" t="str">
            <v>Inflation</v>
          </cell>
          <cell r="E52" t="str">
            <v>E-liquid</v>
          </cell>
          <cell r="G52"/>
        </row>
        <row r="53">
          <cell r="A53" t="str">
            <v>BOX 800 Default 2.0</v>
          </cell>
          <cell r="B53" t="str">
            <v>SOP1</v>
          </cell>
          <cell r="C53" t="str">
            <v>Inflation</v>
          </cell>
          <cell r="E53" t="str">
            <v>Electronics</v>
          </cell>
          <cell r="G53"/>
        </row>
        <row r="54">
          <cell r="A54" t="str">
            <v>BOX 800 Default 2.0</v>
          </cell>
          <cell r="B54" t="str">
            <v>SOP1</v>
          </cell>
          <cell r="C54" t="str">
            <v>PSTT_TBC</v>
          </cell>
          <cell r="E54" t="str">
            <v>Electronics</v>
          </cell>
          <cell r="G54"/>
        </row>
        <row r="55">
          <cell r="A55" t="str">
            <v>BOX 800 Default 2.0</v>
          </cell>
          <cell r="B55" t="str">
            <v>SOP1</v>
          </cell>
          <cell r="C55" t="str">
            <v>PSTT_TBC</v>
          </cell>
          <cell r="E55" t="str">
            <v>Mechanical Parts</v>
          </cell>
          <cell r="G55"/>
        </row>
        <row r="56">
          <cell r="A56" t="str">
            <v>BOX 800 Default 2.0</v>
          </cell>
          <cell r="B56" t="str">
            <v>SOP1</v>
          </cell>
          <cell r="C56" t="str">
            <v>PSTT_TBC</v>
          </cell>
          <cell r="E56" t="str">
            <v>Mechanical Parts</v>
          </cell>
          <cell r="G56"/>
        </row>
        <row r="57">
          <cell r="A57" t="str">
            <v>BOX 800 Default 2.0</v>
          </cell>
          <cell r="B57" t="str">
            <v>SOP1</v>
          </cell>
          <cell r="C57" t="str">
            <v>PSTT_TBC</v>
          </cell>
          <cell r="E57" t="str">
            <v>Mechanical Parts</v>
          </cell>
          <cell r="G57"/>
        </row>
        <row r="58">
          <cell r="A58" t="str">
            <v>BOX 800 Default 2.0</v>
          </cell>
          <cell r="B58" t="str">
            <v>SOP1</v>
          </cell>
          <cell r="C58" t="str">
            <v>FX</v>
          </cell>
          <cell r="E58" t="str">
            <v>E-liquid</v>
          </cell>
          <cell r="G58"/>
        </row>
        <row r="59">
          <cell r="A59" t="str">
            <v>BOX 800 Default 2.0</v>
          </cell>
          <cell r="B59" t="str">
            <v>SOP1</v>
          </cell>
          <cell r="C59" t="str">
            <v>SC025516</v>
          </cell>
          <cell r="E59" t="str">
            <v>Electronics</v>
          </cell>
          <cell r="G59"/>
        </row>
        <row r="60">
          <cell r="A60" t="str">
            <v>BOX 800 Default 2.0</v>
          </cell>
          <cell r="B60" t="str">
            <v>SOP1</v>
          </cell>
          <cell r="C60" t="str">
            <v>SC025532</v>
          </cell>
          <cell r="E60" t="str">
            <v>Electronics</v>
          </cell>
          <cell r="G60"/>
        </row>
        <row r="61">
          <cell r="A61" t="str">
            <v>BOX 800 Default 2.0</v>
          </cell>
          <cell r="B61" t="str">
            <v>SOP1</v>
          </cell>
          <cell r="C61" t="str">
            <v>BLUESKY</v>
          </cell>
          <cell r="E61" t="str">
            <v>Mechanical Parts</v>
          </cell>
          <cell r="G61"/>
        </row>
        <row r="62">
          <cell r="A62" t="str">
            <v>BOX 800 Default 2.0</v>
          </cell>
          <cell r="B62" t="str">
            <v>SOP1</v>
          </cell>
          <cell r="C62" t="str">
            <v>BLUESKY</v>
          </cell>
          <cell r="E62" t="str">
            <v>Mechanical Parts</v>
          </cell>
          <cell r="G62"/>
        </row>
        <row r="63">
          <cell r="A63" t="str">
            <v>BOX 800 Default 2.0</v>
          </cell>
          <cell r="B63" t="str">
            <v>SOP1</v>
          </cell>
          <cell r="C63" t="str">
            <v>BLUESKY</v>
          </cell>
          <cell r="E63"/>
          <cell r="G63"/>
        </row>
        <row r="64">
          <cell r="A64" t="str">
            <v>BOX 800 Default 2.0</v>
          </cell>
          <cell r="B64" t="str">
            <v>SOP1</v>
          </cell>
          <cell r="C64" t="str">
            <v>BLUESKY</v>
          </cell>
          <cell r="E64"/>
          <cell r="G64"/>
        </row>
        <row r="65">
          <cell r="A65" t="str">
            <v>BOX 800 Default 2.0</v>
          </cell>
          <cell r="B65" t="str">
            <v>SOP1</v>
          </cell>
          <cell r="C65" t="str">
            <v>BLUESKY</v>
          </cell>
          <cell r="E65"/>
          <cell r="G65"/>
        </row>
        <row r="66">
          <cell r="A66" t="str">
            <v>BOX 800 Default 2.0</v>
          </cell>
          <cell r="B66" t="str">
            <v>SOP1</v>
          </cell>
          <cell r="C66" t="str">
            <v>BLUESKY</v>
          </cell>
          <cell r="E66"/>
          <cell r="G66"/>
        </row>
        <row r="67">
          <cell r="A67" t="str">
            <v>BOX 800 Full 2.0</v>
          </cell>
          <cell r="B67" t="str">
            <v>CoPlan FCA</v>
          </cell>
          <cell r="C67"/>
          <cell r="E67"/>
          <cell r="G67">
            <v>1.429082452211897</v>
          </cell>
        </row>
        <row r="68">
          <cell r="A68" t="str">
            <v>BOX 800 Full 2.0</v>
          </cell>
          <cell r="B68" t="str">
            <v>CoPlan</v>
          </cell>
          <cell r="C68" t="str">
            <v>SC023743</v>
          </cell>
          <cell r="E68" t="str">
            <v>E-liquid</v>
          </cell>
          <cell r="G68"/>
        </row>
        <row r="69">
          <cell r="A69" t="str">
            <v>BOX 800 Full 2.0</v>
          </cell>
          <cell r="B69" t="str">
            <v>CoPlan</v>
          </cell>
          <cell r="C69" t="str">
            <v>SC023561</v>
          </cell>
          <cell r="E69" t="str">
            <v>Core Technology</v>
          </cell>
          <cell r="G69"/>
        </row>
        <row r="70">
          <cell r="A70" t="str">
            <v>BOX 800 Full 2.0</v>
          </cell>
          <cell r="B70" t="str">
            <v>CoPlan</v>
          </cell>
          <cell r="C70" t="str">
            <v>SC023772</v>
          </cell>
          <cell r="E70" t="str">
            <v>Electronics</v>
          </cell>
          <cell r="G70"/>
        </row>
        <row r="71">
          <cell r="A71" t="str">
            <v>BOX 800 Full 2.0</v>
          </cell>
          <cell r="B71" t="str">
            <v>CoPlan</v>
          </cell>
          <cell r="C71" t="str">
            <v>SC023763</v>
          </cell>
          <cell r="E71" t="str">
            <v>Electronics</v>
          </cell>
          <cell r="G71"/>
        </row>
        <row r="72">
          <cell r="A72" t="str">
            <v>BOX 800 Full 2.0</v>
          </cell>
          <cell r="B72" t="str">
            <v>CoPlan</v>
          </cell>
          <cell r="C72" t="str">
            <v>SC023846</v>
          </cell>
          <cell r="E72" t="str">
            <v>Electronics</v>
          </cell>
          <cell r="G72"/>
        </row>
        <row r="73">
          <cell r="A73" t="str">
            <v>BOX 800 Full 2.0</v>
          </cell>
          <cell r="B73" t="str">
            <v>CoPlan</v>
          </cell>
          <cell r="C73" t="str">
            <v>SC023735</v>
          </cell>
          <cell r="E73" t="str">
            <v>Mechanical Parts</v>
          </cell>
          <cell r="G73"/>
        </row>
        <row r="74">
          <cell r="A74" t="str">
            <v>BOX 800 Full 2.0</v>
          </cell>
          <cell r="B74" t="str">
            <v>CoPlan</v>
          </cell>
          <cell r="C74" t="str">
            <v>SC023737</v>
          </cell>
          <cell r="E74" t="str">
            <v>Mechanical Parts</v>
          </cell>
          <cell r="G74"/>
        </row>
        <row r="75">
          <cell r="A75" t="str">
            <v>BOX 800 Full 2.0</v>
          </cell>
          <cell r="B75" t="str">
            <v>CoPlan</v>
          </cell>
          <cell r="C75" t="str">
            <v xml:space="preserve">Laura 5 </v>
          </cell>
          <cell r="E75" t="str">
            <v>E-liquid</v>
          </cell>
          <cell r="G75"/>
        </row>
        <row r="76">
          <cell r="A76" t="str">
            <v>BOX 800 Full 2.0</v>
          </cell>
          <cell r="B76" t="str">
            <v>CoPlan</v>
          </cell>
          <cell r="C76" t="str">
            <v>Laura 9</v>
          </cell>
          <cell r="E76" t="str">
            <v>Assembly</v>
          </cell>
          <cell r="G76"/>
        </row>
        <row r="77">
          <cell r="A77" t="str">
            <v>BOX 800 Full 2.0</v>
          </cell>
          <cell r="B77" t="str">
            <v>CoPlan</v>
          </cell>
          <cell r="C77" t="str">
            <v>Inflation</v>
          </cell>
          <cell r="E77" t="str">
            <v>Mechanical Parts</v>
          </cell>
          <cell r="G77"/>
        </row>
        <row r="78">
          <cell r="A78" t="str">
            <v>BOX 800 Full 2.0</v>
          </cell>
          <cell r="B78" t="str">
            <v>CoPlan</v>
          </cell>
          <cell r="C78" t="str">
            <v>Inflation</v>
          </cell>
          <cell r="E78" t="str">
            <v>Core Technology</v>
          </cell>
          <cell r="G78"/>
        </row>
        <row r="79">
          <cell r="A79" t="str">
            <v>BOX 800 Full 2.0</v>
          </cell>
          <cell r="B79" t="str">
            <v>CoPlan</v>
          </cell>
          <cell r="C79" t="str">
            <v>Inflation</v>
          </cell>
          <cell r="E79" t="str">
            <v>Packaging</v>
          </cell>
          <cell r="G79"/>
        </row>
        <row r="80">
          <cell r="A80" t="str">
            <v>BOX 800 Full 2.0</v>
          </cell>
          <cell r="B80" t="str">
            <v>CoPlan</v>
          </cell>
          <cell r="C80" t="str">
            <v>Inflation</v>
          </cell>
          <cell r="E80" t="str">
            <v>E-liquid</v>
          </cell>
          <cell r="G80"/>
        </row>
        <row r="81">
          <cell r="A81" t="str">
            <v>BOX 800 Full 2.0</v>
          </cell>
          <cell r="B81" t="str">
            <v>CoPlan</v>
          </cell>
          <cell r="C81" t="str">
            <v>Inflation</v>
          </cell>
          <cell r="E81" t="str">
            <v>Assembly</v>
          </cell>
          <cell r="G81"/>
        </row>
        <row r="82">
          <cell r="A82" t="str">
            <v>BOX 800 Full 2.0</v>
          </cell>
          <cell r="B82" t="str">
            <v>CoPlan</v>
          </cell>
          <cell r="C82" t="str">
            <v>Inflation</v>
          </cell>
          <cell r="E82" t="str">
            <v>Electronics</v>
          </cell>
          <cell r="G82"/>
        </row>
        <row r="83">
          <cell r="A83" t="str">
            <v>BOX 800 Full 2.0</v>
          </cell>
          <cell r="B83" t="str">
            <v>CoPlan</v>
          </cell>
          <cell r="C83" t="str">
            <v>SC023743</v>
          </cell>
          <cell r="E83" t="str">
            <v>E-liquid</v>
          </cell>
          <cell r="G83">
            <v>0</v>
          </cell>
        </row>
        <row r="84">
          <cell r="A84" t="str">
            <v>BOX 800 Full 2.0</v>
          </cell>
          <cell r="B84" t="str">
            <v>CoPlan</v>
          </cell>
          <cell r="C84" t="str">
            <v>SC023216</v>
          </cell>
          <cell r="E84" t="str">
            <v>Assembly</v>
          </cell>
          <cell r="G84">
            <v>0</v>
          </cell>
        </row>
        <row r="85">
          <cell r="A85" t="str">
            <v>BOX 800 Full 2.0</v>
          </cell>
          <cell r="B85" t="str">
            <v>CoPlan</v>
          </cell>
          <cell r="C85" t="str">
            <v>SC023229</v>
          </cell>
          <cell r="E85" t="str">
            <v>Core Technology</v>
          </cell>
          <cell r="G85">
            <v>0</v>
          </cell>
        </row>
        <row r="86">
          <cell r="A86" t="str">
            <v>BOX 800 Full 2.0</v>
          </cell>
          <cell r="B86" t="str">
            <v>CoPlan</v>
          </cell>
          <cell r="C86" t="str">
            <v>SC023238 &amp; SC023244</v>
          </cell>
          <cell r="E86" t="str">
            <v>Mechanical Parts</v>
          </cell>
          <cell r="G86">
            <v>0</v>
          </cell>
        </row>
        <row r="87">
          <cell r="A87" t="str">
            <v>BOX 800 Full 2.0</v>
          </cell>
          <cell r="B87" t="str">
            <v>CoPlan</v>
          </cell>
          <cell r="C87" t="str">
            <v>SC023524</v>
          </cell>
          <cell r="E87" t="str">
            <v>Assembly</v>
          </cell>
          <cell r="G87">
            <v>0</v>
          </cell>
        </row>
        <row r="88">
          <cell r="A88" t="str">
            <v>BOX 800 Full 2.0</v>
          </cell>
          <cell r="B88" t="str">
            <v>CoPlan</v>
          </cell>
          <cell r="C88" t="str">
            <v>SC023226</v>
          </cell>
          <cell r="E88" t="str">
            <v>Assembly</v>
          </cell>
          <cell r="G88">
            <v>0</v>
          </cell>
        </row>
        <row r="89">
          <cell r="A89" t="str">
            <v>BOX 800 Full 2.0</v>
          </cell>
          <cell r="B89" t="str">
            <v>CoPlan</v>
          </cell>
          <cell r="C89" t="str">
            <v>Amortization</v>
          </cell>
          <cell r="E89" t="str">
            <v>Assembly</v>
          </cell>
          <cell r="G89">
            <v>0</v>
          </cell>
        </row>
        <row r="90">
          <cell r="A90" t="str">
            <v>BOX 800 Full 2.0</v>
          </cell>
          <cell r="B90" t="str">
            <v>CoPlan</v>
          </cell>
          <cell r="C90" t="str">
            <v>Thimble cost up</v>
          </cell>
          <cell r="E90" t="str">
            <v>Mechanical Parts</v>
          </cell>
          <cell r="G90">
            <v>0</v>
          </cell>
        </row>
        <row r="91">
          <cell r="A91" t="str">
            <v>BOX 800 Full 2.0</v>
          </cell>
          <cell r="B91" t="str">
            <v>CoPlan</v>
          </cell>
          <cell r="C91" t="str">
            <v>SC023153</v>
          </cell>
          <cell r="E91" t="str">
            <v>Electronics</v>
          </cell>
          <cell r="G91">
            <v>-8.1541770043510684E-3</v>
          </cell>
        </row>
        <row r="92">
          <cell r="A92" t="str">
            <v>BOX 800 Full 2.0</v>
          </cell>
          <cell r="B92" t="str">
            <v>CoPlan</v>
          </cell>
          <cell r="C92" t="str">
            <v>TBC_Sensor 1k 2.0 full</v>
          </cell>
          <cell r="E92" t="str">
            <v>Electronics</v>
          </cell>
          <cell r="G92">
            <v>0</v>
          </cell>
          <cell r="W92"/>
        </row>
        <row r="93">
          <cell r="A93" t="str">
            <v>BOX 800 Full 2.0</v>
          </cell>
          <cell r="B93" t="str">
            <v>SOP1 FCA</v>
          </cell>
          <cell r="C93"/>
          <cell r="E93"/>
          <cell r="F93">
            <v>1.4372366292162482</v>
          </cell>
          <cell r="G93">
            <v>1.4304028902222181</v>
          </cell>
        </row>
        <row r="94">
          <cell r="A94" t="str">
            <v>BOX 800 Full 2.0</v>
          </cell>
          <cell r="B94" t="str">
            <v>SOP1</v>
          </cell>
          <cell r="C94" t="str">
            <v>SC023743</v>
          </cell>
          <cell r="E94" t="str">
            <v>E-liquid</v>
          </cell>
          <cell r="G94"/>
        </row>
        <row r="95">
          <cell r="A95" t="str">
            <v>BOX 800 Full 2.0</v>
          </cell>
          <cell r="B95" t="str">
            <v>SOP1</v>
          </cell>
          <cell r="C95" t="str">
            <v>SC023216</v>
          </cell>
          <cell r="E95" t="str">
            <v>Assembly</v>
          </cell>
          <cell r="G95"/>
        </row>
        <row r="96">
          <cell r="A96" t="str">
            <v>BOX 800 Full 2.0</v>
          </cell>
          <cell r="B96" t="str">
            <v>SOP1</v>
          </cell>
          <cell r="C96" t="str">
            <v>SC023229</v>
          </cell>
          <cell r="E96" t="str">
            <v>Core Technology</v>
          </cell>
          <cell r="G96"/>
        </row>
        <row r="97">
          <cell r="A97" t="str">
            <v>BOX 800 Full 2.0</v>
          </cell>
          <cell r="B97" t="str">
            <v>SOP1</v>
          </cell>
          <cell r="C97" t="str">
            <v>SC023238 &amp; SC023244</v>
          </cell>
          <cell r="E97" t="str">
            <v>Mechanical Parts</v>
          </cell>
          <cell r="G97">
            <v>-3.517168347876758E-3</v>
          </cell>
        </row>
        <row r="98">
          <cell r="A98" t="str">
            <v>BOX 800 Full 2.0</v>
          </cell>
          <cell r="B98" t="str">
            <v>SOP1</v>
          </cell>
          <cell r="C98" t="str">
            <v>SC024750</v>
          </cell>
          <cell r="E98" t="str">
            <v>Assembly</v>
          </cell>
          <cell r="G98"/>
        </row>
        <row r="99">
          <cell r="A99" t="str">
            <v>BOX 800 Full 2.0</v>
          </cell>
          <cell r="B99" t="str">
            <v>SOP1</v>
          </cell>
          <cell r="C99" t="str">
            <v>SC023226</v>
          </cell>
          <cell r="E99" t="str">
            <v>Assembly</v>
          </cell>
          <cell r="G99">
            <v>-5.9458084268526827E-5</v>
          </cell>
        </row>
        <row r="100">
          <cell r="A100" t="str">
            <v>BOX 800 Full 2.0</v>
          </cell>
          <cell r="B100" t="str">
            <v>SOP1</v>
          </cell>
          <cell r="C100" t="str">
            <v>Amortization</v>
          </cell>
          <cell r="E100" t="str">
            <v>Assembly</v>
          </cell>
          <cell r="G100">
            <v>6.5797962380437908E-4</v>
          </cell>
        </row>
        <row r="101">
          <cell r="A101" t="str">
            <v>BOX 800 Full 2.0</v>
          </cell>
          <cell r="B101" t="str">
            <v>SOP1</v>
          </cell>
          <cell r="C101" t="str">
            <v>Thimble cost up</v>
          </cell>
          <cell r="E101" t="str">
            <v>Mechanical Parts</v>
          </cell>
          <cell r="G101"/>
        </row>
        <row r="102">
          <cell r="A102" t="str">
            <v>BOX 800 Full 2.0</v>
          </cell>
          <cell r="B102" t="str">
            <v>SOP1</v>
          </cell>
          <cell r="C102" t="str">
            <v>SC023153</v>
          </cell>
          <cell r="E102" t="str">
            <v>Electronics</v>
          </cell>
          <cell r="G102">
            <v>-7.6105652040610273E-3</v>
          </cell>
        </row>
        <row r="103">
          <cell r="A103" t="str">
            <v>BOX 800 Full 2.0</v>
          </cell>
          <cell r="B103" t="str">
            <v>SOP1</v>
          </cell>
          <cell r="C103" t="str">
            <v>Spec</v>
          </cell>
          <cell r="E103" t="str">
            <v>Mechanical Parts</v>
          </cell>
          <cell r="G103">
            <v>3.6954730183719037E-3</v>
          </cell>
        </row>
        <row r="104">
          <cell r="A104" t="str">
            <v>BOX 800 Full 2.0</v>
          </cell>
          <cell r="B104" t="str">
            <v>SOP1</v>
          </cell>
          <cell r="C104" t="str">
            <v>FX</v>
          </cell>
          <cell r="E104" t="str">
            <v>E-liquid</v>
          </cell>
          <cell r="G104"/>
        </row>
        <row r="105">
          <cell r="A105" t="str">
            <v>BOX 800 Full 2.0</v>
          </cell>
          <cell r="B105" t="str">
            <v>SOP1</v>
          </cell>
          <cell r="C105" t="str">
            <v>SC023561</v>
          </cell>
          <cell r="E105" t="str">
            <v>Core Technology</v>
          </cell>
          <cell r="G105"/>
        </row>
        <row r="106">
          <cell r="A106" t="str">
            <v>BOX 800 Full 2.0</v>
          </cell>
          <cell r="B106" t="str">
            <v>SOP1</v>
          </cell>
          <cell r="C106" t="str">
            <v>SC023226</v>
          </cell>
          <cell r="E106" t="str">
            <v>Assembly</v>
          </cell>
          <cell r="G106"/>
        </row>
        <row r="107">
          <cell r="A107" t="str">
            <v>BOX 800 Full 2.0</v>
          </cell>
          <cell r="B107" t="str">
            <v>SOP1</v>
          </cell>
          <cell r="C107" t="str">
            <v>SC023772</v>
          </cell>
          <cell r="E107" t="str">
            <v>Electronics</v>
          </cell>
          <cell r="G107"/>
        </row>
        <row r="108">
          <cell r="A108" t="str">
            <v>BOX 800 Full 2.0</v>
          </cell>
          <cell r="B108" t="str">
            <v>SOP1</v>
          </cell>
          <cell r="C108" t="str">
            <v>SC023763</v>
          </cell>
          <cell r="E108" t="str">
            <v>Electronics</v>
          </cell>
          <cell r="G108"/>
        </row>
        <row r="109">
          <cell r="A109" t="str">
            <v>BOX 800 Full 2.0</v>
          </cell>
          <cell r="B109" t="str">
            <v>SOP1</v>
          </cell>
          <cell r="C109" t="str">
            <v>SC023846</v>
          </cell>
          <cell r="E109" t="str">
            <v>Electronics</v>
          </cell>
          <cell r="G109"/>
        </row>
        <row r="110">
          <cell r="A110" t="str">
            <v>BOX 800 Full 2.0</v>
          </cell>
          <cell r="B110" t="str">
            <v>SOP1</v>
          </cell>
          <cell r="C110" t="str">
            <v>SC024799</v>
          </cell>
          <cell r="E110" t="str">
            <v>Packaging</v>
          </cell>
          <cell r="G110"/>
        </row>
        <row r="111">
          <cell r="A111" t="str">
            <v>BOX 800 Full 2.0</v>
          </cell>
          <cell r="B111" t="str">
            <v>SOP1</v>
          </cell>
          <cell r="C111" t="str">
            <v>PSTT TBC</v>
          </cell>
          <cell r="E111" t="str">
            <v>Assembly</v>
          </cell>
          <cell r="G111"/>
        </row>
        <row r="112">
          <cell r="A112" t="str">
            <v>BOX 800 Full 2.0</v>
          </cell>
          <cell r="B112" t="str">
            <v>SOP1</v>
          </cell>
          <cell r="C112" t="str">
            <v>Cost up</v>
          </cell>
          <cell r="E112" t="str">
            <v>Packaging</v>
          </cell>
          <cell r="G112"/>
        </row>
        <row r="113">
          <cell r="A113" t="str">
            <v>BOX 800 Full 2.0</v>
          </cell>
          <cell r="B113" t="str">
            <v>SOP1</v>
          </cell>
          <cell r="C113" t="str">
            <v>Inflation</v>
          </cell>
          <cell r="E113" t="str">
            <v>Assembly</v>
          </cell>
          <cell r="G113"/>
        </row>
        <row r="114">
          <cell r="A114" t="str">
            <v>BOX 800 Full 2.0</v>
          </cell>
          <cell r="B114" t="str">
            <v>SOP1</v>
          </cell>
          <cell r="C114" t="str">
            <v>Inflation</v>
          </cell>
          <cell r="E114" t="str">
            <v>Mechanical Parts</v>
          </cell>
          <cell r="G114"/>
        </row>
        <row r="115">
          <cell r="A115" t="str">
            <v>BOX 800 Full 2.0</v>
          </cell>
          <cell r="B115" t="str">
            <v>SOP1</v>
          </cell>
          <cell r="C115" t="str">
            <v>Inflation</v>
          </cell>
          <cell r="E115" t="str">
            <v>Core Technology</v>
          </cell>
          <cell r="G115"/>
        </row>
        <row r="116">
          <cell r="A116" t="str">
            <v>BOX 800 Full 2.0</v>
          </cell>
          <cell r="B116" t="str">
            <v>SOP1</v>
          </cell>
          <cell r="C116" t="str">
            <v>Inflation</v>
          </cell>
          <cell r="E116" t="str">
            <v>Packaging</v>
          </cell>
          <cell r="G116"/>
        </row>
        <row r="117">
          <cell r="A117" t="str">
            <v>BOX 800 Full 2.0</v>
          </cell>
          <cell r="B117" t="str">
            <v>SOP1</v>
          </cell>
          <cell r="C117" t="str">
            <v>Inflation</v>
          </cell>
          <cell r="E117" t="str">
            <v>E-liquid</v>
          </cell>
          <cell r="G117"/>
        </row>
        <row r="118">
          <cell r="A118" t="str">
            <v>BOX 800 Full 2.0</v>
          </cell>
          <cell r="B118" t="str">
            <v>SOP1</v>
          </cell>
          <cell r="C118" t="str">
            <v>Inflation</v>
          </cell>
          <cell r="E118" t="str">
            <v>Electronics</v>
          </cell>
          <cell r="G118"/>
        </row>
        <row r="119">
          <cell r="A119" t="str">
            <v>BOX 800 Full 2.0</v>
          </cell>
          <cell r="B119" t="str">
            <v>SOP1</v>
          </cell>
          <cell r="C119" t="str">
            <v>FX</v>
          </cell>
          <cell r="E119" t="str">
            <v>E-liquid</v>
          </cell>
          <cell r="G119"/>
        </row>
        <row r="120">
          <cell r="A120" t="str">
            <v>BOX 800 Full 2.0</v>
          </cell>
          <cell r="B120" t="str">
            <v>SOP1</v>
          </cell>
          <cell r="C120" t="str">
            <v>SC025166</v>
          </cell>
          <cell r="E120" t="str">
            <v>Mechanical Parts</v>
          </cell>
          <cell r="G120"/>
        </row>
        <row r="121">
          <cell r="A121" t="str">
            <v>BOX 800 Full 2.0</v>
          </cell>
          <cell r="B121" t="str">
            <v>SOP1</v>
          </cell>
          <cell r="C121" t="str">
            <v>SC025175</v>
          </cell>
          <cell r="E121" t="str">
            <v>Mechanical Parts</v>
          </cell>
          <cell r="G121"/>
        </row>
        <row r="122">
          <cell r="A122" t="str">
            <v>BOX 800 Full 2.0</v>
          </cell>
          <cell r="B122" t="str">
            <v>SOP1</v>
          </cell>
          <cell r="C122" t="str">
            <v>PSTT_TBC</v>
          </cell>
          <cell r="E122" t="str">
            <v>Mechanical Parts</v>
          </cell>
          <cell r="G122"/>
        </row>
        <row r="123">
          <cell r="A123" t="str">
            <v>BOX 800 Full 2.0</v>
          </cell>
          <cell r="B123" t="str">
            <v>SOP1</v>
          </cell>
          <cell r="C123" t="str">
            <v>SC025516</v>
          </cell>
          <cell r="E123" t="str">
            <v>Electronics</v>
          </cell>
          <cell r="G123"/>
        </row>
        <row r="124">
          <cell r="A124" t="str">
            <v>BOX 800 Full 2.0</v>
          </cell>
          <cell r="B124" t="str">
            <v>SOP1</v>
          </cell>
          <cell r="C124" t="str">
            <v>SC025524</v>
          </cell>
          <cell r="E124" t="str">
            <v>Electronics</v>
          </cell>
          <cell r="G124"/>
        </row>
        <row r="125">
          <cell r="A125" t="str">
            <v>BOX 800 Full 2.0</v>
          </cell>
          <cell r="B125" t="str">
            <v>SOP1</v>
          </cell>
          <cell r="C125" t="str">
            <v>BLUESKY</v>
          </cell>
          <cell r="E125" t="str">
            <v>Mechanical Parts</v>
          </cell>
          <cell r="G125"/>
        </row>
        <row r="126">
          <cell r="A126" t="str">
            <v>BOX 800 Full 2.0</v>
          </cell>
          <cell r="B126" t="str">
            <v>SOP1</v>
          </cell>
          <cell r="C126" t="str">
            <v>BLUESKY</v>
          </cell>
          <cell r="E126" t="str">
            <v>Mechanical Parts</v>
          </cell>
          <cell r="G126"/>
        </row>
        <row r="127">
          <cell r="A127" t="str">
            <v>BOX 800 Full 2.0</v>
          </cell>
          <cell r="B127" t="str">
            <v>SOP1</v>
          </cell>
          <cell r="C127" t="str">
            <v>BLUESKY</v>
          </cell>
          <cell r="E127"/>
          <cell r="G127"/>
        </row>
        <row r="128">
          <cell r="A128" t="str">
            <v>BOX 800 Full 2.0</v>
          </cell>
          <cell r="B128" t="str">
            <v>SOP1</v>
          </cell>
          <cell r="C128" t="str">
            <v>BLUESKY</v>
          </cell>
          <cell r="E128"/>
          <cell r="G128"/>
        </row>
        <row r="129">
          <cell r="A129" t="str">
            <v>BOX 800 Full 2.0</v>
          </cell>
          <cell r="B129" t="str">
            <v>SOP1</v>
          </cell>
          <cell r="C129" t="str">
            <v>BLUESKY</v>
          </cell>
          <cell r="E129"/>
          <cell r="G129"/>
        </row>
        <row r="130">
          <cell r="A130" t="str">
            <v>BOX 3K Full 2.0</v>
          </cell>
          <cell r="B130" t="str">
            <v>CoPlan FCA</v>
          </cell>
          <cell r="C130"/>
          <cell r="E130"/>
          <cell r="G130">
            <v>2.0692103333471232</v>
          </cell>
        </row>
        <row r="131">
          <cell r="A131" t="str">
            <v>BOX 3K Full 2.0</v>
          </cell>
          <cell r="B131" t="str">
            <v>CoPlan</v>
          </cell>
          <cell r="C131" t="str">
            <v>SC023561</v>
          </cell>
          <cell r="E131" t="str">
            <v>Core Technology</v>
          </cell>
          <cell r="G131"/>
        </row>
        <row r="132">
          <cell r="A132" t="str">
            <v>BOX 3K Full 2.0</v>
          </cell>
          <cell r="B132" t="str">
            <v>CoPlan</v>
          </cell>
          <cell r="C132" t="str">
            <v>SC023898</v>
          </cell>
          <cell r="E132" t="str">
            <v>Electronics</v>
          </cell>
          <cell r="G132"/>
        </row>
        <row r="133">
          <cell r="A133" t="str">
            <v>BOX 3K Full 2.0</v>
          </cell>
          <cell r="B133" t="str">
            <v>CoPlan</v>
          </cell>
          <cell r="C133" t="str">
            <v>SC023770</v>
          </cell>
          <cell r="E133" t="str">
            <v>Electronics</v>
          </cell>
          <cell r="G133"/>
        </row>
        <row r="134">
          <cell r="A134" t="str">
            <v>BOX 3K Full 2.0</v>
          </cell>
          <cell r="B134" t="str">
            <v>CoPlan</v>
          </cell>
          <cell r="C134" t="str">
            <v>SC023769</v>
          </cell>
          <cell r="E134" t="str">
            <v>Electronics</v>
          </cell>
          <cell r="G134"/>
        </row>
        <row r="135">
          <cell r="A135" t="str">
            <v>BOX 3K Full 2.0</v>
          </cell>
          <cell r="B135" t="str">
            <v>CoPlan</v>
          </cell>
          <cell r="C135" t="str">
            <v xml:space="preserve">SC023820 </v>
          </cell>
          <cell r="E135" t="str">
            <v>Electronics</v>
          </cell>
          <cell r="G135"/>
        </row>
        <row r="136">
          <cell r="A136" t="str">
            <v>BOX 3K Full 2.0</v>
          </cell>
          <cell r="B136" t="str">
            <v>CoPlan</v>
          </cell>
          <cell r="C136" t="str">
            <v>Laura 14</v>
          </cell>
          <cell r="E136" t="str">
            <v>Mechanical Parts</v>
          </cell>
          <cell r="G136"/>
        </row>
        <row r="137">
          <cell r="A137" t="str">
            <v>BOX 3K Full 2.0</v>
          </cell>
          <cell r="B137" t="str">
            <v>CoPlan</v>
          </cell>
          <cell r="C137" t="str">
            <v>Laura 15</v>
          </cell>
          <cell r="E137" t="str">
            <v>Packaging</v>
          </cell>
          <cell r="G137"/>
        </row>
        <row r="138">
          <cell r="A138" t="str">
            <v>BOX 3K Full 2.0</v>
          </cell>
          <cell r="B138" t="str">
            <v>CoPlan</v>
          </cell>
          <cell r="C138" t="str">
            <v>Laura 16</v>
          </cell>
          <cell r="E138" t="str">
            <v>E-liquid</v>
          </cell>
          <cell r="G138"/>
        </row>
        <row r="139">
          <cell r="A139" t="str">
            <v>BOX 3K Full 2.0</v>
          </cell>
          <cell r="B139" t="str">
            <v>CoPlan</v>
          </cell>
          <cell r="C139" t="str">
            <v>Laura 17</v>
          </cell>
          <cell r="E139" t="str">
            <v>Assembly</v>
          </cell>
          <cell r="G139"/>
        </row>
        <row r="140">
          <cell r="A140" t="str">
            <v>BOX 3K Full 2.0</v>
          </cell>
          <cell r="B140" t="str">
            <v>CoPlan</v>
          </cell>
          <cell r="C140" t="str">
            <v>SC023229</v>
          </cell>
          <cell r="E140" t="str">
            <v>Core Technology</v>
          </cell>
          <cell r="G140">
            <v>0</v>
          </cell>
        </row>
        <row r="141">
          <cell r="A141" t="str">
            <v>BOX 3K Full 2.0</v>
          </cell>
          <cell r="B141" t="str">
            <v>CoPlan</v>
          </cell>
          <cell r="C141" t="str">
            <v>LED light</v>
          </cell>
          <cell r="E141" t="str">
            <v>Electronics</v>
          </cell>
          <cell r="G141">
            <v>0</v>
          </cell>
        </row>
        <row r="142">
          <cell r="A142" t="str">
            <v>BOX 3K Full 2.0</v>
          </cell>
          <cell r="B142" t="str">
            <v>CoPlan</v>
          </cell>
          <cell r="C142" t="str">
            <v>SC023153</v>
          </cell>
          <cell r="E142" t="str">
            <v>Electronics</v>
          </cell>
          <cell r="G142">
            <v>-8.1541770043510684E-3</v>
          </cell>
        </row>
        <row r="143">
          <cell r="A143" t="str">
            <v>BOX 3K Full 2.0</v>
          </cell>
          <cell r="B143" t="str">
            <v>CoPlan</v>
          </cell>
          <cell r="C143" t="str">
            <v>SC023744</v>
          </cell>
          <cell r="E143" t="str">
            <v>E-liquid</v>
          </cell>
          <cell r="G143">
            <v>0</v>
          </cell>
        </row>
        <row r="144">
          <cell r="A144" t="str">
            <v>BOX 3K Full 2.0</v>
          </cell>
          <cell r="B144" t="str">
            <v>CoPlan</v>
          </cell>
          <cell r="C144" t="str">
            <v>Cable increse</v>
          </cell>
          <cell r="E144" t="str">
            <v>Electronics</v>
          </cell>
          <cell r="G144">
            <v>0</v>
          </cell>
        </row>
        <row r="145">
          <cell r="A145" t="str">
            <v>BOX 3K Full 2.0</v>
          </cell>
          <cell r="B145" t="str">
            <v>SOP1 FCA</v>
          </cell>
          <cell r="C145"/>
          <cell r="E145"/>
          <cell r="G145">
            <v>0</v>
          </cell>
        </row>
        <row r="146">
          <cell r="A146" t="str">
            <v>BOX 3K Full 2.0</v>
          </cell>
          <cell r="B146" t="str">
            <v>SOP1</v>
          </cell>
          <cell r="C146" t="str">
            <v>SC023229</v>
          </cell>
          <cell r="E146" t="str">
            <v>Core Technology</v>
          </cell>
          <cell r="G146"/>
        </row>
        <row r="147">
          <cell r="A147" t="str">
            <v>BOX 3K Full 2.0</v>
          </cell>
          <cell r="B147" t="str">
            <v>SOP1</v>
          </cell>
          <cell r="C147" t="str">
            <v>FX</v>
          </cell>
          <cell r="E147" t="str">
            <v>E-liquid</v>
          </cell>
          <cell r="G147"/>
        </row>
        <row r="148">
          <cell r="A148" t="str">
            <v>BOX 3K Full 2.0</v>
          </cell>
          <cell r="B148" t="str">
            <v>SOP1</v>
          </cell>
          <cell r="C148" t="str">
            <v>TML - Waste Assembly</v>
          </cell>
          <cell r="E148" t="str">
            <v>Assembly</v>
          </cell>
          <cell r="G148"/>
        </row>
        <row r="149">
          <cell r="A149" t="str">
            <v>BOX 3K Full 2.0</v>
          </cell>
          <cell r="B149" t="str">
            <v>SOP1</v>
          </cell>
          <cell r="C149" t="str">
            <v>Packaging_3kF</v>
          </cell>
          <cell r="E149" t="str">
            <v>Packaging</v>
          </cell>
          <cell r="G149"/>
        </row>
        <row r="150">
          <cell r="A150" t="str">
            <v>BOX 3K Full 2.0</v>
          </cell>
          <cell r="B150" t="str">
            <v>SOP1</v>
          </cell>
          <cell r="C150" t="str">
            <v>SC023561</v>
          </cell>
          <cell r="E150" t="str">
            <v>Core Technology</v>
          </cell>
          <cell r="G150"/>
        </row>
        <row r="151">
          <cell r="A151" t="str">
            <v>BOX 3K Full 2.0</v>
          </cell>
          <cell r="B151" t="str">
            <v>SOP1</v>
          </cell>
          <cell r="C151" t="str">
            <v>LED light</v>
          </cell>
          <cell r="E151" t="str">
            <v>Electronics</v>
          </cell>
          <cell r="G151"/>
        </row>
        <row r="152">
          <cell r="A152" t="str">
            <v>BOX 3K Full 2.0</v>
          </cell>
          <cell r="B152" t="str">
            <v>SOP1</v>
          </cell>
          <cell r="C152" t="str">
            <v>PSTT_TBC</v>
          </cell>
          <cell r="E152" t="str">
            <v>Electronics</v>
          </cell>
          <cell r="G152"/>
        </row>
        <row r="153">
          <cell r="A153" t="str">
            <v>BOX 3K Full 2.0</v>
          </cell>
          <cell r="B153" t="str">
            <v>SOP1</v>
          </cell>
          <cell r="C153" t="str">
            <v>SC023770</v>
          </cell>
          <cell r="E153" t="str">
            <v>Electronics</v>
          </cell>
          <cell r="G153"/>
        </row>
        <row r="154">
          <cell r="A154" t="str">
            <v>BOX 3K Full 2.0</v>
          </cell>
          <cell r="B154" t="str">
            <v>SOP1</v>
          </cell>
          <cell r="C154" t="str">
            <v>SC023769</v>
          </cell>
          <cell r="E154" t="str">
            <v>Electronics</v>
          </cell>
          <cell r="G154"/>
        </row>
        <row r="155">
          <cell r="A155" t="str">
            <v>BOX 3K Full 2.0</v>
          </cell>
          <cell r="B155" t="str">
            <v>SOP1</v>
          </cell>
          <cell r="C155" t="str">
            <v>SC023842</v>
          </cell>
          <cell r="E155" t="str">
            <v>Electronics</v>
          </cell>
          <cell r="G155"/>
        </row>
        <row r="156">
          <cell r="A156" t="str">
            <v>BOX 3K Full 2.0</v>
          </cell>
          <cell r="B156" t="str">
            <v>SOP1</v>
          </cell>
          <cell r="C156" t="str">
            <v>SC024796</v>
          </cell>
          <cell r="E156" t="str">
            <v>Packaging</v>
          </cell>
          <cell r="G156"/>
        </row>
        <row r="157">
          <cell r="A157" t="str">
            <v>BOX 3K Full 2.0</v>
          </cell>
          <cell r="B157" t="str">
            <v>SOP1</v>
          </cell>
          <cell r="C157" t="str">
            <v>PSTT TBC</v>
          </cell>
          <cell r="E157" t="str">
            <v>Assembly</v>
          </cell>
          <cell r="G157"/>
        </row>
        <row r="158">
          <cell r="A158" t="str">
            <v>BOX 3K Full 2.0</v>
          </cell>
          <cell r="B158" t="str">
            <v>SOP1</v>
          </cell>
          <cell r="C158" t="str">
            <v>SC024584</v>
          </cell>
          <cell r="E158" t="str">
            <v>Mechanical Parts</v>
          </cell>
          <cell r="G158"/>
        </row>
        <row r="159">
          <cell r="A159" t="str">
            <v>BOX 3K Full 2.0</v>
          </cell>
          <cell r="B159" t="str">
            <v>SOP1</v>
          </cell>
          <cell r="C159" t="str">
            <v>Cost up</v>
          </cell>
          <cell r="E159" t="str">
            <v>Packaging</v>
          </cell>
          <cell r="G159"/>
        </row>
        <row r="160">
          <cell r="A160" t="str">
            <v>BOX 3K Full 2.0</v>
          </cell>
          <cell r="B160" t="str">
            <v>SOP1</v>
          </cell>
          <cell r="C160" t="str">
            <v>Inflation</v>
          </cell>
          <cell r="E160" t="str">
            <v>Assembly</v>
          </cell>
          <cell r="G160"/>
        </row>
        <row r="161">
          <cell r="A161" t="str">
            <v>BOX 3K Full 2.0</v>
          </cell>
          <cell r="B161" t="str">
            <v>SOP1</v>
          </cell>
          <cell r="C161" t="str">
            <v>Inflation</v>
          </cell>
          <cell r="E161" t="str">
            <v>Mechanical Parts</v>
          </cell>
          <cell r="G161"/>
        </row>
        <row r="162">
          <cell r="A162" t="str">
            <v>BOX 3K Full 2.0</v>
          </cell>
          <cell r="B162" t="str">
            <v>SOP1</v>
          </cell>
          <cell r="C162" t="str">
            <v>Inflation</v>
          </cell>
          <cell r="E162" t="str">
            <v>Core Technology</v>
          </cell>
          <cell r="G162"/>
        </row>
        <row r="163">
          <cell r="A163" t="str">
            <v>BOX 3K Full 2.0</v>
          </cell>
          <cell r="B163" t="str">
            <v>SOP1</v>
          </cell>
          <cell r="C163" t="str">
            <v>Inflation</v>
          </cell>
          <cell r="E163" t="str">
            <v>Packaging</v>
          </cell>
          <cell r="G163"/>
        </row>
        <row r="164">
          <cell r="A164" t="str">
            <v>BOX 3K Full 2.0</v>
          </cell>
          <cell r="B164" t="str">
            <v>SOP1</v>
          </cell>
          <cell r="C164" t="str">
            <v>Inflation</v>
          </cell>
          <cell r="E164" t="str">
            <v>E-liquid</v>
          </cell>
          <cell r="G164"/>
        </row>
        <row r="165">
          <cell r="A165" t="str">
            <v>BOX 3K Full 2.0</v>
          </cell>
          <cell r="B165" t="str">
            <v>SOP1</v>
          </cell>
          <cell r="C165" t="str">
            <v>Inflation</v>
          </cell>
          <cell r="E165" t="str">
            <v>Electronics</v>
          </cell>
          <cell r="G165"/>
        </row>
        <row r="166">
          <cell r="A166" t="str">
            <v>BOX 3K Full 2.0</v>
          </cell>
          <cell r="B166" t="str">
            <v>SOP1</v>
          </cell>
          <cell r="C166" t="str">
            <v>PSTT_TBC</v>
          </cell>
          <cell r="E166" t="str">
            <v>Mechanical Parts</v>
          </cell>
          <cell r="G166"/>
        </row>
        <row r="167">
          <cell r="A167" t="str">
            <v>BOX 3K Full 2.0</v>
          </cell>
          <cell r="B167" t="str">
            <v>SOP1</v>
          </cell>
          <cell r="C167" t="str">
            <v>PSTT_TBC</v>
          </cell>
          <cell r="E167" t="str">
            <v>Mechanical Parts</v>
          </cell>
          <cell r="G167"/>
        </row>
        <row r="168">
          <cell r="A168" t="str">
            <v>BOX 3K Full 2.0</v>
          </cell>
          <cell r="B168" t="str">
            <v>SOP1</v>
          </cell>
          <cell r="C168" t="str">
            <v>PSTT_TBC</v>
          </cell>
          <cell r="E168" t="str">
            <v>Mechanical Parts</v>
          </cell>
          <cell r="G168"/>
        </row>
        <row r="169">
          <cell r="A169" t="str">
            <v>BOX 3K Full 2.0</v>
          </cell>
          <cell r="B169" t="str">
            <v>SOP1</v>
          </cell>
          <cell r="C169" t="str">
            <v>Cable increse</v>
          </cell>
          <cell r="E169" t="str">
            <v>Electronics</v>
          </cell>
          <cell r="G169"/>
        </row>
        <row r="170">
          <cell r="A170" t="str">
            <v>BOX 3K Full 2.0</v>
          </cell>
          <cell r="B170" t="str">
            <v>SOP1</v>
          </cell>
          <cell r="C170" t="str">
            <v>FX</v>
          </cell>
          <cell r="E170" t="str">
            <v>E-liquid</v>
          </cell>
          <cell r="G170"/>
        </row>
        <row r="171">
          <cell r="A171" t="str">
            <v>BOX 3K Full 2.0</v>
          </cell>
          <cell r="B171" t="str">
            <v>SOP1</v>
          </cell>
          <cell r="C171" t="str">
            <v>TML - Waste Assembly</v>
          </cell>
          <cell r="E171" t="str">
            <v>Assembly</v>
          </cell>
          <cell r="G171"/>
        </row>
        <row r="172">
          <cell r="A172" t="str">
            <v>BOX 3K Full 2.0</v>
          </cell>
          <cell r="B172" t="str">
            <v>SOP1</v>
          </cell>
          <cell r="C172" t="str">
            <v>BLUESKY</v>
          </cell>
          <cell r="E172" t="str">
            <v>Mechanical Parts</v>
          </cell>
          <cell r="G172"/>
        </row>
        <row r="173">
          <cell r="A173" t="str">
            <v>BOX 3K Full 2.0</v>
          </cell>
          <cell r="B173" t="str">
            <v>SOP1</v>
          </cell>
          <cell r="C173" t="str">
            <v>BLUESKY</v>
          </cell>
          <cell r="E173" t="str">
            <v>Assembly</v>
          </cell>
          <cell r="G173"/>
        </row>
        <row r="174">
          <cell r="A174" t="str">
            <v>BOX 3K Full 2.0</v>
          </cell>
          <cell r="B174" t="str">
            <v>SOP1</v>
          </cell>
          <cell r="C174" t="str">
            <v>SC025515</v>
          </cell>
          <cell r="E174" t="str">
            <v>Electronics</v>
          </cell>
          <cell r="G174"/>
        </row>
        <row r="175">
          <cell r="A175" t="str">
            <v>BOX 3K Full 2.0</v>
          </cell>
          <cell r="B175" t="str">
            <v>SOP1</v>
          </cell>
          <cell r="C175" t="str">
            <v>SC025527</v>
          </cell>
          <cell r="E175" t="str">
            <v>Electronics</v>
          </cell>
          <cell r="G175"/>
        </row>
        <row r="176">
          <cell r="A176" t="str">
            <v>BOX 3K Full 2.0</v>
          </cell>
          <cell r="B176" t="str">
            <v>SOP1</v>
          </cell>
          <cell r="C176" t="str">
            <v>BLUESKY</v>
          </cell>
          <cell r="E176" t="str">
            <v>Mechanical Parts</v>
          </cell>
          <cell r="G176"/>
        </row>
        <row r="177">
          <cell r="A177" t="str">
            <v>BOX 3K Full 2.0</v>
          </cell>
          <cell r="B177" t="str">
            <v>SOP1</v>
          </cell>
          <cell r="C177" t="str">
            <v>BLUESKY</v>
          </cell>
          <cell r="E177" t="str">
            <v>Mechanical Parts</v>
          </cell>
          <cell r="G177"/>
        </row>
        <row r="178">
          <cell r="A178" t="str">
            <v>BOX 3K Full 2.0</v>
          </cell>
          <cell r="B178" t="str">
            <v>SOP1</v>
          </cell>
          <cell r="C178" t="str">
            <v>BLUESKY</v>
          </cell>
          <cell r="E178"/>
          <cell r="G178"/>
        </row>
        <row r="179">
          <cell r="A179" t="str">
            <v>BOX 5K Full 2.0</v>
          </cell>
          <cell r="B179" t="str">
            <v>CoPlan FCA</v>
          </cell>
          <cell r="C179"/>
          <cell r="E179"/>
          <cell r="G179">
            <v>2.1779573862663542</v>
          </cell>
        </row>
        <row r="180">
          <cell r="A180" t="str">
            <v>BOX 5K Full 2.0</v>
          </cell>
          <cell r="B180" t="str">
            <v>CoPlan</v>
          </cell>
          <cell r="C180" t="str">
            <v>SC023561</v>
          </cell>
          <cell r="E180" t="str">
            <v>Core Technology</v>
          </cell>
          <cell r="G180"/>
        </row>
        <row r="181">
          <cell r="A181" t="str">
            <v>BOX 5K Full 2.0</v>
          </cell>
          <cell r="B181" t="str">
            <v>CoPlan</v>
          </cell>
          <cell r="C181" t="str">
            <v>SC023899</v>
          </cell>
          <cell r="E181" t="str">
            <v>Electronics</v>
          </cell>
          <cell r="G181"/>
        </row>
        <row r="182">
          <cell r="A182" t="str">
            <v>BOX 5K Full 2.0</v>
          </cell>
          <cell r="B182" t="str">
            <v>CoPlan</v>
          </cell>
          <cell r="C182" t="str">
            <v>SC023770</v>
          </cell>
          <cell r="E182" t="str">
            <v>Electronics</v>
          </cell>
          <cell r="G182"/>
        </row>
        <row r="183">
          <cell r="A183" t="str">
            <v>BOX 5K Full 2.0</v>
          </cell>
          <cell r="B183" t="str">
            <v>CoPlan</v>
          </cell>
          <cell r="C183" t="str">
            <v>SC023769</v>
          </cell>
          <cell r="E183" t="str">
            <v>Electronics</v>
          </cell>
          <cell r="G183"/>
        </row>
        <row r="184">
          <cell r="A184" t="str">
            <v>BOX 5K Full 2.0</v>
          </cell>
          <cell r="B184" t="str">
            <v>CoPlan</v>
          </cell>
          <cell r="C184" t="str">
            <v xml:space="preserve">SC023820 </v>
          </cell>
          <cell r="E184" t="str">
            <v>Electronics</v>
          </cell>
          <cell r="G184"/>
        </row>
        <row r="185">
          <cell r="A185" t="str">
            <v>BOX 5K Full 2.0</v>
          </cell>
          <cell r="B185" t="str">
            <v>CoPlan</v>
          </cell>
          <cell r="C185" t="str">
            <v>Laura 18</v>
          </cell>
          <cell r="E185" t="str">
            <v>E-liquid</v>
          </cell>
          <cell r="G185"/>
        </row>
        <row r="186">
          <cell r="A186" t="str">
            <v>BOX 5K Full 2.0</v>
          </cell>
          <cell r="B186" t="str">
            <v>CoPlan</v>
          </cell>
          <cell r="C186" t="str">
            <v>Inflation</v>
          </cell>
          <cell r="E186" t="str">
            <v>Mechanical Parts</v>
          </cell>
          <cell r="G186"/>
        </row>
        <row r="187">
          <cell r="A187" t="str">
            <v>BOX 5K Full 2.0</v>
          </cell>
          <cell r="B187" t="str">
            <v>CoPlan</v>
          </cell>
          <cell r="C187" t="str">
            <v>Inflation</v>
          </cell>
          <cell r="E187" t="str">
            <v>Core Technology</v>
          </cell>
          <cell r="G187"/>
        </row>
        <row r="188">
          <cell r="A188" t="str">
            <v>BOX 5K Full 2.0</v>
          </cell>
          <cell r="B188" t="str">
            <v>CoPlan</v>
          </cell>
          <cell r="C188" t="str">
            <v>Inflation</v>
          </cell>
          <cell r="E188" t="str">
            <v>Packaging</v>
          </cell>
          <cell r="G188"/>
        </row>
        <row r="189">
          <cell r="A189" t="str">
            <v>BOX 5K Full 2.0</v>
          </cell>
          <cell r="B189" t="str">
            <v>CoPlan</v>
          </cell>
          <cell r="C189" t="str">
            <v>Inflation</v>
          </cell>
          <cell r="E189" t="str">
            <v>E-liquid</v>
          </cell>
          <cell r="G189"/>
        </row>
        <row r="190">
          <cell r="A190" t="str">
            <v>BOX 5K Full 2.0</v>
          </cell>
          <cell r="B190" t="str">
            <v>CoPlan</v>
          </cell>
          <cell r="C190" t="str">
            <v>Inflation</v>
          </cell>
          <cell r="E190" t="str">
            <v>Assembly</v>
          </cell>
          <cell r="G190"/>
        </row>
        <row r="191">
          <cell r="A191" t="str">
            <v>BOX 5K Full 2.0</v>
          </cell>
          <cell r="B191" t="str">
            <v>CoPlan</v>
          </cell>
          <cell r="C191" t="str">
            <v>Inflation</v>
          </cell>
          <cell r="E191" t="str">
            <v>Electronics</v>
          </cell>
          <cell r="G191"/>
        </row>
        <row r="192">
          <cell r="A192" t="str">
            <v>BOX 5K Full 2.0</v>
          </cell>
          <cell r="B192" t="str">
            <v>CoPlan</v>
          </cell>
          <cell r="C192" t="str">
            <v>SC023745</v>
          </cell>
          <cell r="E192" t="str">
            <v>E-liquid</v>
          </cell>
          <cell r="G192">
            <v>0</v>
          </cell>
        </row>
        <row r="193">
          <cell r="A193" t="str">
            <v>BOX 5K Full 2.0</v>
          </cell>
          <cell r="B193" t="str">
            <v>CoPlan</v>
          </cell>
          <cell r="C193" t="str">
            <v>SC023216</v>
          </cell>
          <cell r="E193" t="str">
            <v>Assembly</v>
          </cell>
          <cell r="G193">
            <v>-9.02395588481519E-3</v>
          </cell>
        </row>
        <row r="194">
          <cell r="A194" t="str">
            <v>BOX 5K Full 2.0</v>
          </cell>
          <cell r="B194" t="str">
            <v>CoPlan</v>
          </cell>
          <cell r="C194" t="str">
            <v>SC023240 &amp; SC023246</v>
          </cell>
          <cell r="E194" t="str">
            <v>Mechanical Parts</v>
          </cell>
          <cell r="G194">
            <v>0</v>
          </cell>
        </row>
        <row r="195">
          <cell r="A195" t="str">
            <v>BOX 5K Full 2.0</v>
          </cell>
          <cell r="B195" t="str">
            <v>CoPlan</v>
          </cell>
          <cell r="C195" t="str">
            <v>SC023229</v>
          </cell>
          <cell r="E195" t="str">
            <v>Core Technology</v>
          </cell>
          <cell r="G195">
            <v>0</v>
          </cell>
        </row>
        <row r="196">
          <cell r="A196" t="str">
            <v>BOX 5K Full 2.0</v>
          </cell>
          <cell r="B196" t="str">
            <v>CoPlan</v>
          </cell>
          <cell r="C196" t="str">
            <v>5. LED light</v>
          </cell>
          <cell r="E196" t="str">
            <v>Mechanical Parts</v>
          </cell>
          <cell r="G196">
            <v>0</v>
          </cell>
        </row>
        <row r="197">
          <cell r="A197" t="str">
            <v>BOX 5K Full 2.0</v>
          </cell>
          <cell r="B197" t="str">
            <v>CoPlan</v>
          </cell>
          <cell r="C197" t="str">
            <v>SC023525</v>
          </cell>
          <cell r="E197" t="str">
            <v>Assembly</v>
          </cell>
          <cell r="G197">
            <v>0</v>
          </cell>
        </row>
        <row r="198">
          <cell r="A198" t="str">
            <v>BOX 5K Full 2.0</v>
          </cell>
          <cell r="B198" t="str">
            <v>CoPlan</v>
          </cell>
          <cell r="C198" t="str">
            <v>SC023227</v>
          </cell>
          <cell r="E198" t="str">
            <v>Assembly</v>
          </cell>
          <cell r="G198">
            <v>0</v>
          </cell>
        </row>
        <row r="199">
          <cell r="A199" t="str">
            <v>BOX 5K Full 2.0</v>
          </cell>
          <cell r="B199" t="str">
            <v>CoPlan</v>
          </cell>
          <cell r="C199" t="str">
            <v>Thimble cost up</v>
          </cell>
          <cell r="E199" t="str">
            <v>Mechanical Parts</v>
          </cell>
          <cell r="G199">
            <v>0</v>
          </cell>
        </row>
        <row r="200">
          <cell r="A200" t="str">
            <v>BOX 5K Full 2.0</v>
          </cell>
          <cell r="B200" t="str">
            <v>CoPlan</v>
          </cell>
          <cell r="C200" t="str">
            <v>SC023153</v>
          </cell>
          <cell r="E200" t="str">
            <v>Electronics</v>
          </cell>
          <cell r="G200">
            <v>-8.1541770043510684E-3</v>
          </cell>
        </row>
        <row r="201">
          <cell r="A201" t="str">
            <v>BOX 5K Full 2.0</v>
          </cell>
          <cell r="B201" t="str">
            <v>CoPlan</v>
          </cell>
          <cell r="C201" t="str">
            <v>Cable increse</v>
          </cell>
          <cell r="E201" t="str">
            <v>Electronics</v>
          </cell>
          <cell r="G201">
            <v>0</v>
          </cell>
        </row>
        <row r="202">
          <cell r="A202" t="str">
            <v>BOX 5K Full 2.0</v>
          </cell>
          <cell r="B202" t="str">
            <v>SOP1 FCA</v>
          </cell>
          <cell r="C202"/>
          <cell r="E202"/>
          <cell r="G202">
            <v>2.2111084311277258</v>
          </cell>
        </row>
        <row r="203">
          <cell r="A203" t="str">
            <v>BOX 5K Full 2.0</v>
          </cell>
          <cell r="B203" t="str">
            <v>SOP1</v>
          </cell>
          <cell r="C203" t="str">
            <v>SC023745</v>
          </cell>
          <cell r="E203" t="str">
            <v>E-liquid</v>
          </cell>
          <cell r="G203"/>
        </row>
        <row r="204">
          <cell r="A204" t="str">
            <v>BOX 5K Full 2.0</v>
          </cell>
          <cell r="B204" t="str">
            <v>SOP1</v>
          </cell>
          <cell r="C204" t="str">
            <v>SC023240 &amp; SC023246</v>
          </cell>
          <cell r="E204" t="str">
            <v>Mechanical Parts</v>
          </cell>
          <cell r="G204">
            <v>-1.6580159908847166E-3</v>
          </cell>
        </row>
        <row r="205">
          <cell r="A205" t="str">
            <v>BOX 5K Full 2.0</v>
          </cell>
          <cell r="B205" t="str">
            <v>SOP1</v>
          </cell>
          <cell r="C205" t="str">
            <v>SC023229</v>
          </cell>
          <cell r="E205" t="str">
            <v>Core Technology</v>
          </cell>
          <cell r="G205"/>
        </row>
        <row r="206">
          <cell r="A206" t="str">
            <v>BOX 5K Full 2.0</v>
          </cell>
          <cell r="B206" t="str">
            <v>SOP1</v>
          </cell>
          <cell r="C206" t="str">
            <v>Amortization</v>
          </cell>
          <cell r="E206" t="str">
            <v>Assembly</v>
          </cell>
          <cell r="G206">
            <v>2.933106996839244E-3</v>
          </cell>
        </row>
        <row r="207">
          <cell r="A207" t="str">
            <v>BOX 5K Full 2.0</v>
          </cell>
          <cell r="B207" t="str">
            <v>SOP1</v>
          </cell>
          <cell r="C207" t="str">
            <v>SC024750</v>
          </cell>
          <cell r="E207" t="str">
            <v>Assembly</v>
          </cell>
          <cell r="G207"/>
        </row>
        <row r="208">
          <cell r="A208" t="str">
            <v>BOX 5K Full 2.0</v>
          </cell>
          <cell r="B208" t="str">
            <v>SOP1</v>
          </cell>
          <cell r="C208" t="str">
            <v>SC023227</v>
          </cell>
          <cell r="E208" t="str">
            <v>Assembly</v>
          </cell>
          <cell r="G208">
            <v>1.0349051567754712E-4</v>
          </cell>
        </row>
        <row r="209">
          <cell r="A209" t="str">
            <v>BOX 5K Full 2.0</v>
          </cell>
          <cell r="B209" t="str">
            <v>SOP1</v>
          </cell>
          <cell r="C209" t="str">
            <v>Thimble cost up</v>
          </cell>
          <cell r="E209" t="str">
            <v>Mechanical Parts</v>
          </cell>
          <cell r="G209"/>
        </row>
        <row r="210">
          <cell r="A210" t="str">
            <v>BOX 5K Full 2.0</v>
          </cell>
          <cell r="B210" t="str">
            <v>SOP1</v>
          </cell>
          <cell r="C210" t="str">
            <v>SC023153</v>
          </cell>
          <cell r="E210" t="str">
            <v>Electronics</v>
          </cell>
          <cell r="G210">
            <v>-7.6105652040610273E-3</v>
          </cell>
        </row>
        <row r="211">
          <cell r="A211" t="str">
            <v>BOX 5K Full 2.0</v>
          </cell>
          <cell r="B211" t="str">
            <v>SOP1</v>
          </cell>
          <cell r="C211" t="str">
            <v>Spec</v>
          </cell>
          <cell r="E211" t="str">
            <v>Mechanical Parts</v>
          </cell>
          <cell r="G211">
            <v>2.2204895654634137E-2</v>
          </cell>
        </row>
        <row r="212">
          <cell r="A212" t="str">
            <v>BOX 5K Full 2.0</v>
          </cell>
          <cell r="B212" t="str">
            <v>SOP1</v>
          </cell>
          <cell r="C212" t="str">
            <v>FX</v>
          </cell>
          <cell r="E212" t="str">
            <v>E-liquid</v>
          </cell>
          <cell r="G212"/>
        </row>
        <row r="213">
          <cell r="A213" t="str">
            <v>BOX 5K Full 2.0</v>
          </cell>
          <cell r="B213" t="str">
            <v>SOP1</v>
          </cell>
          <cell r="C213" t="str">
            <v>5. LED light</v>
          </cell>
          <cell r="E213" t="str">
            <v>Mechanical Parts</v>
          </cell>
          <cell r="G213"/>
        </row>
        <row r="214">
          <cell r="A214" t="str">
            <v>BOX 5K Full 2.0</v>
          </cell>
          <cell r="B214" t="str">
            <v>SOP1</v>
          </cell>
          <cell r="C214" t="str">
            <v>SC023227</v>
          </cell>
          <cell r="E214" t="str">
            <v>Assembly</v>
          </cell>
          <cell r="G214"/>
        </row>
        <row r="215">
          <cell r="A215" t="str">
            <v>BOX 5K Full 2.0</v>
          </cell>
          <cell r="B215" t="str">
            <v>SOP1</v>
          </cell>
          <cell r="C215" t="str">
            <v>SC023561</v>
          </cell>
          <cell r="E215" t="str">
            <v>Core Technology</v>
          </cell>
          <cell r="G215"/>
        </row>
        <row r="216">
          <cell r="A216" t="str">
            <v>BOX 5K Full 2.0</v>
          </cell>
          <cell r="B216" t="str">
            <v>SOP1</v>
          </cell>
          <cell r="C216" t="str">
            <v>SC023770</v>
          </cell>
          <cell r="E216" t="str">
            <v>Electronics</v>
          </cell>
          <cell r="G216"/>
        </row>
        <row r="217">
          <cell r="A217" t="str">
            <v>BOX 5K Full 2.0</v>
          </cell>
          <cell r="B217" t="str">
            <v>SOP1</v>
          </cell>
          <cell r="C217" t="str">
            <v>SC023769</v>
          </cell>
          <cell r="E217" t="str">
            <v>Electronics</v>
          </cell>
          <cell r="G217"/>
        </row>
        <row r="218">
          <cell r="A218" t="str">
            <v>BOX 5K Full 2.0</v>
          </cell>
          <cell r="B218" t="str">
            <v>SOP1</v>
          </cell>
          <cell r="C218" t="str">
            <v>SC024584</v>
          </cell>
          <cell r="E218" t="str">
            <v>Mechanical Parts</v>
          </cell>
          <cell r="G218"/>
        </row>
        <row r="219">
          <cell r="A219" t="str">
            <v>BOX 5K Full 2.0</v>
          </cell>
          <cell r="B219" t="str">
            <v>SOP1</v>
          </cell>
          <cell r="C219" t="str">
            <v>PSTT#</v>
          </cell>
          <cell r="E219" t="str">
            <v>Mechanical Parts</v>
          </cell>
          <cell r="G219"/>
        </row>
        <row r="220">
          <cell r="A220" t="str">
            <v>BOX 5K Full 2.0</v>
          </cell>
          <cell r="B220" t="str">
            <v>SOP1</v>
          </cell>
          <cell r="C220" t="str">
            <v>PSTT#</v>
          </cell>
          <cell r="E220" t="str">
            <v>Mechanical Parts</v>
          </cell>
          <cell r="G220"/>
        </row>
        <row r="221">
          <cell r="A221" t="str">
            <v>BOX 5K Full 2.0</v>
          </cell>
          <cell r="B221" t="str">
            <v>SOP1</v>
          </cell>
          <cell r="C221" t="str">
            <v>PSTT#</v>
          </cell>
          <cell r="E221" t="str">
            <v>Electronics</v>
          </cell>
          <cell r="G221"/>
        </row>
        <row r="222">
          <cell r="A222" t="str">
            <v>BOX 5K Full 2.0</v>
          </cell>
          <cell r="B222" t="str">
            <v>SOP1</v>
          </cell>
          <cell r="C222" t="str">
            <v>PSTT_TBC</v>
          </cell>
          <cell r="E222" t="str">
            <v>Mechanical Parts</v>
          </cell>
          <cell r="G222"/>
        </row>
        <row r="223">
          <cell r="A223" t="str">
            <v>BOX 5K Full 2.0</v>
          </cell>
          <cell r="B223" t="str">
            <v>SOP1</v>
          </cell>
          <cell r="C223" t="str">
            <v>SC023842</v>
          </cell>
          <cell r="E223" t="str">
            <v>Electronics</v>
          </cell>
          <cell r="G223"/>
        </row>
        <row r="224">
          <cell r="A224" t="str">
            <v>BOX 5K Full 2.0</v>
          </cell>
          <cell r="B224" t="str">
            <v>SOP1</v>
          </cell>
          <cell r="C224" t="str">
            <v>SC024796</v>
          </cell>
          <cell r="E224" t="str">
            <v>Packaging</v>
          </cell>
          <cell r="G224"/>
        </row>
        <row r="225">
          <cell r="A225" t="str">
            <v>BOX 5K Full 2.0</v>
          </cell>
          <cell r="B225" t="str">
            <v>SOP1</v>
          </cell>
          <cell r="C225" t="str">
            <v>PSTT TBC</v>
          </cell>
          <cell r="E225" t="str">
            <v>Assembly</v>
          </cell>
          <cell r="G225"/>
        </row>
        <row r="226">
          <cell r="A226" t="str">
            <v>BOX 5K Full 2.0</v>
          </cell>
          <cell r="B226" t="str">
            <v>SOP1</v>
          </cell>
          <cell r="C226" t="str">
            <v>Cost up</v>
          </cell>
          <cell r="E226" t="str">
            <v>Packaging</v>
          </cell>
          <cell r="G226"/>
        </row>
        <row r="227">
          <cell r="A227" t="str">
            <v>BOX 5K Full 2.0</v>
          </cell>
          <cell r="B227" t="str">
            <v>SOP1</v>
          </cell>
          <cell r="C227" t="str">
            <v>Inflation</v>
          </cell>
          <cell r="E227" t="str">
            <v>Assembly</v>
          </cell>
          <cell r="G227"/>
        </row>
        <row r="228">
          <cell r="A228" t="str">
            <v>BOX 5K Full 2.0</v>
          </cell>
          <cell r="B228" t="str">
            <v>SOP1</v>
          </cell>
          <cell r="C228" t="str">
            <v>Inflation</v>
          </cell>
          <cell r="E228" t="str">
            <v>Mechanical Parts</v>
          </cell>
          <cell r="G228"/>
        </row>
        <row r="229">
          <cell r="A229" t="str">
            <v>BOX 5K Full 2.0</v>
          </cell>
          <cell r="B229" t="str">
            <v>SOP1</v>
          </cell>
          <cell r="C229" t="str">
            <v>Inflation</v>
          </cell>
          <cell r="E229" t="str">
            <v>Core Technology</v>
          </cell>
          <cell r="G229"/>
        </row>
        <row r="230">
          <cell r="A230" t="str">
            <v>BOX 5K Full 2.0</v>
          </cell>
          <cell r="B230" t="str">
            <v>SOP1</v>
          </cell>
          <cell r="C230" t="str">
            <v>Inflation</v>
          </cell>
          <cell r="E230" t="str">
            <v>Packaging</v>
          </cell>
          <cell r="G230"/>
        </row>
        <row r="231">
          <cell r="A231" t="str">
            <v>BOX 5K Full 2.0</v>
          </cell>
          <cell r="B231" t="str">
            <v>SOP1</v>
          </cell>
          <cell r="C231" t="str">
            <v>Inflation</v>
          </cell>
          <cell r="E231" t="str">
            <v>E-liquid</v>
          </cell>
          <cell r="G231"/>
        </row>
        <row r="232">
          <cell r="A232" t="str">
            <v>BOX 5K Full 2.0</v>
          </cell>
          <cell r="B232" t="str">
            <v>SOP1</v>
          </cell>
          <cell r="C232" t="str">
            <v>Inflation</v>
          </cell>
          <cell r="E232" t="str">
            <v>Electronics</v>
          </cell>
          <cell r="G232"/>
        </row>
        <row r="233">
          <cell r="A233" t="str">
            <v>BOX 5K Full 2.0</v>
          </cell>
          <cell r="B233" t="str">
            <v>SOP1</v>
          </cell>
          <cell r="C233" t="str">
            <v>Cable increse</v>
          </cell>
          <cell r="E233" t="str">
            <v>Electronics</v>
          </cell>
          <cell r="G233"/>
        </row>
        <row r="234">
          <cell r="A234" t="str">
            <v>BOX 5K Full 2.0</v>
          </cell>
          <cell r="B234" t="str">
            <v>SOP1</v>
          </cell>
          <cell r="C234" t="str">
            <v>FX</v>
          </cell>
          <cell r="E234" t="str">
            <v>E-liquid</v>
          </cell>
          <cell r="G234"/>
        </row>
        <row r="235">
          <cell r="A235" t="str">
            <v>BOX 5K Full 2.0</v>
          </cell>
          <cell r="B235" t="str">
            <v>SOP1</v>
          </cell>
          <cell r="C235" t="str">
            <v>BLUESKY</v>
          </cell>
          <cell r="E235" t="str">
            <v>Mechanical Parts</v>
          </cell>
          <cell r="G235"/>
        </row>
        <row r="236">
          <cell r="A236" t="str">
            <v>BOX 5K Full 2.0</v>
          </cell>
          <cell r="B236" t="str">
            <v>SOP1</v>
          </cell>
          <cell r="C236" t="str">
            <v>BLUESKY</v>
          </cell>
          <cell r="E236" t="str">
            <v>Assembly</v>
          </cell>
          <cell r="G236"/>
        </row>
        <row r="237">
          <cell r="A237" t="str">
            <v>BOX 5K Full 2.0</v>
          </cell>
          <cell r="B237" t="str">
            <v>SOP1</v>
          </cell>
          <cell r="C237" t="str">
            <v>SC025515</v>
          </cell>
          <cell r="E237" t="str">
            <v>Electronics</v>
          </cell>
          <cell r="G237"/>
        </row>
        <row r="238">
          <cell r="A238" t="str">
            <v>BOX 5K Full 2.0</v>
          </cell>
          <cell r="B238" t="str">
            <v>SOP1</v>
          </cell>
          <cell r="C238" t="str">
            <v>SC025528</v>
          </cell>
          <cell r="E238" t="str">
            <v>Electronics</v>
          </cell>
          <cell r="G238"/>
        </row>
        <row r="239">
          <cell r="A239" t="str">
            <v>BOX 5K Full 2.0</v>
          </cell>
          <cell r="B239" t="str">
            <v>SOP1</v>
          </cell>
          <cell r="C239" t="str">
            <v>BLUESKY</v>
          </cell>
          <cell r="E239" t="str">
            <v>Mechanical Parts</v>
          </cell>
          <cell r="G239"/>
        </row>
        <row r="240">
          <cell r="A240" t="str">
            <v>BOX 5K Full 2.0</v>
          </cell>
          <cell r="B240" t="str">
            <v>SOP1</v>
          </cell>
          <cell r="C240" t="str">
            <v>BLUESKY</v>
          </cell>
          <cell r="E240" t="str">
            <v>Mechanical Parts</v>
          </cell>
          <cell r="G240"/>
        </row>
        <row r="241">
          <cell r="A241" t="str">
            <v>BOX 5K Full 2.0</v>
          </cell>
          <cell r="B241" t="str">
            <v>SOP1</v>
          </cell>
          <cell r="C241" t="str">
            <v>BLUESKY</v>
          </cell>
          <cell r="E241"/>
          <cell r="G241"/>
        </row>
        <row r="242">
          <cell r="A242" t="str">
            <v>BOX 5K Full 2.0</v>
          </cell>
          <cell r="B242" t="str">
            <v>SOP1</v>
          </cell>
          <cell r="C242"/>
          <cell r="E242"/>
          <cell r="G242"/>
        </row>
        <row r="243">
          <cell r="A243" t="str">
            <v>BOX 8K Full 2.0</v>
          </cell>
          <cell r="B243" t="str">
            <v>CoPlan FCA</v>
          </cell>
          <cell r="C243"/>
          <cell r="E243"/>
          <cell r="G243">
            <v>2.4333130619620436</v>
          </cell>
        </row>
        <row r="244">
          <cell r="A244" t="str">
            <v>BOX 8K Full 2.0</v>
          </cell>
          <cell r="B244" t="str">
            <v>CoPlan</v>
          </cell>
          <cell r="C244" t="str">
            <v>SC023561</v>
          </cell>
          <cell r="E244" t="str">
            <v>Core Technology</v>
          </cell>
          <cell r="G244"/>
        </row>
        <row r="245">
          <cell r="A245" t="str">
            <v>BOX 8K Full 2.0</v>
          </cell>
          <cell r="B245" t="str">
            <v>CoPlan</v>
          </cell>
          <cell r="C245" t="str">
            <v>SC023770</v>
          </cell>
          <cell r="E245" t="str">
            <v>Electronics</v>
          </cell>
          <cell r="G245"/>
        </row>
        <row r="246">
          <cell r="A246" t="str">
            <v>BOX 8K Full 2.0</v>
          </cell>
          <cell r="B246" t="str">
            <v>CoPlan</v>
          </cell>
          <cell r="C246" t="str">
            <v>SC023769</v>
          </cell>
          <cell r="E246" t="str">
            <v>Electronics</v>
          </cell>
          <cell r="G246"/>
        </row>
        <row r="247">
          <cell r="A247" t="str">
            <v>BOX 8K Full 2.0</v>
          </cell>
          <cell r="B247" t="str">
            <v>CoPlan</v>
          </cell>
          <cell r="C247" t="str">
            <v xml:space="preserve">SC023820 </v>
          </cell>
          <cell r="E247" t="str">
            <v>Electronics</v>
          </cell>
          <cell r="G247"/>
        </row>
        <row r="248">
          <cell r="A248" t="str">
            <v>BOX 8K Full 2.0</v>
          </cell>
          <cell r="B248" t="str">
            <v>CoPlan</v>
          </cell>
          <cell r="C248" t="str">
            <v>Laura 19</v>
          </cell>
          <cell r="E248" t="str">
            <v>E-liquid</v>
          </cell>
          <cell r="G248"/>
        </row>
        <row r="249">
          <cell r="A249" t="str">
            <v>BOX 8K Full 2.0</v>
          </cell>
          <cell r="B249" t="str">
            <v>CoPlan</v>
          </cell>
          <cell r="C249" t="str">
            <v>Laura 20</v>
          </cell>
          <cell r="E249" t="str">
            <v>Assembly</v>
          </cell>
          <cell r="G249"/>
        </row>
        <row r="250">
          <cell r="A250" t="str">
            <v>BOX 8K Full 2.0</v>
          </cell>
          <cell r="B250" t="str">
            <v>CoPlan</v>
          </cell>
          <cell r="C250" t="str">
            <v>Inflation</v>
          </cell>
          <cell r="E250" t="str">
            <v>Mechanical Parts</v>
          </cell>
          <cell r="G250"/>
        </row>
        <row r="251">
          <cell r="A251" t="str">
            <v>BOX 8K Full 2.0</v>
          </cell>
          <cell r="B251" t="str">
            <v>CoPlan</v>
          </cell>
          <cell r="C251" t="str">
            <v>Inflation</v>
          </cell>
          <cell r="E251" t="str">
            <v>Core Technology</v>
          </cell>
          <cell r="G251"/>
        </row>
        <row r="252">
          <cell r="A252" t="str">
            <v>BOX 8K Full 2.0</v>
          </cell>
          <cell r="B252" t="str">
            <v>CoPlan</v>
          </cell>
          <cell r="C252" t="str">
            <v>Inflation</v>
          </cell>
          <cell r="E252" t="str">
            <v>Packaging</v>
          </cell>
          <cell r="G252"/>
        </row>
        <row r="253">
          <cell r="A253" t="str">
            <v>BOX 8K Full 2.0</v>
          </cell>
          <cell r="B253" t="str">
            <v>CoPlan</v>
          </cell>
          <cell r="C253" t="str">
            <v>Inflation</v>
          </cell>
          <cell r="E253" t="str">
            <v>E-liquid</v>
          </cell>
          <cell r="G253"/>
        </row>
        <row r="254">
          <cell r="A254" t="str">
            <v>BOX 8K Full 2.0</v>
          </cell>
          <cell r="B254" t="str">
            <v>CoPlan</v>
          </cell>
          <cell r="C254" t="str">
            <v>Inflation</v>
          </cell>
          <cell r="E254" t="str">
            <v>Assembly</v>
          </cell>
          <cell r="G254"/>
        </row>
        <row r="255">
          <cell r="A255" t="str">
            <v>BOX 8K Full 2.0</v>
          </cell>
          <cell r="B255" t="str">
            <v>CoPlan</v>
          </cell>
          <cell r="C255" t="str">
            <v>Inflation</v>
          </cell>
          <cell r="E255" t="str">
            <v>Electronics</v>
          </cell>
          <cell r="G255"/>
        </row>
        <row r="256">
          <cell r="A256" t="str">
            <v>BOX 8K Full 2.0</v>
          </cell>
          <cell r="B256" t="str">
            <v>CoPlan</v>
          </cell>
          <cell r="C256" t="str">
            <v>SC023900</v>
          </cell>
          <cell r="E256" t="str">
            <v>Electronics</v>
          </cell>
          <cell r="G256"/>
        </row>
        <row r="257">
          <cell r="A257" t="str">
            <v>BOX 8K Full 2.0</v>
          </cell>
          <cell r="B257" t="str">
            <v>CoPlan</v>
          </cell>
          <cell r="C257" t="str">
            <v>SC023229</v>
          </cell>
          <cell r="E257" t="str">
            <v>Core Technology</v>
          </cell>
          <cell r="G257">
            <v>0</v>
          </cell>
        </row>
        <row r="258">
          <cell r="A258" t="str">
            <v>BOX 8K Full 2.0</v>
          </cell>
          <cell r="B258" t="str">
            <v>CoPlan</v>
          </cell>
          <cell r="C258" t="str">
            <v>SC023153</v>
          </cell>
          <cell r="E258" t="str">
            <v>Electronics</v>
          </cell>
          <cell r="G258">
            <v>-8.1541770043510684E-3</v>
          </cell>
        </row>
        <row r="259">
          <cell r="A259" t="str">
            <v>BOX 8K Full 2.0</v>
          </cell>
          <cell r="B259" t="str">
            <v>CoPlan</v>
          </cell>
          <cell r="C259" t="str">
            <v>SC023746</v>
          </cell>
          <cell r="E259" t="str">
            <v>E-liquid</v>
          </cell>
          <cell r="G259">
            <v>0</v>
          </cell>
        </row>
        <row r="260">
          <cell r="A260" t="str">
            <v>BOX 8K Full 2.0</v>
          </cell>
          <cell r="B260" t="str">
            <v>CoPlan</v>
          </cell>
          <cell r="C260" t="str">
            <v>Cable increse</v>
          </cell>
          <cell r="E260" t="str">
            <v>Electronics</v>
          </cell>
          <cell r="G260">
            <v>0</v>
          </cell>
        </row>
        <row r="261">
          <cell r="A261" t="str">
            <v>BOX 8K Full 2.0</v>
          </cell>
          <cell r="B261" t="str">
            <v>SOP1 FCA</v>
          </cell>
          <cell r="C261"/>
          <cell r="E261"/>
          <cell r="G261">
            <v>0</v>
          </cell>
        </row>
        <row r="262">
          <cell r="A262" t="str">
            <v>BOX 8K Full 2.0</v>
          </cell>
          <cell r="B262" t="str">
            <v>SOP1</v>
          </cell>
          <cell r="C262" t="str">
            <v>SC023229</v>
          </cell>
          <cell r="E262" t="str">
            <v>Core Technology</v>
          </cell>
          <cell r="G262"/>
        </row>
        <row r="263">
          <cell r="A263" t="str">
            <v>BOX 8K Full 2.0</v>
          </cell>
          <cell r="B263" t="str">
            <v>SOP1</v>
          </cell>
          <cell r="C263" t="str">
            <v>TML - Waste Assembly</v>
          </cell>
          <cell r="E263" t="str">
            <v>Assembly</v>
          </cell>
          <cell r="G263"/>
        </row>
        <row r="264">
          <cell r="A264" t="str">
            <v>BOX 8K Full 2.0</v>
          </cell>
          <cell r="B264" t="str">
            <v>SOP1</v>
          </cell>
          <cell r="C264" t="str">
            <v>FX</v>
          </cell>
          <cell r="E264" t="str">
            <v>E-liquid</v>
          </cell>
          <cell r="G264"/>
        </row>
        <row r="265">
          <cell r="A265" t="str">
            <v>BOX 8K Full 2.0</v>
          </cell>
          <cell r="B265" t="str">
            <v>SOP1</v>
          </cell>
          <cell r="C265" t="str">
            <v>SC023561</v>
          </cell>
          <cell r="E265" t="str">
            <v>Core Technology</v>
          </cell>
          <cell r="G265"/>
        </row>
        <row r="266">
          <cell r="A266" t="str">
            <v>BOX 8K Full 2.0</v>
          </cell>
          <cell r="B266" t="str">
            <v>SOP1</v>
          </cell>
          <cell r="C266" t="str">
            <v>5. LED light</v>
          </cell>
          <cell r="E266" t="str">
            <v>Electronics</v>
          </cell>
          <cell r="G266"/>
        </row>
        <row r="267">
          <cell r="A267" t="str">
            <v>BOX 8K Full 2.0</v>
          </cell>
          <cell r="B267" t="str">
            <v>SOP1</v>
          </cell>
          <cell r="C267" t="str">
            <v>SC023770</v>
          </cell>
          <cell r="E267" t="str">
            <v>Electronics</v>
          </cell>
          <cell r="G267"/>
        </row>
        <row r="268">
          <cell r="A268" t="str">
            <v>BOX 8K Full 2.0</v>
          </cell>
          <cell r="B268" t="str">
            <v>SOP1</v>
          </cell>
          <cell r="C268" t="str">
            <v>SC023769</v>
          </cell>
          <cell r="E268" t="str">
            <v>Electronics</v>
          </cell>
          <cell r="G268"/>
        </row>
        <row r="269">
          <cell r="A269" t="str">
            <v>BOX 8K Full 2.0</v>
          </cell>
          <cell r="B269" t="str">
            <v>SOP1</v>
          </cell>
          <cell r="C269" t="str">
            <v>SC023842</v>
          </cell>
          <cell r="E269" t="str">
            <v>Electronics</v>
          </cell>
          <cell r="G269"/>
        </row>
        <row r="270">
          <cell r="A270" t="str">
            <v>BOX 8K Full 2.0</v>
          </cell>
          <cell r="B270" t="str">
            <v>SOP1</v>
          </cell>
          <cell r="C270" t="str">
            <v>SC024796</v>
          </cell>
          <cell r="E270" t="str">
            <v>Packaging</v>
          </cell>
          <cell r="G270"/>
        </row>
        <row r="271">
          <cell r="A271" t="str">
            <v>BOX 8K Full 2.0</v>
          </cell>
          <cell r="B271" t="str">
            <v>SOP1</v>
          </cell>
          <cell r="C271" t="str">
            <v>PSTT TBC</v>
          </cell>
          <cell r="E271" t="str">
            <v>Assembly</v>
          </cell>
          <cell r="G271"/>
        </row>
        <row r="272">
          <cell r="A272" t="str">
            <v>BOX 8K Full 2.0</v>
          </cell>
          <cell r="B272" t="str">
            <v>SOP1</v>
          </cell>
          <cell r="C272" t="str">
            <v>SC024584</v>
          </cell>
          <cell r="E272" t="str">
            <v>Mechanical Parts</v>
          </cell>
          <cell r="G272"/>
        </row>
        <row r="273">
          <cell r="A273" t="str">
            <v>BOX 8K Full 2.0</v>
          </cell>
          <cell r="B273" t="str">
            <v>SOP1</v>
          </cell>
          <cell r="C273" t="str">
            <v>Cost up</v>
          </cell>
          <cell r="E273" t="str">
            <v>Packaging</v>
          </cell>
          <cell r="G273"/>
        </row>
        <row r="274">
          <cell r="A274" t="str">
            <v>BOX 8K Full 2.0</v>
          </cell>
          <cell r="B274" t="str">
            <v>SOP1</v>
          </cell>
          <cell r="C274" t="str">
            <v>Inflation</v>
          </cell>
          <cell r="E274" t="str">
            <v>Assembly</v>
          </cell>
          <cell r="G274"/>
        </row>
        <row r="275">
          <cell r="A275" t="str">
            <v>BOX 8K Full 2.0</v>
          </cell>
          <cell r="B275" t="str">
            <v>SOP1</v>
          </cell>
          <cell r="C275" t="str">
            <v>Inflation</v>
          </cell>
          <cell r="E275" t="str">
            <v>Mechanical Parts</v>
          </cell>
          <cell r="G275"/>
        </row>
        <row r="276">
          <cell r="A276" t="str">
            <v>BOX 8K Full 2.0</v>
          </cell>
          <cell r="B276" t="str">
            <v>SOP1</v>
          </cell>
          <cell r="C276" t="str">
            <v>Inflation</v>
          </cell>
          <cell r="E276" t="str">
            <v>Core Technology</v>
          </cell>
          <cell r="G276"/>
        </row>
        <row r="277">
          <cell r="A277" t="str">
            <v>BOX 8K Full 2.0</v>
          </cell>
          <cell r="B277" t="str">
            <v>SOP1</v>
          </cell>
          <cell r="C277" t="str">
            <v>Inflation</v>
          </cell>
          <cell r="E277" t="str">
            <v>Packaging</v>
          </cell>
          <cell r="G277"/>
        </row>
        <row r="278">
          <cell r="A278" t="str">
            <v>BOX 8K Full 2.0</v>
          </cell>
          <cell r="B278" t="str">
            <v>SOP1</v>
          </cell>
          <cell r="C278" t="str">
            <v>Inflation</v>
          </cell>
          <cell r="E278" t="str">
            <v>E-liquid</v>
          </cell>
          <cell r="G278"/>
        </row>
        <row r="279">
          <cell r="A279" t="str">
            <v>BOX 8K Full 2.0</v>
          </cell>
          <cell r="B279" t="str">
            <v>SOP1</v>
          </cell>
          <cell r="C279" t="str">
            <v>Inflation</v>
          </cell>
          <cell r="E279" t="str">
            <v>Electronics</v>
          </cell>
          <cell r="G279"/>
        </row>
        <row r="280">
          <cell r="A280" t="str">
            <v>BOX 8K Full 2.0</v>
          </cell>
          <cell r="B280" t="str">
            <v>SOP1</v>
          </cell>
          <cell r="C280" t="str">
            <v>PSTT TBC</v>
          </cell>
          <cell r="E280" t="str">
            <v>Electronics</v>
          </cell>
          <cell r="G280"/>
        </row>
        <row r="281">
          <cell r="A281" t="str">
            <v>BOX 8K Full 2.0</v>
          </cell>
          <cell r="B281" t="str">
            <v>SOP1</v>
          </cell>
          <cell r="C281" t="str">
            <v>PSTT TBC</v>
          </cell>
          <cell r="E281" t="str">
            <v>Mechanical Parts</v>
          </cell>
          <cell r="G281"/>
        </row>
        <row r="282">
          <cell r="A282" t="str">
            <v>BOX 8K Full 2.0</v>
          </cell>
          <cell r="B282" t="str">
            <v>SOP1</v>
          </cell>
          <cell r="C282" t="str">
            <v>PSTT TBC</v>
          </cell>
          <cell r="E282" t="str">
            <v>Mechanical Parts</v>
          </cell>
          <cell r="G282"/>
        </row>
        <row r="283">
          <cell r="A283" t="str">
            <v>BOX 8K Full 2.0</v>
          </cell>
          <cell r="B283" t="str">
            <v>SOP1</v>
          </cell>
          <cell r="C283" t="str">
            <v>PSTT TBC</v>
          </cell>
          <cell r="E283" t="str">
            <v>Mechanical Parts</v>
          </cell>
          <cell r="G283"/>
        </row>
        <row r="284">
          <cell r="A284" t="str">
            <v>BOX 8K Full 2.0</v>
          </cell>
          <cell r="B284" t="str">
            <v>SOP1</v>
          </cell>
          <cell r="C284" t="str">
            <v>Cable increse</v>
          </cell>
          <cell r="E284" t="str">
            <v>Electronics</v>
          </cell>
          <cell r="G284"/>
        </row>
        <row r="285">
          <cell r="A285" t="str">
            <v>BOX 8K Full 2.0</v>
          </cell>
          <cell r="B285" t="str">
            <v>SOP1</v>
          </cell>
          <cell r="C285" t="str">
            <v>TML - Waste Assembly</v>
          </cell>
          <cell r="E285" t="str">
            <v>Assembly</v>
          </cell>
          <cell r="G285"/>
        </row>
        <row r="286">
          <cell r="A286" t="str">
            <v>BOX 8K Full 2.0</v>
          </cell>
          <cell r="B286" t="str">
            <v>SOP1</v>
          </cell>
          <cell r="C286" t="str">
            <v>FX</v>
          </cell>
          <cell r="E286" t="str">
            <v>E-liquid</v>
          </cell>
          <cell r="G286"/>
        </row>
        <row r="287">
          <cell r="A287" t="str">
            <v>BOX 8K Full 2.0</v>
          </cell>
          <cell r="B287" t="str">
            <v>SOP1</v>
          </cell>
          <cell r="C287" t="str">
            <v>BLUESKY</v>
          </cell>
          <cell r="E287" t="str">
            <v>Mechanical Parts</v>
          </cell>
          <cell r="G287"/>
        </row>
        <row r="288">
          <cell r="A288" t="str">
            <v>BOX 8K Full 2.0</v>
          </cell>
          <cell r="B288" t="str">
            <v>SOP1</v>
          </cell>
          <cell r="C288" t="str">
            <v>BLUESKY</v>
          </cell>
          <cell r="E288" t="str">
            <v>Assembly</v>
          </cell>
          <cell r="G288"/>
        </row>
        <row r="289">
          <cell r="A289" t="str">
            <v>BOX 8K Full 2.0</v>
          </cell>
          <cell r="B289" t="str">
            <v>SOP1</v>
          </cell>
          <cell r="C289" t="str">
            <v>SC025515</v>
          </cell>
          <cell r="E289" t="str">
            <v>Electronics</v>
          </cell>
          <cell r="G289"/>
        </row>
        <row r="290">
          <cell r="A290" t="str">
            <v>BOX 8K Full 2.0</v>
          </cell>
          <cell r="B290" t="str">
            <v>SOP1</v>
          </cell>
          <cell r="C290" t="str">
            <v>SC025528</v>
          </cell>
          <cell r="E290" t="str">
            <v>Electronics</v>
          </cell>
          <cell r="G290"/>
        </row>
        <row r="291">
          <cell r="A291" t="str">
            <v>BOX 8K Full 2.0</v>
          </cell>
          <cell r="B291" t="str">
            <v>SOP1</v>
          </cell>
          <cell r="C291" t="str">
            <v>BLUESKY</v>
          </cell>
          <cell r="E291" t="str">
            <v>Mechanical Parts</v>
          </cell>
          <cell r="G291"/>
        </row>
        <row r="292">
          <cell r="A292" t="str">
            <v>BOX 8K Full 2.0</v>
          </cell>
          <cell r="B292" t="str">
            <v>SOP1</v>
          </cell>
          <cell r="C292" t="str">
            <v>BLUESKY</v>
          </cell>
          <cell r="E292" t="str">
            <v>Mechanical Parts</v>
          </cell>
          <cell r="G292"/>
        </row>
        <row r="293">
          <cell r="A293" t="str">
            <v>BOX 8K Full 2.0</v>
          </cell>
          <cell r="B293" t="str">
            <v>SOP1</v>
          </cell>
          <cell r="C293" t="str">
            <v>BLUESKY</v>
          </cell>
          <cell r="E293"/>
          <cell r="G293"/>
        </row>
        <row r="294">
          <cell r="A294" t="str">
            <v>BOX 8K Full 2.0</v>
          </cell>
          <cell r="B294" t="str">
            <v>SOP1</v>
          </cell>
          <cell r="C294" t="str">
            <v>BLUESKY</v>
          </cell>
          <cell r="E294"/>
          <cell r="G294"/>
        </row>
        <row r="295">
          <cell r="A295" t="str">
            <v>PEN 800 Default 2.0</v>
          </cell>
          <cell r="B295" t="str">
            <v>CoPlan FCA</v>
          </cell>
          <cell r="C295"/>
          <cell r="E295" t="str">
            <v>Base FCA:</v>
          </cell>
          <cell r="G295">
            <v>0.94863765203599415</v>
          </cell>
        </row>
        <row r="296">
          <cell r="A296" t="str">
            <v>PEN 800 Default 2.0</v>
          </cell>
          <cell r="B296" t="str">
            <v>CoPlan</v>
          </cell>
          <cell r="C296" t="str">
            <v>SC023560</v>
          </cell>
          <cell r="E296" t="str">
            <v>Core Technology</v>
          </cell>
          <cell r="G296"/>
        </row>
        <row r="297">
          <cell r="A297" t="str">
            <v>PEN 800 Default 2.0</v>
          </cell>
          <cell r="B297" t="str">
            <v>CoPlan</v>
          </cell>
          <cell r="C297" t="str">
            <v>SC023762</v>
          </cell>
          <cell r="E297" t="str">
            <v>Electronics</v>
          </cell>
          <cell r="G297"/>
        </row>
        <row r="298">
          <cell r="A298" t="str">
            <v>PEN 800 Default 2.0</v>
          </cell>
          <cell r="B298" t="str">
            <v>CoPlan</v>
          </cell>
          <cell r="C298" t="str">
            <v>SC023768</v>
          </cell>
          <cell r="E298" t="str">
            <v>Electronics</v>
          </cell>
          <cell r="G298"/>
        </row>
        <row r="299">
          <cell r="A299" t="str">
            <v>PEN 800 Default 2.0</v>
          </cell>
          <cell r="B299" t="str">
            <v>CoPlan</v>
          </cell>
          <cell r="C299" t="str">
            <v>SC023841</v>
          </cell>
          <cell r="E299" t="str">
            <v>Electronics</v>
          </cell>
          <cell r="G299"/>
        </row>
        <row r="300">
          <cell r="A300" t="str">
            <v>PEN 800 Default 2.0</v>
          </cell>
          <cell r="B300" t="str">
            <v>CoPlan</v>
          </cell>
          <cell r="C300" t="str">
            <v>SC023738</v>
          </cell>
          <cell r="E300" t="str">
            <v>Mechanical Parts</v>
          </cell>
          <cell r="G300"/>
        </row>
        <row r="301">
          <cell r="A301" t="str">
            <v>PEN 800 Default 2.0</v>
          </cell>
          <cell r="B301" t="str">
            <v>CoPlan</v>
          </cell>
          <cell r="C301" t="str">
            <v>SC023739</v>
          </cell>
          <cell r="E301" t="str">
            <v>Mechanical Parts</v>
          </cell>
          <cell r="G301"/>
        </row>
        <row r="302">
          <cell r="A302" t="str">
            <v>PEN 800 Default 2.0</v>
          </cell>
          <cell r="B302" t="str">
            <v>CoPlan</v>
          </cell>
          <cell r="C302" t="str">
            <v>laura 10</v>
          </cell>
          <cell r="E302" t="str">
            <v>E-liquid</v>
          </cell>
          <cell r="G302"/>
        </row>
        <row r="303">
          <cell r="A303" t="str">
            <v>PEN 800 Default 2.0</v>
          </cell>
          <cell r="B303" t="str">
            <v>CoPlan</v>
          </cell>
          <cell r="C303" t="str">
            <v>Laura 12</v>
          </cell>
          <cell r="E303" t="str">
            <v>Assembly</v>
          </cell>
          <cell r="G303"/>
        </row>
        <row r="304">
          <cell r="A304" t="str">
            <v>PEN 800 Default 2.0</v>
          </cell>
          <cell r="B304" t="str">
            <v>CoPlan</v>
          </cell>
          <cell r="C304" t="str">
            <v>Laura 11</v>
          </cell>
          <cell r="E304" t="str">
            <v>Mechanical Parts</v>
          </cell>
          <cell r="G304"/>
        </row>
        <row r="305">
          <cell r="A305" t="str">
            <v>PEN 800 Default 2.0</v>
          </cell>
          <cell r="B305" t="str">
            <v>CoPlan</v>
          </cell>
          <cell r="C305" t="str">
            <v>Inflation</v>
          </cell>
          <cell r="E305" t="str">
            <v>Mechanical Parts</v>
          </cell>
          <cell r="G305"/>
        </row>
        <row r="306">
          <cell r="A306" t="str">
            <v>PEN 800 Default 2.0</v>
          </cell>
          <cell r="B306" t="str">
            <v>CoPlan</v>
          </cell>
          <cell r="C306" t="str">
            <v>Inflation</v>
          </cell>
          <cell r="E306" t="str">
            <v>Core Technology</v>
          </cell>
          <cell r="G306"/>
        </row>
        <row r="307">
          <cell r="A307" t="str">
            <v>PEN 800 Default 2.0</v>
          </cell>
          <cell r="B307" t="str">
            <v>CoPlan</v>
          </cell>
          <cell r="C307" t="str">
            <v>Inflation</v>
          </cell>
          <cell r="E307" t="str">
            <v>Packaging</v>
          </cell>
          <cell r="G307"/>
        </row>
        <row r="308">
          <cell r="A308" t="str">
            <v>PEN 800 Default 2.0</v>
          </cell>
          <cell r="B308" t="str">
            <v>CoPlan</v>
          </cell>
          <cell r="C308" t="str">
            <v>Inflation</v>
          </cell>
          <cell r="E308" t="str">
            <v>E-liquid</v>
          </cell>
          <cell r="G308"/>
        </row>
        <row r="309">
          <cell r="A309" t="str">
            <v>PEN 800 Default 2.0</v>
          </cell>
          <cell r="B309" t="str">
            <v>CoPlan</v>
          </cell>
          <cell r="C309" t="str">
            <v>Inflation</v>
          </cell>
          <cell r="E309" t="str">
            <v>Assembly</v>
          </cell>
          <cell r="G309"/>
        </row>
        <row r="310">
          <cell r="A310" t="str">
            <v>PEN 800 Default 2.0</v>
          </cell>
          <cell r="B310" t="str">
            <v>CoPlan</v>
          </cell>
          <cell r="C310" t="str">
            <v>Inflation</v>
          </cell>
          <cell r="E310" t="str">
            <v>Electronics</v>
          </cell>
          <cell r="G310"/>
        </row>
        <row r="311">
          <cell r="A311" t="str">
            <v>PEN 800 Default 2.0</v>
          </cell>
          <cell r="B311" t="str">
            <v>CoPlan</v>
          </cell>
          <cell r="C311" t="str">
            <v>1) E-liquid</v>
          </cell>
          <cell r="E311" t="str">
            <v>E-liquid</v>
          </cell>
          <cell r="G311">
            <v>0</v>
          </cell>
        </row>
        <row r="312">
          <cell r="A312" t="str">
            <v>PEN 800 Default 2.0</v>
          </cell>
          <cell r="B312" t="str">
            <v>CoPlan</v>
          </cell>
          <cell r="C312" t="str">
            <v>SC023215</v>
          </cell>
          <cell r="E312" t="str">
            <v>Assembly</v>
          </cell>
          <cell r="G312">
            <v>0</v>
          </cell>
        </row>
        <row r="313">
          <cell r="A313" t="str">
            <v>PEN 800 Default 2.0</v>
          </cell>
          <cell r="B313" t="str">
            <v>CoPlan</v>
          </cell>
          <cell r="C313" t="str">
            <v>SC023522</v>
          </cell>
          <cell r="E313" t="str">
            <v>Assembly</v>
          </cell>
          <cell r="G313">
            <v>0</v>
          </cell>
        </row>
        <row r="314">
          <cell r="A314" t="str">
            <v>PEN 800 Default 2.0</v>
          </cell>
          <cell r="B314" t="str">
            <v>CoPlan</v>
          </cell>
          <cell r="C314" t="str">
            <v>SC023546</v>
          </cell>
          <cell r="E314" t="str">
            <v>Electronics</v>
          </cell>
          <cell r="G314">
            <v>0</v>
          </cell>
        </row>
        <row r="315">
          <cell r="A315" t="str">
            <v>PEN 800 Default 2.0</v>
          </cell>
          <cell r="B315" t="str">
            <v>CoPlan</v>
          </cell>
          <cell r="C315" t="str">
            <v>SC023243</v>
          </cell>
          <cell r="E315" t="str">
            <v>Mechanical Parts</v>
          </cell>
          <cell r="G315">
            <v>0</v>
          </cell>
        </row>
        <row r="316">
          <cell r="A316" t="str">
            <v>PEN 800 Default 2.0</v>
          </cell>
          <cell r="B316" t="str">
            <v>CoPlan</v>
          </cell>
          <cell r="C316" t="str">
            <v>SC023474</v>
          </cell>
          <cell r="E316" t="str">
            <v>Mechanical Parts</v>
          </cell>
          <cell r="G316">
            <v>0</v>
          </cell>
        </row>
        <row r="317">
          <cell r="A317" t="str">
            <v>PEN 800 Default 2.0</v>
          </cell>
          <cell r="B317" t="str">
            <v>CoPlan</v>
          </cell>
          <cell r="C317" t="str">
            <v>SC023543</v>
          </cell>
          <cell r="E317" t="str">
            <v>Mechanical Parts</v>
          </cell>
          <cell r="G317">
            <v>0</v>
          </cell>
        </row>
        <row r="318">
          <cell r="A318" t="str">
            <v>PEN 800 Default 2.0</v>
          </cell>
          <cell r="B318" t="str">
            <v>CoPlan</v>
          </cell>
          <cell r="C318" t="str">
            <v>SC023526</v>
          </cell>
          <cell r="E318" t="str">
            <v>Core Technology</v>
          </cell>
          <cell r="G318">
            <v>0</v>
          </cell>
        </row>
        <row r="319">
          <cell r="A319" t="str">
            <v>PEN 800 Default 2.0</v>
          </cell>
          <cell r="B319" t="str">
            <v>CoPlan</v>
          </cell>
          <cell r="C319" t="str">
            <v>SC023221</v>
          </cell>
          <cell r="E319" t="str">
            <v>Assembly</v>
          </cell>
          <cell r="G319">
            <v>0</v>
          </cell>
        </row>
        <row r="320">
          <cell r="A320" t="str">
            <v>PEN 800 Default 2.0</v>
          </cell>
          <cell r="B320" t="str">
            <v>CoPlan</v>
          </cell>
          <cell r="C320" t="str">
            <v>Amortization</v>
          </cell>
          <cell r="E320" t="str">
            <v>Assembly</v>
          </cell>
          <cell r="G320">
            <v>0</v>
          </cell>
        </row>
        <row r="321">
          <cell r="A321" t="str">
            <v>PEN 800 Default 2.0</v>
          </cell>
          <cell r="B321" t="str">
            <v>CoPlan</v>
          </cell>
          <cell r="C321" t="str">
            <v>Amortization</v>
          </cell>
          <cell r="E321" t="str">
            <v>Assembly</v>
          </cell>
          <cell r="G321">
            <v>0</v>
          </cell>
        </row>
        <row r="322">
          <cell r="A322" t="str">
            <v>PEN 800 Default 2.0</v>
          </cell>
          <cell r="B322" t="str">
            <v>CoPlan</v>
          </cell>
          <cell r="C322" t="str">
            <v>Thimble cost up</v>
          </cell>
          <cell r="E322" t="str">
            <v>Mechanical Parts</v>
          </cell>
          <cell r="G322">
            <v>0</v>
          </cell>
        </row>
        <row r="323">
          <cell r="A323" t="str">
            <v>PEN 800 Default 2.0</v>
          </cell>
          <cell r="B323" t="str">
            <v>CoPlan</v>
          </cell>
          <cell r="C323" t="str">
            <v>SC023152</v>
          </cell>
          <cell r="E323" t="str">
            <v>Electronics</v>
          </cell>
          <cell r="G323">
            <v>-8.1541770043510684E-3</v>
          </cell>
        </row>
        <row r="324">
          <cell r="A324" t="str">
            <v>PEN 800 Default 2.0</v>
          </cell>
          <cell r="B324" t="str">
            <v>CoPlan</v>
          </cell>
          <cell r="C324" t="str">
            <v>SC023835</v>
          </cell>
          <cell r="E324" t="str">
            <v>Mechanical Parts</v>
          </cell>
          <cell r="G324">
            <v>-2.1744472011602851E-4</v>
          </cell>
        </row>
        <row r="325">
          <cell r="A325" t="str">
            <v>PEN 800 Default 2.0</v>
          </cell>
          <cell r="B325" t="str">
            <v>SOP1 FCA</v>
          </cell>
          <cell r="C325"/>
          <cell r="E325"/>
          <cell r="F325">
            <v>0.95700927376046108</v>
          </cell>
          <cell r="G325">
            <v>0.94188555858695111</v>
          </cell>
        </row>
        <row r="326">
          <cell r="A326" t="str">
            <v>PEN 800 Default 2.0</v>
          </cell>
          <cell r="B326" t="str">
            <v>SOP1</v>
          </cell>
          <cell r="C326" t="str">
            <v>SC024210</v>
          </cell>
          <cell r="E326" t="str">
            <v>E-liquid</v>
          </cell>
          <cell r="G326"/>
        </row>
        <row r="327">
          <cell r="A327" t="str">
            <v>PEN 800 Default 2.0</v>
          </cell>
          <cell r="B327" t="str">
            <v>SOP1</v>
          </cell>
          <cell r="C327" t="str">
            <v>SC023836</v>
          </cell>
          <cell r="E327" t="str">
            <v>Assembly</v>
          </cell>
          <cell r="G327"/>
        </row>
        <row r="328">
          <cell r="A328" t="str">
            <v>PEN 800 Default 2.0</v>
          </cell>
          <cell r="B328" t="str">
            <v>SOP1</v>
          </cell>
          <cell r="C328" t="str">
            <v>SC023522</v>
          </cell>
          <cell r="E328" t="str">
            <v>Assembly</v>
          </cell>
          <cell r="G328"/>
        </row>
        <row r="329">
          <cell r="A329" t="str">
            <v>PEN 800 Default 2.0</v>
          </cell>
          <cell r="B329" t="str">
            <v>SOP1</v>
          </cell>
          <cell r="C329" t="str">
            <v>SC023243</v>
          </cell>
          <cell r="E329" t="str">
            <v>Mechanical Parts</v>
          </cell>
          <cell r="G329"/>
        </row>
        <row r="330">
          <cell r="A330" t="str">
            <v>PEN 800 Default 2.0</v>
          </cell>
          <cell r="B330" t="str">
            <v>SOP1</v>
          </cell>
          <cell r="C330" t="str">
            <v>SC023474</v>
          </cell>
          <cell r="E330" t="str">
            <v>Mechanical Parts</v>
          </cell>
          <cell r="G330"/>
        </row>
        <row r="331">
          <cell r="A331" t="str">
            <v>PEN 800 Default 2.0</v>
          </cell>
          <cell r="B331" t="str">
            <v>SOP1</v>
          </cell>
          <cell r="C331" t="str">
            <v>SC023526</v>
          </cell>
          <cell r="E331" t="str">
            <v>Core Technology</v>
          </cell>
          <cell r="G331"/>
        </row>
        <row r="332">
          <cell r="A332" t="str">
            <v>PEN 800 Default 2.0</v>
          </cell>
          <cell r="B332" t="str">
            <v>SOP1</v>
          </cell>
          <cell r="C332" t="str">
            <v>SC023221</v>
          </cell>
          <cell r="E332" t="str">
            <v>Assembly</v>
          </cell>
          <cell r="G332">
            <v>-1.2002948550404783E-4</v>
          </cell>
        </row>
        <row r="333">
          <cell r="A333" t="str">
            <v>PEN 800 Default 2.0</v>
          </cell>
          <cell r="B333" t="str">
            <v>SOP1</v>
          </cell>
          <cell r="C333" t="str">
            <v>Amortization</v>
          </cell>
          <cell r="E333" t="str">
            <v>Assembly</v>
          </cell>
          <cell r="G333"/>
        </row>
        <row r="334">
          <cell r="A334" t="str">
            <v>PEN 800 Default 2.0</v>
          </cell>
          <cell r="B334" t="str">
            <v>SOP1</v>
          </cell>
          <cell r="C334" t="str">
            <v>Amortization</v>
          </cell>
          <cell r="E334" t="str">
            <v>Assembly</v>
          </cell>
          <cell r="G334"/>
        </row>
        <row r="335">
          <cell r="A335" t="str">
            <v>PEN 800 Default 2.0</v>
          </cell>
          <cell r="B335" t="str">
            <v>SOP1</v>
          </cell>
          <cell r="C335" t="str">
            <v>Thimble cost up</v>
          </cell>
          <cell r="E335" t="str">
            <v>Mechanical Parts</v>
          </cell>
          <cell r="G335"/>
        </row>
        <row r="336">
          <cell r="A336" t="str">
            <v>PEN 800 Default 2.0</v>
          </cell>
          <cell r="B336" t="str">
            <v>SOP1</v>
          </cell>
          <cell r="C336" t="str">
            <v>SC023152</v>
          </cell>
          <cell r="E336" t="str">
            <v>Electronics</v>
          </cell>
          <cell r="G336">
            <v>-7.6105652040610273E-3</v>
          </cell>
        </row>
        <row r="337">
          <cell r="A337" t="str">
            <v>PEN 800 Default 2.0</v>
          </cell>
          <cell r="B337" t="str">
            <v>SOP1</v>
          </cell>
          <cell r="C337" t="str">
            <v>SC023546/SC024355</v>
          </cell>
          <cell r="E337" t="str">
            <v>Electronics</v>
          </cell>
          <cell r="G337">
            <v>-7.3931204839449531E-3</v>
          </cell>
        </row>
        <row r="338">
          <cell r="A338" t="str">
            <v>PEN 800 Default 2.0</v>
          </cell>
          <cell r="B338" t="str">
            <v>SOP1</v>
          </cell>
          <cell r="C338" t="str">
            <v>SC024587</v>
          </cell>
          <cell r="E338" t="str">
            <v>Mechanical Parts</v>
          </cell>
          <cell r="G338"/>
        </row>
        <row r="339">
          <cell r="A339" t="str">
            <v>PEN 800 Default 2.0</v>
          </cell>
          <cell r="B339" t="str">
            <v>SOP1</v>
          </cell>
          <cell r="C339" t="str">
            <v>SC024587</v>
          </cell>
          <cell r="E339" t="str">
            <v>Packaging</v>
          </cell>
          <cell r="G339"/>
        </row>
        <row r="340">
          <cell r="A340" t="str">
            <v>PEN 800 Default 2.0</v>
          </cell>
          <cell r="B340" t="str">
            <v>SOP1</v>
          </cell>
          <cell r="C340" t="str">
            <v>FX</v>
          </cell>
          <cell r="E340" t="str">
            <v>E-liquid</v>
          </cell>
          <cell r="G340"/>
        </row>
        <row r="341">
          <cell r="A341" t="str">
            <v>PEN 800 Default 2.0</v>
          </cell>
          <cell r="B341" t="str">
            <v>SOP1</v>
          </cell>
          <cell r="C341" t="str">
            <v>SC024356/SC024357</v>
          </cell>
          <cell r="E341" t="str">
            <v>Electronics</v>
          </cell>
          <cell r="G341"/>
        </row>
        <row r="342">
          <cell r="A342" t="str">
            <v>PEN 800 Default 2.0</v>
          </cell>
          <cell r="B342" t="str">
            <v>SOP1</v>
          </cell>
          <cell r="C342" t="str">
            <v>SC023221</v>
          </cell>
          <cell r="E342" t="str">
            <v>Assembly</v>
          </cell>
          <cell r="G342"/>
        </row>
        <row r="343">
          <cell r="A343" t="str">
            <v>PEN 800 Default 2.0</v>
          </cell>
          <cell r="B343" t="str">
            <v>SOP1</v>
          </cell>
          <cell r="C343" t="str">
            <v>SC023560</v>
          </cell>
          <cell r="E343" t="str">
            <v>Core Technology</v>
          </cell>
          <cell r="G343"/>
        </row>
        <row r="344">
          <cell r="A344" t="str">
            <v>PEN 800 Default 2.0</v>
          </cell>
          <cell r="B344" t="str">
            <v>SOP1</v>
          </cell>
          <cell r="C344" t="str">
            <v>SC023768</v>
          </cell>
          <cell r="E344" t="str">
            <v>Electronics</v>
          </cell>
          <cell r="G344"/>
        </row>
        <row r="345">
          <cell r="A345" t="str">
            <v>PEN 800 Default 2.0</v>
          </cell>
          <cell r="B345" t="str">
            <v>SOP1</v>
          </cell>
          <cell r="C345" t="str">
            <v>SC023841</v>
          </cell>
          <cell r="E345" t="str">
            <v>Electronics</v>
          </cell>
          <cell r="G345"/>
        </row>
        <row r="346">
          <cell r="A346" t="str">
            <v>PEN 800 Default 2.0</v>
          </cell>
          <cell r="B346" t="str">
            <v>SOP1</v>
          </cell>
          <cell r="C346" t="str">
            <v>Cost up</v>
          </cell>
          <cell r="E346" t="str">
            <v>Packaging</v>
          </cell>
          <cell r="G346"/>
        </row>
        <row r="347">
          <cell r="A347" t="str">
            <v>PEN 800 Default 2.0</v>
          </cell>
          <cell r="B347" t="str">
            <v>SOP1</v>
          </cell>
          <cell r="C347" t="str">
            <v>Cost up</v>
          </cell>
          <cell r="E347" t="str">
            <v>Packaging</v>
          </cell>
          <cell r="G347"/>
        </row>
        <row r="348">
          <cell r="A348" t="str">
            <v>PEN 800 Default 2.0</v>
          </cell>
          <cell r="B348" t="str">
            <v>SOP1</v>
          </cell>
          <cell r="C348" t="str">
            <v>Inflation</v>
          </cell>
          <cell r="E348" t="str">
            <v>Assembly</v>
          </cell>
          <cell r="G348"/>
        </row>
        <row r="349">
          <cell r="A349" t="str">
            <v>PEN 800 Default 2.0</v>
          </cell>
          <cell r="B349" t="str">
            <v>SOP1</v>
          </cell>
          <cell r="C349" t="str">
            <v>Inflation</v>
          </cell>
          <cell r="E349" t="str">
            <v>Mechanical Parts</v>
          </cell>
          <cell r="G349"/>
        </row>
        <row r="350">
          <cell r="A350" t="str">
            <v>PEN 800 Default 2.0</v>
          </cell>
          <cell r="B350" t="str">
            <v>SOP1</v>
          </cell>
          <cell r="C350" t="str">
            <v>Inflation</v>
          </cell>
          <cell r="E350" t="str">
            <v>Core Technology</v>
          </cell>
          <cell r="G350"/>
        </row>
        <row r="351">
          <cell r="A351" t="str">
            <v>PEN 800 Default 2.0</v>
          </cell>
          <cell r="B351" t="str">
            <v>SOP1</v>
          </cell>
          <cell r="C351" t="str">
            <v>Inflation</v>
          </cell>
          <cell r="E351" t="str">
            <v>Packaging</v>
          </cell>
          <cell r="G351"/>
        </row>
        <row r="352">
          <cell r="A352" t="str">
            <v>PEN 800 Default 2.0</v>
          </cell>
          <cell r="B352" t="str">
            <v>SOP1</v>
          </cell>
          <cell r="C352" t="str">
            <v>Inflation</v>
          </cell>
          <cell r="E352" t="str">
            <v>E-liquid</v>
          </cell>
          <cell r="G352"/>
        </row>
        <row r="353">
          <cell r="A353" t="str">
            <v>PEN 800 Default 2.0</v>
          </cell>
          <cell r="B353" t="str">
            <v>SOP1</v>
          </cell>
          <cell r="C353" t="str">
            <v>Inflation</v>
          </cell>
          <cell r="E353" t="str">
            <v>Electronics</v>
          </cell>
          <cell r="G353"/>
        </row>
        <row r="354">
          <cell r="A354" t="str">
            <v>PEN 800 Default 2.0</v>
          </cell>
          <cell r="B354" t="str">
            <v>SOP1</v>
          </cell>
          <cell r="C354" t="str">
            <v>FX</v>
          </cell>
          <cell r="E354" t="str">
            <v>E-liquid</v>
          </cell>
          <cell r="G354"/>
        </row>
        <row r="355">
          <cell r="A355" t="str">
            <v>PEN 800 Default 2.0</v>
          </cell>
          <cell r="B355" t="str">
            <v>SOP1</v>
          </cell>
          <cell r="C355" t="str">
            <v>PSTT#</v>
          </cell>
          <cell r="E355" t="str">
            <v>Electronics</v>
          </cell>
          <cell r="G355"/>
        </row>
        <row r="356">
          <cell r="A356" t="str">
            <v>PEN 800 Default 2.0</v>
          </cell>
          <cell r="B356" t="str">
            <v>SOP1</v>
          </cell>
          <cell r="C356" t="str">
            <v>PSTT#</v>
          </cell>
          <cell r="E356" t="str">
            <v>Mechanical Parts</v>
          </cell>
          <cell r="G356"/>
        </row>
        <row r="357">
          <cell r="A357" t="str">
            <v>PEN 800 Default 2.0</v>
          </cell>
          <cell r="B357" t="str">
            <v>SOP1</v>
          </cell>
          <cell r="C357" t="str">
            <v>PSTT#</v>
          </cell>
          <cell r="E357" t="str">
            <v>Mechanical Parts</v>
          </cell>
          <cell r="G357"/>
        </row>
        <row r="358">
          <cell r="A358" t="str">
            <v>PEN 800 Default 2.0</v>
          </cell>
          <cell r="B358" t="str">
            <v>SOP1</v>
          </cell>
          <cell r="C358" t="str">
            <v>BLUESKY</v>
          </cell>
          <cell r="E358" t="str">
            <v>Assembly</v>
          </cell>
          <cell r="G358"/>
        </row>
        <row r="359">
          <cell r="A359" t="str">
            <v>PEN 800 Default 2.0</v>
          </cell>
          <cell r="B359" t="str">
            <v>SOP1</v>
          </cell>
          <cell r="C359" t="str">
            <v>SC025514</v>
          </cell>
          <cell r="E359" t="str">
            <v>Electronics</v>
          </cell>
          <cell r="G359"/>
        </row>
        <row r="360">
          <cell r="A360" t="str">
            <v>PEN 800 Default 2.0</v>
          </cell>
          <cell r="B360" t="str">
            <v>SOP1</v>
          </cell>
          <cell r="C360" t="str">
            <v>SC025532</v>
          </cell>
          <cell r="E360" t="str">
            <v>Electronics</v>
          </cell>
          <cell r="G360"/>
        </row>
        <row r="361">
          <cell r="A361" t="str">
            <v>PEN 800 Default 2.0</v>
          </cell>
          <cell r="B361" t="str">
            <v>SOP1</v>
          </cell>
          <cell r="C361" t="str">
            <v>BLUESKY</v>
          </cell>
          <cell r="E361" t="str">
            <v>Mechanical Parts</v>
          </cell>
          <cell r="G361"/>
        </row>
        <row r="362">
          <cell r="A362" t="str">
            <v>PEN 800 Default 2.0</v>
          </cell>
          <cell r="B362" t="str">
            <v>SOP1</v>
          </cell>
          <cell r="C362" t="str">
            <v>BLUESKY</v>
          </cell>
          <cell r="E362" t="str">
            <v>Mechanical Parts</v>
          </cell>
          <cell r="G362"/>
        </row>
        <row r="363">
          <cell r="A363" t="str">
            <v>PEN 800 Default 2.0</v>
          </cell>
          <cell r="B363" t="str">
            <v>SOP1</v>
          </cell>
          <cell r="C363" t="str">
            <v>BLUESKY</v>
          </cell>
          <cell r="E363" t="str">
            <v>Mechanical Parts</v>
          </cell>
          <cell r="G363"/>
        </row>
        <row r="364">
          <cell r="A364" t="str">
            <v>PEN 800 Default 2.0</v>
          </cell>
          <cell r="B364" t="str">
            <v>SOP1</v>
          </cell>
          <cell r="C364" t="str">
            <v>BLUESKY</v>
          </cell>
          <cell r="E364"/>
          <cell r="G364"/>
        </row>
        <row r="365">
          <cell r="A365" t="str">
            <v>PEN 800 Default 2.0</v>
          </cell>
          <cell r="B365" t="str">
            <v>SOP1</v>
          </cell>
          <cell r="C365" t="str">
            <v>BLUESKY</v>
          </cell>
          <cell r="E365"/>
          <cell r="G365"/>
        </row>
        <row r="366">
          <cell r="A366" t="str">
            <v>PEN 800 Full 2.0</v>
          </cell>
          <cell r="B366" t="str">
            <v>CoPlan FCA</v>
          </cell>
          <cell r="C366"/>
          <cell r="E366"/>
          <cell r="G366">
            <v>1.2729323133513415</v>
          </cell>
        </row>
        <row r="367">
          <cell r="A367" t="str">
            <v>PEN 800 Full 2.0</v>
          </cell>
          <cell r="B367" t="str">
            <v>CoPlan</v>
          </cell>
          <cell r="C367" t="str">
            <v>SC023560</v>
          </cell>
          <cell r="E367" t="str">
            <v>Core Technology</v>
          </cell>
          <cell r="G367"/>
          <cell r="W367"/>
        </row>
        <row r="368">
          <cell r="A368" t="str">
            <v>PEN 800 Full 2.0</v>
          </cell>
          <cell r="B368" t="str">
            <v>CoPlan</v>
          </cell>
          <cell r="C368" t="str">
            <v>SC023762</v>
          </cell>
          <cell r="E368" t="str">
            <v>Electronics</v>
          </cell>
          <cell r="G368"/>
          <cell r="W368"/>
        </row>
        <row r="369">
          <cell r="A369" t="str">
            <v>PEN 800 Full 2.0</v>
          </cell>
          <cell r="B369" t="str">
            <v>CoPlan</v>
          </cell>
          <cell r="C369" t="str">
            <v>SC023768</v>
          </cell>
          <cell r="E369" t="str">
            <v>Electronics</v>
          </cell>
          <cell r="G369"/>
          <cell r="W369"/>
        </row>
        <row r="370">
          <cell r="A370" t="str">
            <v>PEN 800 Full 2.0</v>
          </cell>
          <cell r="B370" t="str">
            <v>CoPlan</v>
          </cell>
          <cell r="C370" t="str">
            <v>SC023841</v>
          </cell>
          <cell r="E370" t="str">
            <v>Electronics</v>
          </cell>
          <cell r="G370"/>
          <cell r="W370"/>
        </row>
        <row r="371">
          <cell r="A371" t="str">
            <v>PEN 800 Full 2.0</v>
          </cell>
          <cell r="B371" t="str">
            <v>CoPlan</v>
          </cell>
          <cell r="C371" t="str">
            <v>SC023738</v>
          </cell>
          <cell r="E371" t="str">
            <v>Mechanical Parts</v>
          </cell>
          <cell r="G371"/>
          <cell r="W371"/>
        </row>
        <row r="372">
          <cell r="A372" t="str">
            <v>PEN 800 Full 2.0</v>
          </cell>
          <cell r="B372" t="str">
            <v>CoPlan</v>
          </cell>
          <cell r="C372" t="str">
            <v>SC023739</v>
          </cell>
          <cell r="E372" t="str">
            <v>Mechanical Parts</v>
          </cell>
          <cell r="G372"/>
          <cell r="W372"/>
        </row>
        <row r="373">
          <cell r="A373" t="str">
            <v>PEN 800 Full 2.0</v>
          </cell>
          <cell r="B373" t="str">
            <v>CoPlan</v>
          </cell>
          <cell r="C373" t="str">
            <v>laura 10</v>
          </cell>
          <cell r="E373" t="str">
            <v>E-liquid</v>
          </cell>
          <cell r="G373"/>
          <cell r="W373"/>
        </row>
        <row r="374">
          <cell r="A374" t="str">
            <v>PEN 800 Full 2.0</v>
          </cell>
          <cell r="B374" t="str">
            <v>CoPlan</v>
          </cell>
          <cell r="C374" t="str">
            <v>Inflation</v>
          </cell>
          <cell r="E374" t="str">
            <v>Mechanical Parts</v>
          </cell>
          <cell r="G374"/>
          <cell r="W374"/>
        </row>
        <row r="375">
          <cell r="A375" t="str">
            <v>PEN 800 Full 2.0</v>
          </cell>
          <cell r="B375" t="str">
            <v>CoPlan</v>
          </cell>
          <cell r="C375" t="str">
            <v>Inflation</v>
          </cell>
          <cell r="E375" t="str">
            <v>Core Technology</v>
          </cell>
          <cell r="G375"/>
          <cell r="W375"/>
        </row>
        <row r="376">
          <cell r="A376" t="str">
            <v>PEN 800 Full 2.0</v>
          </cell>
          <cell r="B376" t="str">
            <v>CoPlan</v>
          </cell>
          <cell r="C376" t="str">
            <v>Inflation</v>
          </cell>
          <cell r="E376" t="str">
            <v>Packaging</v>
          </cell>
          <cell r="G376"/>
          <cell r="W376"/>
        </row>
        <row r="377">
          <cell r="A377" t="str">
            <v>PEN 800 Full 2.0</v>
          </cell>
          <cell r="B377" t="str">
            <v>CoPlan</v>
          </cell>
          <cell r="C377" t="str">
            <v>Inflation</v>
          </cell>
          <cell r="E377" t="str">
            <v>E-liquid</v>
          </cell>
          <cell r="G377"/>
          <cell r="W377"/>
        </row>
        <row r="378">
          <cell r="A378" t="str">
            <v>PEN 800 Full 2.0</v>
          </cell>
          <cell r="B378" t="str">
            <v>CoPlan</v>
          </cell>
          <cell r="C378" t="str">
            <v>Inflation</v>
          </cell>
          <cell r="E378" t="str">
            <v>Assembly</v>
          </cell>
          <cell r="G378"/>
          <cell r="W378"/>
        </row>
        <row r="379">
          <cell r="A379" t="str">
            <v>PEN 800 Full 2.0</v>
          </cell>
          <cell r="B379" t="str">
            <v>CoPlan</v>
          </cell>
          <cell r="C379" t="str">
            <v>Inflation</v>
          </cell>
          <cell r="E379" t="str">
            <v>Electronics</v>
          </cell>
          <cell r="G379"/>
          <cell r="W379"/>
        </row>
        <row r="380">
          <cell r="A380" t="str">
            <v>PEN 800 Full 2.0</v>
          </cell>
          <cell r="B380" t="str">
            <v>CoPlan</v>
          </cell>
          <cell r="C380" t="str">
            <v>1) E-liquid</v>
          </cell>
          <cell r="E380" t="str">
            <v>E-liquid</v>
          </cell>
          <cell r="G380">
            <v>0</v>
          </cell>
          <cell r="W380"/>
        </row>
        <row r="381">
          <cell r="A381" t="str">
            <v>PEN 800 Full 2.0</v>
          </cell>
          <cell r="B381" t="str">
            <v>CoPlan</v>
          </cell>
          <cell r="C381" t="str">
            <v>SC023215</v>
          </cell>
          <cell r="E381" t="str">
            <v>Assembly</v>
          </cell>
          <cell r="G381">
            <v>0</v>
          </cell>
          <cell r="W381"/>
        </row>
        <row r="382">
          <cell r="A382" t="str">
            <v>PEN 800 Full 2.0</v>
          </cell>
          <cell r="B382" t="str">
            <v>CoPlan</v>
          </cell>
          <cell r="C382" t="str">
            <v>SC023522</v>
          </cell>
          <cell r="E382" t="str">
            <v>Assembly</v>
          </cell>
          <cell r="G382">
            <v>0</v>
          </cell>
          <cell r="W382"/>
        </row>
        <row r="383">
          <cell r="A383" t="str">
            <v>PEN 800 Full 2.0</v>
          </cell>
          <cell r="B383" t="str">
            <v>CoPlan</v>
          </cell>
          <cell r="C383" t="str">
            <v>SC023223</v>
          </cell>
          <cell r="E383" t="str">
            <v>Assembly</v>
          </cell>
          <cell r="G383">
            <v>0</v>
          </cell>
          <cell r="W383"/>
        </row>
        <row r="384">
          <cell r="A384" t="str">
            <v>PEN 800 Full 2.0</v>
          </cell>
          <cell r="B384" t="str">
            <v>CoPlan</v>
          </cell>
          <cell r="C384" t="str">
            <v>SC023476</v>
          </cell>
          <cell r="E384" t="str">
            <v>Mechanical Parts</v>
          </cell>
          <cell r="G384">
            <v>0</v>
          </cell>
          <cell r="W384"/>
        </row>
        <row r="385">
          <cell r="A385" t="str">
            <v>PEN 800 Full 2.0</v>
          </cell>
          <cell r="B385" t="str">
            <v>CoPlan</v>
          </cell>
          <cell r="C385" t="str">
            <v>SC023526</v>
          </cell>
          <cell r="E385" t="str">
            <v>Core Technology</v>
          </cell>
          <cell r="G385">
            <v>0</v>
          </cell>
          <cell r="W385"/>
        </row>
        <row r="386">
          <cell r="A386" t="str">
            <v>PEN 800 Full 2.0</v>
          </cell>
          <cell r="B386" t="str">
            <v>CoPlan</v>
          </cell>
          <cell r="C386" t="str">
            <v>SC023543</v>
          </cell>
          <cell r="E386" t="str">
            <v>Mechanical Parts</v>
          </cell>
          <cell r="G386">
            <v>0</v>
          </cell>
          <cell r="W386"/>
        </row>
        <row r="387">
          <cell r="A387" t="str">
            <v>PEN 800 Full 2.0</v>
          </cell>
          <cell r="B387" t="str">
            <v>CoPlan</v>
          </cell>
          <cell r="C387" t="str">
            <v>SC023239 &amp; SC023245</v>
          </cell>
          <cell r="E387" t="str">
            <v>Mechanical Parts</v>
          </cell>
          <cell r="G387">
            <v>0</v>
          </cell>
          <cell r="W387"/>
        </row>
        <row r="388">
          <cell r="A388" t="str">
            <v>PEN 800 Full 2.0</v>
          </cell>
          <cell r="B388" t="str">
            <v>CoPlan</v>
          </cell>
          <cell r="C388" t="str">
            <v>Amortization</v>
          </cell>
          <cell r="E388" t="str">
            <v>Assembly</v>
          </cell>
          <cell r="G388">
            <v>0</v>
          </cell>
          <cell r="W388"/>
        </row>
        <row r="389">
          <cell r="A389" t="str">
            <v>PEN 800 Full 2.0</v>
          </cell>
          <cell r="B389" t="str">
            <v>CoPlan</v>
          </cell>
          <cell r="C389" t="str">
            <v>Amortization</v>
          </cell>
          <cell r="E389" t="str">
            <v>Assembly</v>
          </cell>
          <cell r="G389">
            <v>0</v>
          </cell>
          <cell r="W389"/>
        </row>
        <row r="390">
          <cell r="A390" t="str">
            <v>PEN 800 Full 2.0</v>
          </cell>
          <cell r="B390" t="str">
            <v>CoPlan</v>
          </cell>
          <cell r="C390" t="str">
            <v>Thimble cost up</v>
          </cell>
          <cell r="E390" t="str">
            <v>Mechanical Parts</v>
          </cell>
          <cell r="G390">
            <v>0</v>
          </cell>
          <cell r="W390"/>
        </row>
        <row r="391">
          <cell r="A391" t="str">
            <v>PEN 800 Full 2.0</v>
          </cell>
          <cell r="B391" t="str">
            <v>CoPlan</v>
          </cell>
          <cell r="C391" t="str">
            <v>SC023152</v>
          </cell>
          <cell r="E391" t="str">
            <v>Electronics</v>
          </cell>
          <cell r="G391">
            <v>-8.1541770043510684E-3</v>
          </cell>
          <cell r="W391"/>
        </row>
        <row r="392">
          <cell r="A392" t="str">
            <v>PEN 800 Full 2.0</v>
          </cell>
          <cell r="B392" t="str">
            <v>CoPlan</v>
          </cell>
          <cell r="C392" t="str">
            <v>SC023835</v>
          </cell>
          <cell r="E392" t="str">
            <v>Mechanical Parts</v>
          </cell>
          <cell r="G392">
            <v>-2.1744472011602851E-4</v>
          </cell>
          <cell r="W392"/>
        </row>
        <row r="393">
          <cell r="A393" t="str">
            <v>PEN 800 Full 2.0</v>
          </cell>
          <cell r="B393" t="str">
            <v>SOP1 FCA</v>
          </cell>
          <cell r="C393"/>
          <cell r="E393"/>
          <cell r="F393">
            <v>1.2813039350758084</v>
          </cell>
          <cell r="G393">
            <v>1.2767196424488516</v>
          </cell>
        </row>
        <row r="394">
          <cell r="A394" t="str">
            <v>PEN 800 Full 2.0</v>
          </cell>
          <cell r="B394" t="str">
            <v>SOP1</v>
          </cell>
          <cell r="C394" t="str">
            <v>SC024210</v>
          </cell>
          <cell r="E394" t="str">
            <v>E-liquid</v>
          </cell>
          <cell r="G394"/>
          <cell r="W394"/>
        </row>
        <row r="395">
          <cell r="A395" t="str">
            <v>PEN 800 Full 2.0</v>
          </cell>
          <cell r="B395" t="str">
            <v>SOP1</v>
          </cell>
          <cell r="C395" t="str">
            <v>SC023836</v>
          </cell>
          <cell r="E395" t="str">
            <v>Assembly</v>
          </cell>
          <cell r="G395"/>
          <cell r="W395"/>
        </row>
        <row r="396">
          <cell r="A396" t="str">
            <v>PEN 800 Full 2.0</v>
          </cell>
          <cell r="B396" t="str">
            <v>SOP1</v>
          </cell>
          <cell r="C396" t="str">
            <v>SC023522</v>
          </cell>
          <cell r="E396" t="str">
            <v>Assembly</v>
          </cell>
          <cell r="G396"/>
          <cell r="W396"/>
        </row>
        <row r="397">
          <cell r="A397" t="str">
            <v>PEN 800 Full 2.0</v>
          </cell>
          <cell r="B397" t="str">
            <v>SOP1</v>
          </cell>
          <cell r="C397" t="str">
            <v>SC023223</v>
          </cell>
          <cell r="E397" t="str">
            <v>Assembly</v>
          </cell>
          <cell r="G397">
            <v>-4.1079656524320562E-5</v>
          </cell>
          <cell r="W397"/>
        </row>
        <row r="398">
          <cell r="A398" t="str">
            <v>PEN 800 Full 2.0</v>
          </cell>
          <cell r="B398" t="str">
            <v>SOP1</v>
          </cell>
          <cell r="C398" t="str">
            <v>SC023476</v>
          </cell>
          <cell r="E398" t="str">
            <v>Mechanical Parts</v>
          </cell>
          <cell r="G398"/>
          <cell r="W398"/>
        </row>
        <row r="399">
          <cell r="A399" t="str">
            <v>PEN 800 Full 2.0</v>
          </cell>
          <cell r="B399" t="str">
            <v>SOP1</v>
          </cell>
          <cell r="C399" t="str">
            <v>SC023526</v>
          </cell>
          <cell r="E399" t="str">
            <v>Core Technology</v>
          </cell>
          <cell r="G399"/>
          <cell r="W399"/>
        </row>
        <row r="400">
          <cell r="A400" t="str">
            <v>PEN 800 Full 2.0</v>
          </cell>
          <cell r="B400" t="str">
            <v>SOP1</v>
          </cell>
          <cell r="C400" t="str">
            <v>SC023239 &amp; SC023245</v>
          </cell>
          <cell r="E400" t="str">
            <v>Mechanical Parts</v>
          </cell>
          <cell r="G400"/>
          <cell r="W400"/>
        </row>
        <row r="401">
          <cell r="A401" t="str">
            <v>PEN 800 Full 2.0</v>
          </cell>
          <cell r="B401" t="str">
            <v>SOP1</v>
          </cell>
          <cell r="C401" t="str">
            <v>Amortization</v>
          </cell>
          <cell r="E401" t="str">
            <v>Assembly</v>
          </cell>
          <cell r="G401"/>
          <cell r="W401"/>
        </row>
        <row r="402">
          <cell r="A402" t="str">
            <v>PEN 800 Full 2.0</v>
          </cell>
          <cell r="B402" t="str">
            <v>SOP1</v>
          </cell>
          <cell r="C402" t="str">
            <v>Amortization</v>
          </cell>
          <cell r="E402" t="str">
            <v>Assembly</v>
          </cell>
          <cell r="G402">
            <v>5.9174409510741983E-4</v>
          </cell>
          <cell r="W402"/>
        </row>
        <row r="403">
          <cell r="A403" t="str">
            <v>PEN 800 Full 2.0</v>
          </cell>
          <cell r="B403" t="str">
            <v>SOP1</v>
          </cell>
          <cell r="C403" t="str">
            <v>Thimble cost up</v>
          </cell>
          <cell r="E403" t="str">
            <v>Mechanical Parts</v>
          </cell>
          <cell r="G403"/>
          <cell r="W403"/>
        </row>
        <row r="404">
          <cell r="A404" t="str">
            <v>PEN 800 Full 2.0</v>
          </cell>
          <cell r="B404" t="str">
            <v>SOP1</v>
          </cell>
          <cell r="C404" t="str">
            <v>SC023152</v>
          </cell>
          <cell r="E404" t="str">
            <v>Electronics</v>
          </cell>
          <cell r="G404">
            <v>-7.6105652040610273E-3</v>
          </cell>
          <cell r="W404"/>
        </row>
        <row r="405">
          <cell r="A405" t="str">
            <v>PEN 800 Full 2.0</v>
          </cell>
          <cell r="B405" t="str">
            <v>SOP1</v>
          </cell>
          <cell r="C405" t="str">
            <v>Spec</v>
          </cell>
          <cell r="E405" t="str">
            <v>Mechanical Parts</v>
          </cell>
          <cell r="G405">
            <v>2.4756081385209809E-3</v>
          </cell>
          <cell r="W405"/>
        </row>
        <row r="406">
          <cell r="A406" t="str">
            <v>PEN 800 Full 2.0</v>
          </cell>
          <cell r="B406" t="str">
            <v>SOP1</v>
          </cell>
          <cell r="C406" t="str">
            <v>SC024587</v>
          </cell>
          <cell r="E406" t="str">
            <v>Mechanical Parts</v>
          </cell>
          <cell r="G406"/>
          <cell r="W406"/>
        </row>
        <row r="407">
          <cell r="A407" t="str">
            <v>PEN 800 Full 2.0</v>
          </cell>
          <cell r="B407" t="str">
            <v>SOP1</v>
          </cell>
          <cell r="C407" t="str">
            <v>FX</v>
          </cell>
          <cell r="E407" t="str">
            <v>E-liquid</v>
          </cell>
          <cell r="G407"/>
          <cell r="W407"/>
        </row>
        <row r="408">
          <cell r="A408" t="str">
            <v>PEN 800 Full 2.0</v>
          </cell>
          <cell r="B408" t="str">
            <v>SOP1</v>
          </cell>
          <cell r="C408" t="str">
            <v>SC024587</v>
          </cell>
          <cell r="E408" t="str">
            <v>Mechanical Parts</v>
          </cell>
          <cell r="G408"/>
          <cell r="W408"/>
        </row>
        <row r="409">
          <cell r="A409" t="str">
            <v>PEN 800 Full 2.0</v>
          </cell>
          <cell r="B409" t="str">
            <v>SOP1</v>
          </cell>
          <cell r="C409" t="str">
            <v>SC023223</v>
          </cell>
          <cell r="E409" t="str">
            <v>Assembly</v>
          </cell>
          <cell r="G409"/>
        </row>
        <row r="410">
          <cell r="A410" t="str">
            <v>PEN 800 Full 2.0</v>
          </cell>
          <cell r="B410" t="str">
            <v>SOP1</v>
          </cell>
          <cell r="C410" t="str">
            <v>SC023560</v>
          </cell>
          <cell r="E410" t="str">
            <v>Core Technology</v>
          </cell>
          <cell r="G410"/>
        </row>
        <row r="411">
          <cell r="A411" t="str">
            <v>PEN 800 Full 2.0</v>
          </cell>
          <cell r="B411" t="str">
            <v>SOP1</v>
          </cell>
          <cell r="C411" t="str">
            <v>SC023762</v>
          </cell>
          <cell r="E411" t="str">
            <v>Electronics</v>
          </cell>
          <cell r="G411"/>
        </row>
        <row r="412">
          <cell r="A412" t="str">
            <v>PEN 800 Full 2.0</v>
          </cell>
          <cell r="B412" t="str">
            <v>SOP1</v>
          </cell>
          <cell r="C412" t="str">
            <v>SC023768</v>
          </cell>
          <cell r="E412" t="str">
            <v>Electronics</v>
          </cell>
          <cell r="G412"/>
        </row>
        <row r="413">
          <cell r="A413" t="str">
            <v>PEN 800 Full 2.0</v>
          </cell>
          <cell r="B413" t="str">
            <v>SOP1</v>
          </cell>
          <cell r="C413" t="str">
            <v>SC023841</v>
          </cell>
          <cell r="E413" t="str">
            <v>Electronics</v>
          </cell>
          <cell r="G413"/>
        </row>
        <row r="414">
          <cell r="A414" t="str">
            <v>PEN 800 Full 2.0</v>
          </cell>
          <cell r="B414" t="str">
            <v>SOP1</v>
          </cell>
          <cell r="C414" t="str">
            <v>Cost up</v>
          </cell>
          <cell r="E414" t="str">
            <v>Packaging</v>
          </cell>
          <cell r="G414"/>
        </row>
        <row r="415">
          <cell r="A415" t="str">
            <v>PEN 800 Full 2.0</v>
          </cell>
          <cell r="B415" t="str">
            <v>SOP1</v>
          </cell>
          <cell r="C415" t="str">
            <v>Cost up</v>
          </cell>
          <cell r="E415" t="str">
            <v>Packaging</v>
          </cell>
          <cell r="G415"/>
        </row>
        <row r="416">
          <cell r="A416" t="str">
            <v>PEN 800 Full 2.0</v>
          </cell>
          <cell r="B416" t="str">
            <v>SOP1</v>
          </cell>
          <cell r="C416" t="str">
            <v>Cost up</v>
          </cell>
          <cell r="E416" t="str">
            <v>Packaging</v>
          </cell>
          <cell r="G416"/>
        </row>
        <row r="417">
          <cell r="A417" t="str">
            <v>PEN 800 Full 2.0</v>
          </cell>
          <cell r="B417" t="str">
            <v>SOP1</v>
          </cell>
          <cell r="C417" t="str">
            <v>Inflation</v>
          </cell>
          <cell r="E417" t="str">
            <v>Assembly</v>
          </cell>
          <cell r="G417"/>
        </row>
        <row r="418">
          <cell r="A418" t="str">
            <v>PEN 800 Full 2.0</v>
          </cell>
          <cell r="B418" t="str">
            <v>SOP1</v>
          </cell>
          <cell r="C418" t="str">
            <v>Inflation</v>
          </cell>
          <cell r="E418" t="str">
            <v>Mechanical Parts</v>
          </cell>
          <cell r="G418"/>
        </row>
        <row r="419">
          <cell r="A419" t="str">
            <v>PEN 800 Full 2.0</v>
          </cell>
          <cell r="B419" t="str">
            <v>SOP1</v>
          </cell>
          <cell r="C419" t="str">
            <v>Inflation</v>
          </cell>
          <cell r="E419" t="str">
            <v>Core Technology</v>
          </cell>
          <cell r="G419"/>
        </row>
        <row r="420">
          <cell r="A420" t="str">
            <v>PEN 800 Full 2.0</v>
          </cell>
          <cell r="B420" t="str">
            <v>SOP1</v>
          </cell>
          <cell r="C420" t="str">
            <v>Inflation</v>
          </cell>
          <cell r="E420" t="str">
            <v>Packaging</v>
          </cell>
          <cell r="G420"/>
        </row>
        <row r="421">
          <cell r="A421" t="str">
            <v>PEN 800 Full 2.0</v>
          </cell>
          <cell r="B421" t="str">
            <v>SOP1</v>
          </cell>
          <cell r="C421" t="str">
            <v>Inflation</v>
          </cell>
          <cell r="E421" t="str">
            <v>E-liquid</v>
          </cell>
          <cell r="G421"/>
        </row>
        <row r="422">
          <cell r="A422" t="str">
            <v>PEN 800 Full 2.0</v>
          </cell>
          <cell r="B422" t="str">
            <v>SOP1</v>
          </cell>
          <cell r="C422" t="str">
            <v>Inflation</v>
          </cell>
          <cell r="E422" t="str">
            <v>Electronics</v>
          </cell>
          <cell r="G422"/>
        </row>
        <row r="423">
          <cell r="A423" t="str">
            <v>PEN 800 Full 2.0</v>
          </cell>
          <cell r="B423" t="str">
            <v>SOP1</v>
          </cell>
          <cell r="C423" t="str">
            <v>FX</v>
          </cell>
          <cell r="E423" t="str">
            <v>E-liquid</v>
          </cell>
          <cell r="G423"/>
        </row>
        <row r="424">
          <cell r="A424" t="str">
            <v>PEN 800 Full 2.0</v>
          </cell>
          <cell r="B424" t="str">
            <v>SOP1</v>
          </cell>
          <cell r="C424" t="str">
            <v>PSTT_TBC</v>
          </cell>
          <cell r="E424" t="str">
            <v>Mechanical Parts</v>
          </cell>
          <cell r="G424"/>
        </row>
        <row r="425">
          <cell r="A425" t="str">
            <v>PEN 800 Full 2.0</v>
          </cell>
          <cell r="B425" t="str">
            <v>SOP1</v>
          </cell>
          <cell r="C425" t="str">
            <v>PSTT_TBC</v>
          </cell>
          <cell r="E425" t="str">
            <v>Mechanical Parts</v>
          </cell>
          <cell r="G425"/>
        </row>
        <row r="426">
          <cell r="A426" t="str">
            <v>PEN 800 Full 2.0</v>
          </cell>
          <cell r="B426" t="str">
            <v>SOP1</v>
          </cell>
          <cell r="C426" t="str">
            <v>BLUESKY</v>
          </cell>
          <cell r="E426" t="str">
            <v>Packaging</v>
          </cell>
          <cell r="G426"/>
        </row>
        <row r="427">
          <cell r="A427" t="str">
            <v>PEN 800 Full 2.0</v>
          </cell>
          <cell r="B427" t="str">
            <v>SOP1</v>
          </cell>
          <cell r="C427" t="str">
            <v>BLUESKY</v>
          </cell>
          <cell r="E427" t="str">
            <v>Mechanical Parts</v>
          </cell>
          <cell r="G427"/>
        </row>
        <row r="428">
          <cell r="A428" t="str">
            <v>PEN 800 Full 2.0</v>
          </cell>
          <cell r="B428" t="str">
            <v>SOP1</v>
          </cell>
          <cell r="C428" t="str">
            <v>BLUESKY</v>
          </cell>
          <cell r="E428" t="str">
            <v>Mechanical Parts</v>
          </cell>
          <cell r="G428"/>
        </row>
        <row r="429">
          <cell r="A429" t="str">
            <v>PEN 800 Full 2.0</v>
          </cell>
          <cell r="B429" t="str">
            <v>SOP1</v>
          </cell>
          <cell r="C429" t="str">
            <v>SC025514</v>
          </cell>
          <cell r="E429" t="str">
            <v>Electronics</v>
          </cell>
          <cell r="G429"/>
        </row>
        <row r="430">
          <cell r="A430" t="str">
            <v>PEN 800 Full 2.0</v>
          </cell>
          <cell r="B430" t="str">
            <v>SOP1</v>
          </cell>
          <cell r="C430" t="str">
            <v>SC025522</v>
          </cell>
          <cell r="E430" t="str">
            <v>Electronics</v>
          </cell>
          <cell r="G430"/>
        </row>
        <row r="431">
          <cell r="A431" t="str">
            <v>PEN 800 Full 2.0</v>
          </cell>
          <cell r="B431" t="str">
            <v>SOP1</v>
          </cell>
          <cell r="C431" t="str">
            <v>BLUESKY</v>
          </cell>
          <cell r="E431" t="str">
            <v>Mechanical Parts</v>
          </cell>
          <cell r="G431"/>
        </row>
        <row r="432">
          <cell r="A432" t="str">
            <v>PEN 800 Full 2.0</v>
          </cell>
          <cell r="B432" t="str">
            <v>SOP1</v>
          </cell>
          <cell r="C432" t="str">
            <v>BLUESKY</v>
          </cell>
          <cell r="E432" t="str">
            <v>Mechanical Parts</v>
          </cell>
          <cell r="G432"/>
        </row>
        <row r="433">
          <cell r="A433" t="str">
            <v>PEN 800 Full 2.0</v>
          </cell>
          <cell r="B433" t="str">
            <v>SOP1</v>
          </cell>
          <cell r="C433" t="str">
            <v>BLUESKY</v>
          </cell>
          <cell r="E433" t="str">
            <v>Mechanical Parts</v>
          </cell>
          <cell r="G433"/>
        </row>
        <row r="469">
          <cell r="B469"/>
        </row>
        <row r="470">
          <cell r="B470"/>
        </row>
      </sheetData>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Za2kSv8GrE6atjnRqvc2d-Pmi79xkjRCjWioli-FWncza-6SW1J8QYIr0BdNYM1y" itemId="013XL2NU4V6ZLHKZDAXJDYNFPT3G2ICIKA">
      <xxl21:absoluteUrl r:id="rId2"/>
    </xxl21:alternateUrls>
    <sheetNames>
      <sheetName val="Gap Analysis update"/>
      <sheetName val="Summary"/>
      <sheetName val="RCS"/>
      <sheetName val="RCS Initiatives"/>
      <sheetName val="MoDi"/>
      <sheetName val="MoDi Initiatives"/>
      <sheetName val="actions"/>
      <sheetName val="remark"/>
    </sheetNames>
    <sheetDataSet>
      <sheetData sheetId="0"/>
      <sheetData sheetId="1"/>
      <sheetData sheetId="2"/>
      <sheetData sheetId="3">
        <row r="1">
          <cell r="T1">
            <v>8.81203</v>
          </cell>
          <cell r="U1" t="str">
            <v>Conr'23 rate</v>
          </cell>
        </row>
        <row r="2">
          <cell r="T2">
            <v>9.1977399999999996</v>
          </cell>
          <cell r="U2" t="str">
            <v>Conr'24 rate</v>
          </cell>
        </row>
        <row r="3">
          <cell r="A3" t="str">
            <v>Product</v>
          </cell>
          <cell r="B3" t="str">
            <v>Cycle</v>
          </cell>
          <cell r="C3" t="str">
            <v>Initiatives</v>
          </cell>
        </row>
        <row r="4">
          <cell r="A4" t="str">
            <v xml:space="preserve">Hestia 1.0 </v>
          </cell>
          <cell r="B4" t="str">
            <v>CoPlan FCA</v>
          </cell>
          <cell r="C4"/>
        </row>
        <row r="5">
          <cell r="A5" t="str">
            <v xml:space="preserve">Hestia 1.0 </v>
          </cell>
          <cell r="B5" t="str">
            <v>CoPlan</v>
          </cell>
          <cell r="C5" t="str">
            <v>Manual_line</v>
          </cell>
        </row>
        <row r="6">
          <cell r="A6" t="str">
            <v xml:space="preserve">Hestia 1.0 </v>
          </cell>
          <cell r="B6" t="str">
            <v>CoPlan</v>
          </cell>
          <cell r="C6" t="str">
            <v>SC023220</v>
          </cell>
        </row>
        <row r="7">
          <cell r="A7" t="str">
            <v xml:space="preserve">Hestia 1.0 </v>
          </cell>
          <cell r="B7" t="str">
            <v>CoPlan</v>
          </cell>
          <cell r="C7" t="str">
            <v>SC023573</v>
          </cell>
        </row>
        <row r="8">
          <cell r="A8" t="str">
            <v xml:space="preserve">Hestia 1.0 </v>
          </cell>
          <cell r="B8" t="str">
            <v>CoPlan</v>
          </cell>
          <cell r="C8" t="str">
            <v>SC023575</v>
          </cell>
        </row>
        <row r="9">
          <cell r="A9" t="str">
            <v xml:space="preserve">Hestia 1.0 </v>
          </cell>
          <cell r="B9" t="str">
            <v>CoPlan</v>
          </cell>
          <cell r="C9" t="str">
            <v>SC023577</v>
          </cell>
        </row>
        <row r="10">
          <cell r="A10" t="str">
            <v xml:space="preserve">Hestia 1.0 </v>
          </cell>
          <cell r="B10" t="str">
            <v>CoPlan</v>
          </cell>
          <cell r="C10" t="str">
            <v>SC023742</v>
          </cell>
        </row>
        <row r="11">
          <cell r="A11" t="str">
            <v xml:space="preserve">Hestia 1.0 </v>
          </cell>
          <cell r="B11" t="str">
            <v>CoPlan</v>
          </cell>
          <cell r="C11" t="str">
            <v>SC023728</v>
          </cell>
        </row>
        <row r="12">
          <cell r="A12" t="str">
            <v xml:space="preserve">Hestia 1.0 </v>
          </cell>
          <cell r="B12" t="str">
            <v>CoPlan</v>
          </cell>
          <cell r="C12" t="str">
            <v>Laura 2 &amp; 3</v>
          </cell>
        </row>
        <row r="13">
          <cell r="A13" t="str">
            <v xml:space="preserve">Hestia 1.0 </v>
          </cell>
          <cell r="B13" t="str">
            <v>CoPlan</v>
          </cell>
          <cell r="C13" t="str">
            <v>Laura 4</v>
          </cell>
        </row>
        <row r="14">
          <cell r="A14" t="str">
            <v xml:space="preserve">Hestia 1.0 </v>
          </cell>
          <cell r="B14" t="str">
            <v>CoPlan</v>
          </cell>
          <cell r="C14" t="str">
            <v>Inflation</v>
          </cell>
        </row>
        <row r="15">
          <cell r="A15" t="str">
            <v xml:space="preserve">Hestia 1.0 </v>
          </cell>
          <cell r="B15" t="str">
            <v>CoPlan</v>
          </cell>
          <cell r="C15" t="str">
            <v>Inflation</v>
          </cell>
        </row>
        <row r="16">
          <cell r="A16" t="str">
            <v xml:space="preserve">Hestia 1.0 </v>
          </cell>
          <cell r="B16" t="str">
            <v>CoPlan</v>
          </cell>
          <cell r="C16" t="str">
            <v>Inflation</v>
          </cell>
        </row>
        <row r="17">
          <cell r="A17" t="str">
            <v xml:space="preserve">Hestia 1.0 </v>
          </cell>
          <cell r="B17" t="str">
            <v>CoPlan</v>
          </cell>
          <cell r="C17" t="str">
            <v>Inflation</v>
          </cell>
        </row>
        <row r="18">
          <cell r="A18" t="str">
            <v xml:space="preserve">Hestia 1.0 </v>
          </cell>
          <cell r="B18" t="str">
            <v>CoPlan</v>
          </cell>
          <cell r="C18" t="str">
            <v>Inflation</v>
          </cell>
        </row>
        <row r="19">
          <cell r="A19" t="str">
            <v xml:space="preserve">Hestia 1.0 </v>
          </cell>
          <cell r="B19" t="str">
            <v>CoPlan</v>
          </cell>
          <cell r="C19" t="str">
            <v>Laura 41</v>
          </cell>
        </row>
        <row r="20">
          <cell r="A20" t="str">
            <v xml:space="preserve">Hestia 1.0 </v>
          </cell>
          <cell r="B20" t="str">
            <v>SOP2 FCA</v>
          </cell>
          <cell r="C20"/>
        </row>
        <row r="21">
          <cell r="A21" t="str">
            <v xml:space="preserve">Hestia 1.0 </v>
          </cell>
          <cell r="B21" t="str">
            <v>SOP2</v>
          </cell>
          <cell r="C21" t="str">
            <v>Manual_line</v>
          </cell>
        </row>
        <row r="22">
          <cell r="A22" t="str">
            <v xml:space="preserve">Hestia 1.0 </v>
          </cell>
          <cell r="B22" t="str">
            <v>SOP2</v>
          </cell>
          <cell r="C22" t="str">
            <v>SC023220</v>
          </cell>
        </row>
        <row r="23">
          <cell r="A23" t="str">
            <v xml:space="preserve">Hestia 1.0 </v>
          </cell>
          <cell r="B23" t="str">
            <v>SOP2</v>
          </cell>
          <cell r="C23" t="str">
            <v>SC023573</v>
          </cell>
        </row>
        <row r="24">
          <cell r="A24" t="str">
            <v xml:space="preserve">Hestia 1.0 </v>
          </cell>
          <cell r="B24" t="str">
            <v>SOP2</v>
          </cell>
          <cell r="C24" t="str">
            <v>SC023575</v>
          </cell>
        </row>
        <row r="25">
          <cell r="A25" t="str">
            <v xml:space="preserve">Hestia 1.0 </v>
          </cell>
          <cell r="B25" t="str">
            <v>SOP2</v>
          </cell>
          <cell r="C25" t="str">
            <v>SC023577</v>
          </cell>
        </row>
        <row r="26">
          <cell r="A26" t="str">
            <v xml:space="preserve">Hestia 1.0 </v>
          </cell>
          <cell r="B26" t="str">
            <v>SOP2</v>
          </cell>
          <cell r="C26" t="str">
            <v>TML</v>
          </cell>
        </row>
        <row r="27">
          <cell r="A27" t="str">
            <v xml:space="preserve">Hestia 1.0 </v>
          </cell>
          <cell r="B27" t="str">
            <v>SOP2</v>
          </cell>
          <cell r="C27" t="str">
            <v>SC023742</v>
          </cell>
        </row>
        <row r="28">
          <cell r="A28" t="str">
            <v xml:space="preserve">Hestia 1.0 </v>
          </cell>
          <cell r="B28" t="str">
            <v>SOP2</v>
          </cell>
          <cell r="C28" t="str">
            <v>SC025186</v>
          </cell>
        </row>
        <row r="29">
          <cell r="A29" t="str">
            <v xml:space="preserve">Hestia 1.0 </v>
          </cell>
          <cell r="B29" t="str">
            <v>SOP2</v>
          </cell>
          <cell r="C29" t="str">
            <v>Inflation</v>
          </cell>
        </row>
        <row r="30">
          <cell r="A30" t="str">
            <v xml:space="preserve">Hestia 1.0 </v>
          </cell>
          <cell r="B30" t="str">
            <v>SOP2</v>
          </cell>
          <cell r="C30" t="str">
            <v>Inflation</v>
          </cell>
        </row>
        <row r="31">
          <cell r="A31" t="str">
            <v xml:space="preserve">Hestia 1.0 </v>
          </cell>
          <cell r="B31" t="str">
            <v>SOP2</v>
          </cell>
          <cell r="C31" t="str">
            <v>Inflation</v>
          </cell>
        </row>
        <row r="32">
          <cell r="A32" t="str">
            <v xml:space="preserve">Hestia 1.0 </v>
          </cell>
          <cell r="B32" t="str">
            <v>SOP2</v>
          </cell>
          <cell r="C32" t="str">
            <v>Inflation</v>
          </cell>
        </row>
        <row r="33">
          <cell r="A33" t="str">
            <v xml:space="preserve">Hestia 1.0 </v>
          </cell>
          <cell r="B33" t="str">
            <v>SOP2</v>
          </cell>
          <cell r="C33" t="str">
            <v>Inflation</v>
          </cell>
        </row>
        <row r="34">
          <cell r="A34" t="str">
            <v xml:space="preserve">Hestia 1.0 </v>
          </cell>
          <cell r="B34" t="str">
            <v>SOP2</v>
          </cell>
          <cell r="C34" t="str">
            <v>SC025172</v>
          </cell>
        </row>
        <row r="35">
          <cell r="A35" t="str">
            <v xml:space="preserve">Hestia 1.0 </v>
          </cell>
          <cell r="B35" t="str">
            <v>SOP2</v>
          </cell>
          <cell r="C35" t="str">
            <v>New JAN'25</v>
          </cell>
        </row>
        <row r="36">
          <cell r="A36" t="str">
            <v xml:space="preserve">Hestia 1.0 </v>
          </cell>
          <cell r="B36" t="str">
            <v>SOP2</v>
          </cell>
          <cell r="C36" t="str">
            <v>SC024751</v>
          </cell>
        </row>
        <row r="37">
          <cell r="A37" t="str">
            <v xml:space="preserve">Hestia 1.0 </v>
          </cell>
          <cell r="B37" t="str">
            <v>SOP2</v>
          </cell>
          <cell r="C37" t="str">
            <v>SC024075</v>
          </cell>
        </row>
        <row r="38">
          <cell r="A38" t="str">
            <v xml:space="preserve">Hestia 1.0 </v>
          </cell>
          <cell r="B38" t="str">
            <v>SOP2</v>
          </cell>
          <cell r="C38" t="str">
            <v>New OCT'24</v>
          </cell>
        </row>
        <row r="39">
          <cell r="A39" t="str">
            <v xml:space="preserve">Hestia 1.0 </v>
          </cell>
          <cell r="B39" t="str">
            <v>SOP2</v>
          </cell>
          <cell r="C39" t="str">
            <v>SC024585</v>
          </cell>
        </row>
        <row r="40">
          <cell r="A40" t="str">
            <v xml:space="preserve">Hestia 1.0 </v>
          </cell>
          <cell r="B40" t="str">
            <v>SOP2</v>
          </cell>
          <cell r="C40" t="str">
            <v>SC024721</v>
          </cell>
        </row>
        <row r="41">
          <cell r="A41" t="str">
            <v xml:space="preserve">Hestia 1.0 </v>
          </cell>
          <cell r="B41" t="str">
            <v>SOP2</v>
          </cell>
          <cell r="C41" t="str">
            <v>SC025173, SC025239</v>
          </cell>
        </row>
        <row r="42">
          <cell r="A42" t="str">
            <v xml:space="preserve">Hestia 1.0 </v>
          </cell>
          <cell r="B42" t="str">
            <v>SOP2</v>
          </cell>
          <cell r="C42" t="str">
            <v>FX</v>
          </cell>
        </row>
        <row r="43">
          <cell r="A43" t="str">
            <v xml:space="preserve">Hestia 1.0 </v>
          </cell>
          <cell r="B43" t="str">
            <v>SOP2</v>
          </cell>
          <cell r="C43" t="str">
            <v>Reclass</v>
          </cell>
        </row>
        <row r="44">
          <cell r="A44" t="str">
            <v xml:space="preserve">Hestia 1.0 </v>
          </cell>
          <cell r="B44" t="str">
            <v>SOP2</v>
          </cell>
          <cell r="C44" t="str">
            <v>Reclass</v>
          </cell>
        </row>
        <row r="45">
          <cell r="A45" t="str">
            <v xml:space="preserve">Hestia 1.0 </v>
          </cell>
          <cell r="B45" t="str">
            <v>SOP2</v>
          </cell>
          <cell r="C45" t="str">
            <v>Amortization</v>
          </cell>
        </row>
        <row r="46">
          <cell r="A46" t="str">
            <v xml:space="preserve">Hestia 1.0 </v>
          </cell>
          <cell r="B46" t="str">
            <v>SOP2</v>
          </cell>
          <cell r="C46" t="str">
            <v>BLUESKY</v>
          </cell>
        </row>
        <row r="47">
          <cell r="A47" t="str">
            <v xml:space="preserve">Hestia 1.0 </v>
          </cell>
          <cell r="B47" t="str">
            <v>SOP2</v>
          </cell>
          <cell r="C47" t="str">
            <v>BLUESKY</v>
          </cell>
        </row>
        <row r="48">
          <cell r="A48" t="str">
            <v xml:space="preserve">Hestia 1.0 </v>
          </cell>
          <cell r="B48" t="str">
            <v>SOP2</v>
          </cell>
          <cell r="C48" t="str">
            <v>BLUESKY</v>
          </cell>
        </row>
        <row r="49">
          <cell r="A49" t="str">
            <v xml:space="preserve">Hestia 1.0 </v>
          </cell>
          <cell r="B49" t="str">
            <v>SOP2</v>
          </cell>
          <cell r="C49" t="str">
            <v>BLUESKY</v>
          </cell>
        </row>
        <row r="50">
          <cell r="A50" t="str">
            <v xml:space="preserve">Hestia 1.0 </v>
          </cell>
          <cell r="B50" t="str">
            <v>SOP2</v>
          </cell>
          <cell r="C50" t="str">
            <v>BLUESKY</v>
          </cell>
        </row>
        <row r="51">
          <cell r="A51" t="str">
            <v xml:space="preserve">Hestia 1.0 </v>
          </cell>
          <cell r="B51" t="str">
            <v>SOP2</v>
          </cell>
          <cell r="C51" t="str">
            <v>BLUESKY</v>
          </cell>
        </row>
        <row r="52">
          <cell r="A52" t="str">
            <v xml:space="preserve">Hestia 1.0 </v>
          </cell>
          <cell r="B52" t="str">
            <v>SOP2</v>
          </cell>
          <cell r="C52" t="str">
            <v>BLUESKY</v>
          </cell>
        </row>
        <row r="53">
          <cell r="A53" t="str">
            <v xml:space="preserve">Hestia 1.0 </v>
          </cell>
          <cell r="B53" t="str">
            <v>SOP2</v>
          </cell>
          <cell r="C53" t="str">
            <v>BLUESKY</v>
          </cell>
        </row>
        <row r="54">
          <cell r="A54" t="str">
            <v xml:space="preserve">Hestia 1.0 </v>
          </cell>
          <cell r="B54" t="str">
            <v>SOP2</v>
          </cell>
          <cell r="C54" t="str">
            <v>BLUESKY</v>
          </cell>
        </row>
        <row r="55">
          <cell r="A55" t="str">
            <v>Hestia 1.1 Smart</v>
          </cell>
          <cell r="B55" t="str">
            <v>SOP2 FCA</v>
          </cell>
          <cell r="C55"/>
        </row>
        <row r="56">
          <cell r="A56" t="str">
            <v>Hestia 1.1 Smart</v>
          </cell>
          <cell r="B56" t="str">
            <v>SOP2</v>
          </cell>
          <cell r="C56" t="str">
            <v>SC024630</v>
          </cell>
        </row>
        <row r="57">
          <cell r="A57" t="str">
            <v>Hestia 1.1 Smart</v>
          </cell>
          <cell r="B57" t="str">
            <v>SOP2</v>
          </cell>
          <cell r="C57" t="str">
            <v>SC024632</v>
          </cell>
        </row>
        <row r="58">
          <cell r="A58" t="str">
            <v>Hestia 1.1 Smart</v>
          </cell>
          <cell r="B58" t="str">
            <v>SOP2</v>
          </cell>
          <cell r="C58" t="str">
            <v>Inflation</v>
          </cell>
        </row>
        <row r="59">
          <cell r="A59" t="str">
            <v>Hestia 1.1 Smart</v>
          </cell>
          <cell r="B59" t="str">
            <v>SOP2</v>
          </cell>
          <cell r="C59"/>
        </row>
        <row r="60">
          <cell r="A60" t="str">
            <v>Hestia 1.1 Smart</v>
          </cell>
          <cell r="B60" t="str">
            <v>SOP2</v>
          </cell>
          <cell r="C60"/>
          <cell r="T60"/>
        </row>
        <row r="61">
          <cell r="A61" t="str">
            <v>Hestia 1.1 Smart</v>
          </cell>
          <cell r="B61" t="str">
            <v>SOP2</v>
          </cell>
          <cell r="C61" t="str">
            <v>BLUESKY</v>
          </cell>
        </row>
        <row r="62">
          <cell r="A62" t="str">
            <v>Hestia 1.1 Smart</v>
          </cell>
          <cell r="B62" t="str">
            <v>SOP2</v>
          </cell>
          <cell r="C62" t="str">
            <v>BLUESKY</v>
          </cell>
          <cell r="T62">
            <v>0</v>
          </cell>
        </row>
        <row r="63">
          <cell r="A63" t="str">
            <v>Hestia 1.1 Smart</v>
          </cell>
          <cell r="B63" t="str">
            <v>SOP2</v>
          </cell>
          <cell r="C63" t="str">
            <v>BLUESKY</v>
          </cell>
        </row>
        <row r="64">
          <cell r="A64" t="str">
            <v>ePod3 (ePod Pro)</v>
          </cell>
          <cell r="B64" t="str">
            <v>CoPlan FCA</v>
          </cell>
          <cell r="C64"/>
        </row>
        <row r="65">
          <cell r="A65" t="str">
            <v>ePod3 (ePod Pro)</v>
          </cell>
          <cell r="B65" t="str">
            <v>CoPlan</v>
          </cell>
          <cell r="C65" t="str">
            <v>SC022481</v>
          </cell>
        </row>
        <row r="66">
          <cell r="A66" t="str">
            <v>ePod3 (ePod Pro)</v>
          </cell>
          <cell r="B66" t="str">
            <v>CoPlan</v>
          </cell>
          <cell r="C66" t="str">
            <v>Inflation</v>
          </cell>
        </row>
        <row r="67">
          <cell r="A67" t="str">
            <v>ePod3 (ePod Pro)</v>
          </cell>
          <cell r="B67" t="str">
            <v>CoPlan</v>
          </cell>
          <cell r="C67" t="str">
            <v>Inflation</v>
          </cell>
        </row>
        <row r="68">
          <cell r="A68" t="str">
            <v>ePod3 (ePod Pro)</v>
          </cell>
          <cell r="B68" t="str">
            <v>CoPlan</v>
          </cell>
          <cell r="C68" t="str">
            <v>Inflation</v>
          </cell>
        </row>
        <row r="69">
          <cell r="A69" t="str">
            <v>ePod3 (ePod Pro)</v>
          </cell>
          <cell r="B69" t="str">
            <v>CoPlan</v>
          </cell>
          <cell r="C69" t="str">
            <v>Inflation</v>
          </cell>
        </row>
        <row r="70">
          <cell r="A70" t="str">
            <v>ePod3 (ePod Pro)</v>
          </cell>
          <cell r="B70" t="str">
            <v>CoPlan</v>
          </cell>
          <cell r="C70" t="str">
            <v>SC023771</v>
          </cell>
        </row>
        <row r="71">
          <cell r="A71" t="str">
            <v>ePod3 (ePod Pro)</v>
          </cell>
          <cell r="B71" t="str">
            <v>CoPlan</v>
          </cell>
          <cell r="C71" t="str">
            <v>SC023788</v>
          </cell>
        </row>
        <row r="72">
          <cell r="A72" t="str">
            <v>ePod3 (ePod Pro)</v>
          </cell>
          <cell r="B72" t="str">
            <v>CoPlan</v>
          </cell>
          <cell r="C72" t="str">
            <v>SC023790</v>
          </cell>
        </row>
        <row r="73">
          <cell r="A73" t="str">
            <v>ePod3 (ePod Pro)</v>
          </cell>
          <cell r="B73" t="str">
            <v>CoPlan</v>
          </cell>
          <cell r="C73" t="str">
            <v>SC023796</v>
          </cell>
        </row>
        <row r="74">
          <cell r="A74" t="str">
            <v>ePod3 (ePod Pro)</v>
          </cell>
          <cell r="B74" t="str">
            <v>CoPlan</v>
          </cell>
          <cell r="C74" t="str">
            <v>SC023792</v>
          </cell>
        </row>
        <row r="75">
          <cell r="A75" t="str">
            <v>ePod3 (ePod Pro)</v>
          </cell>
          <cell r="B75" t="str">
            <v>SOP2 FCA</v>
          </cell>
          <cell r="C75"/>
        </row>
        <row r="76">
          <cell r="A76" t="str">
            <v>ePod3 (ePod Pro)</v>
          </cell>
          <cell r="B76" t="str">
            <v>SOP2</v>
          </cell>
          <cell r="C76" t="str">
            <v>Inflation</v>
          </cell>
        </row>
        <row r="77">
          <cell r="A77" t="str">
            <v>ePod3 (ePod Pro)</v>
          </cell>
          <cell r="B77" t="str">
            <v>SOP2</v>
          </cell>
          <cell r="C77" t="str">
            <v>Inflation</v>
          </cell>
        </row>
        <row r="78">
          <cell r="A78" t="str">
            <v>ePod3 (ePod Pro)</v>
          </cell>
          <cell r="B78" t="str">
            <v>SOP2</v>
          </cell>
          <cell r="C78" t="str">
            <v>Inflation</v>
          </cell>
        </row>
        <row r="79">
          <cell r="A79" t="str">
            <v>ePod3 (ePod Pro)</v>
          </cell>
          <cell r="B79" t="str">
            <v>SOP2</v>
          </cell>
          <cell r="C79" t="str">
            <v>Inflation</v>
          </cell>
        </row>
        <row r="80">
          <cell r="A80" t="str">
            <v>ePod3 (ePod Pro)</v>
          </cell>
          <cell r="B80" t="str">
            <v>SOP2</v>
          </cell>
          <cell r="C80" t="str">
            <v>TML_PSTT</v>
          </cell>
        </row>
        <row r="81">
          <cell r="A81" t="str">
            <v>ePod3 (ePod Pro)</v>
          </cell>
          <cell r="B81" t="str">
            <v>SOP2</v>
          </cell>
          <cell r="C81" t="str">
            <v>SC023771</v>
          </cell>
        </row>
        <row r="82">
          <cell r="A82" t="str">
            <v>ePod3 (ePod Pro)</v>
          </cell>
          <cell r="B82" t="str">
            <v>SOP2</v>
          </cell>
          <cell r="C82" t="str">
            <v>SC023788</v>
          </cell>
        </row>
        <row r="83">
          <cell r="A83" t="str">
            <v>ePod3 (ePod Pro)</v>
          </cell>
          <cell r="B83" t="str">
            <v>SOP2</v>
          </cell>
          <cell r="C83" t="str">
            <v>SC025184</v>
          </cell>
        </row>
        <row r="84">
          <cell r="A84" t="str">
            <v>ePod3 (ePod Pro)</v>
          </cell>
          <cell r="B84" t="str">
            <v>SOP2</v>
          </cell>
          <cell r="C84" t="str">
            <v>SC023792</v>
          </cell>
        </row>
        <row r="85">
          <cell r="A85" t="str">
            <v>ePod3 (ePod Pro)</v>
          </cell>
          <cell r="B85" t="str">
            <v>SOP2</v>
          </cell>
          <cell r="C85" t="str">
            <v>SC023759</v>
          </cell>
        </row>
        <row r="86">
          <cell r="A86" t="str">
            <v>ePod3 (ePod Pro)</v>
          </cell>
          <cell r="B86" t="str">
            <v>SOP2</v>
          </cell>
          <cell r="C86" t="str">
            <v>Reclass</v>
          </cell>
        </row>
        <row r="87">
          <cell r="A87" t="str">
            <v>ePod3 (ePod Pro)</v>
          </cell>
          <cell r="B87" t="str">
            <v>SOP2</v>
          </cell>
          <cell r="C87" t="str">
            <v>Reclass</v>
          </cell>
        </row>
        <row r="88">
          <cell r="A88" t="str">
            <v>ePod3 (ePod Pro)</v>
          </cell>
          <cell r="B88" t="str">
            <v>SOP2</v>
          </cell>
          <cell r="C88" t="str">
            <v>New OCT'24</v>
          </cell>
        </row>
        <row r="89">
          <cell r="A89" t="str">
            <v>ePod3 (ePod Pro)</v>
          </cell>
          <cell r="B89" t="str">
            <v>SOP2</v>
          </cell>
          <cell r="C89" t="str">
            <v>SC025196</v>
          </cell>
        </row>
        <row r="90">
          <cell r="A90" t="str">
            <v>ePod3 (ePod Pro)</v>
          </cell>
          <cell r="B90" t="str">
            <v>SOP2</v>
          </cell>
          <cell r="C90" t="str">
            <v>SC025184</v>
          </cell>
        </row>
        <row r="91">
          <cell r="A91" t="str">
            <v>ePod3 (ePod Pro)</v>
          </cell>
          <cell r="B91" t="str">
            <v>SOP2</v>
          </cell>
          <cell r="C91" t="str">
            <v>SC023719</v>
          </cell>
        </row>
        <row r="92">
          <cell r="A92" t="str">
            <v>ePod3 (ePod Pro)</v>
          </cell>
          <cell r="B92" t="str">
            <v>SOP2</v>
          </cell>
          <cell r="C92" t="str">
            <v>SC025521</v>
          </cell>
        </row>
        <row r="93">
          <cell r="A93" t="str">
            <v>ePod3 (ePod Pro)</v>
          </cell>
          <cell r="B93" t="str">
            <v>SOP2</v>
          </cell>
          <cell r="C93" t="str">
            <v>SC025531</v>
          </cell>
        </row>
        <row r="94">
          <cell r="A94" t="str">
            <v>ePod3 (ePod Pro)</v>
          </cell>
          <cell r="B94" t="str">
            <v>SOP2</v>
          </cell>
          <cell r="C94" t="str">
            <v>BLUESKY</v>
          </cell>
        </row>
        <row r="95">
          <cell r="A95" t="str">
            <v>ePod3 (ePod Pro)</v>
          </cell>
          <cell r="B95" t="str">
            <v>SOP2</v>
          </cell>
          <cell r="C95" t="str">
            <v>BLUESKY</v>
          </cell>
        </row>
        <row r="96">
          <cell r="A96" t="str">
            <v>ePod3+ (ePod Pro Smart)</v>
          </cell>
          <cell r="B96" t="str">
            <v>CoPlan FCA</v>
          </cell>
          <cell r="C96"/>
        </row>
        <row r="97">
          <cell r="A97" t="str">
            <v>ePod3+ (ePod Pro Smart)</v>
          </cell>
          <cell r="B97" t="str">
            <v>CoPlan</v>
          </cell>
          <cell r="C97" t="str">
            <v>SC022482</v>
          </cell>
        </row>
        <row r="98">
          <cell r="A98" t="str">
            <v>ePod3+ (ePod Pro Smart)</v>
          </cell>
          <cell r="B98" t="str">
            <v>CoPlan</v>
          </cell>
          <cell r="C98" t="str">
            <v>Inflation</v>
          </cell>
        </row>
        <row r="99">
          <cell r="A99" t="str">
            <v>ePod3+ (ePod Pro Smart)</v>
          </cell>
          <cell r="B99" t="str">
            <v>CoPlan</v>
          </cell>
          <cell r="C99" t="str">
            <v>Inflation</v>
          </cell>
        </row>
        <row r="100">
          <cell r="A100" t="str">
            <v>ePod3+ (ePod Pro Smart)</v>
          </cell>
          <cell r="B100" t="str">
            <v>CoPlan</v>
          </cell>
          <cell r="C100" t="str">
            <v>Inflation</v>
          </cell>
        </row>
        <row r="101">
          <cell r="A101" t="str">
            <v>ePod3+ (ePod Pro Smart)</v>
          </cell>
          <cell r="B101" t="str">
            <v>CoPlan</v>
          </cell>
          <cell r="C101" t="str">
            <v>Inflation</v>
          </cell>
        </row>
        <row r="102">
          <cell r="A102" t="str">
            <v>ePod3+ (ePod Pro Smart)</v>
          </cell>
          <cell r="B102" t="str">
            <v>CoPlan</v>
          </cell>
          <cell r="C102" t="str">
            <v>SC023779</v>
          </cell>
        </row>
        <row r="103">
          <cell r="A103" t="str">
            <v>ePod3+ (ePod Pro Smart)</v>
          </cell>
          <cell r="B103" t="str">
            <v>CoPlan</v>
          </cell>
          <cell r="C103" t="str">
            <v>SC023781</v>
          </cell>
        </row>
        <row r="104">
          <cell r="A104" t="str">
            <v>ePod3+ (ePod Pro Smart)</v>
          </cell>
          <cell r="B104" t="str">
            <v>CoPlan</v>
          </cell>
          <cell r="C104" t="str">
            <v>SC023789</v>
          </cell>
        </row>
        <row r="105">
          <cell r="A105" t="str">
            <v>ePod3+ (ePod Pro Smart)</v>
          </cell>
          <cell r="B105" t="str">
            <v>CoPlan</v>
          </cell>
          <cell r="C105" t="str">
            <v>SC023804</v>
          </cell>
        </row>
        <row r="106">
          <cell r="A106" t="str">
            <v>ePod3+ (ePod Pro Smart)</v>
          </cell>
          <cell r="B106" t="str">
            <v>CoPlan</v>
          </cell>
          <cell r="C106" t="str">
            <v>SC023805</v>
          </cell>
        </row>
        <row r="107">
          <cell r="A107" t="str">
            <v>ePod3+ (ePod Pro Smart)</v>
          </cell>
          <cell r="B107" t="str">
            <v>SOP2 FCA</v>
          </cell>
          <cell r="C107"/>
        </row>
        <row r="108">
          <cell r="A108" t="str">
            <v>ePod3+ (ePod Pro Smart)</v>
          </cell>
          <cell r="B108" t="str">
            <v>SOP2</v>
          </cell>
          <cell r="C108" t="str">
            <v>SC021056</v>
          </cell>
        </row>
        <row r="109">
          <cell r="A109" t="str">
            <v>ePod3+ (ePod Pro Smart)</v>
          </cell>
          <cell r="B109" t="str">
            <v>SOP2</v>
          </cell>
          <cell r="C109" t="str">
            <v>Inflation</v>
          </cell>
        </row>
        <row r="110">
          <cell r="A110" t="str">
            <v>ePod3+ (ePod Pro Smart)</v>
          </cell>
          <cell r="B110" t="str">
            <v>SOP2</v>
          </cell>
          <cell r="C110" t="str">
            <v>Inflation</v>
          </cell>
        </row>
        <row r="111">
          <cell r="A111" t="str">
            <v>ePod3+ (ePod Pro Smart)</v>
          </cell>
          <cell r="B111" t="str">
            <v>SOP2</v>
          </cell>
          <cell r="C111" t="str">
            <v>Inflation</v>
          </cell>
        </row>
        <row r="112">
          <cell r="A112" t="str">
            <v>ePod3+ (ePod Pro Smart)</v>
          </cell>
          <cell r="B112" t="str">
            <v>SOP2</v>
          </cell>
          <cell r="C112" t="str">
            <v>Inflation</v>
          </cell>
        </row>
        <row r="113">
          <cell r="A113" t="str">
            <v>ePod3+ (ePod Pro Smart)</v>
          </cell>
          <cell r="B113" t="str">
            <v>SOP2</v>
          </cell>
          <cell r="C113" t="str">
            <v>TML_PSTT</v>
          </cell>
        </row>
        <row r="114">
          <cell r="A114" t="str">
            <v>ePod3+ (ePod Pro Smart)</v>
          </cell>
          <cell r="B114" t="str">
            <v>SOP2</v>
          </cell>
          <cell r="C114" t="str">
            <v>SC023779</v>
          </cell>
        </row>
        <row r="115">
          <cell r="A115" t="str">
            <v>ePod3+ (ePod Pro Smart)</v>
          </cell>
          <cell r="B115" t="str">
            <v>SOP2</v>
          </cell>
          <cell r="C115" t="str">
            <v>SC023781</v>
          </cell>
        </row>
        <row r="116">
          <cell r="A116" t="str">
            <v>ePod3+ (ePod Pro Smart)</v>
          </cell>
          <cell r="B116" t="str">
            <v>SOP2</v>
          </cell>
          <cell r="C116" t="str">
            <v>SC025185</v>
          </cell>
        </row>
        <row r="117">
          <cell r="A117" t="str">
            <v>ePod3+ (ePod Pro Smart)</v>
          </cell>
          <cell r="B117" t="str">
            <v>SOP2</v>
          </cell>
          <cell r="C117" t="str">
            <v>SC023804</v>
          </cell>
        </row>
        <row r="118">
          <cell r="A118" t="str">
            <v>ePod3+ (ePod Pro Smart)</v>
          </cell>
          <cell r="B118" t="str">
            <v>SOP2</v>
          </cell>
          <cell r="C118" t="str">
            <v>New OCT'24</v>
          </cell>
        </row>
        <row r="119">
          <cell r="A119" t="str">
            <v>ePod3+ (ePod Pro Smart)</v>
          </cell>
          <cell r="B119" t="str">
            <v>SOP2</v>
          </cell>
          <cell r="C119" t="str">
            <v>SC023752</v>
          </cell>
        </row>
        <row r="120">
          <cell r="A120" t="str">
            <v>ePod3+ (ePod Pro Smart)</v>
          </cell>
          <cell r="B120" t="str">
            <v>SOP2</v>
          </cell>
          <cell r="C120" t="str">
            <v>SC023720</v>
          </cell>
        </row>
        <row r="121">
          <cell r="A121" t="str">
            <v>ePod3+ (ePod Pro Smart)</v>
          </cell>
          <cell r="B121" t="str">
            <v>SOP2</v>
          </cell>
          <cell r="C121" t="str">
            <v>SC025529</v>
          </cell>
        </row>
        <row r="122">
          <cell r="A122" t="str">
            <v>ePod3+ (ePod Pro Smart)</v>
          </cell>
          <cell r="B122" t="str">
            <v>SOP2</v>
          </cell>
          <cell r="C122" t="str">
            <v>BLUESKY</v>
          </cell>
        </row>
        <row r="123">
          <cell r="A123" t="str">
            <v>ePod3+ (ePod Pro Smart)</v>
          </cell>
          <cell r="B123" t="str">
            <v>SOP2</v>
          </cell>
          <cell r="C123" t="str">
            <v>BLUESKY</v>
          </cell>
        </row>
        <row r="124">
          <cell r="A124" t="str">
            <v>ePod3+ (ePod Pro Smart)</v>
          </cell>
          <cell r="B124" t="str">
            <v>SOP2</v>
          </cell>
          <cell r="C124" t="str">
            <v>BLUESKY</v>
          </cell>
        </row>
        <row r="125">
          <cell r="A125" t="str">
            <v>KUMA E-Box Kit</v>
          </cell>
          <cell r="B125" t="str">
            <v>CoPlan FCA</v>
          </cell>
          <cell r="C125"/>
        </row>
        <row r="126">
          <cell r="A126" t="str">
            <v>KUMA E-Box Kit</v>
          </cell>
          <cell r="B126" t="str">
            <v>CoPlan</v>
          </cell>
          <cell r="C126" t="str">
            <v>SC023758</v>
          </cell>
        </row>
        <row r="127">
          <cell r="A127" t="str">
            <v>KUMA E-Box Kit</v>
          </cell>
          <cell r="B127" t="str">
            <v>CoPlan</v>
          </cell>
          <cell r="C127" t="str">
            <v>Laura 38</v>
          </cell>
        </row>
        <row r="128">
          <cell r="A128" t="str">
            <v>KUMA E-Box Kit</v>
          </cell>
          <cell r="B128" t="str">
            <v>CoPlan</v>
          </cell>
          <cell r="C128" t="str">
            <v>SC023753</v>
          </cell>
        </row>
        <row r="129">
          <cell r="A129" t="str">
            <v>KUMA E-Box Kit</v>
          </cell>
          <cell r="B129" t="str">
            <v>CoPlan</v>
          </cell>
          <cell r="C129" t="str">
            <v>SC023754</v>
          </cell>
        </row>
        <row r="130">
          <cell r="A130" t="str">
            <v>KUMA E-Box Kit</v>
          </cell>
          <cell r="B130" t="str">
            <v>CoPlan</v>
          </cell>
          <cell r="C130" t="str">
            <v>Kuma Box_battery second source</v>
          </cell>
        </row>
        <row r="131">
          <cell r="A131" t="str">
            <v>KUMA E-Box Kit</v>
          </cell>
          <cell r="B131" t="str">
            <v>CoPlan</v>
          </cell>
          <cell r="C131" t="str">
            <v>SC023798</v>
          </cell>
        </row>
        <row r="132">
          <cell r="A132" t="str">
            <v>KUMA E-Box Kit</v>
          </cell>
          <cell r="B132" t="str">
            <v>CoPlan</v>
          </cell>
          <cell r="C132" t="str">
            <v>SC023764</v>
          </cell>
        </row>
        <row r="133">
          <cell r="A133" t="str">
            <v>KUMA E-Box Kit</v>
          </cell>
          <cell r="B133" t="str">
            <v>CoPlan</v>
          </cell>
          <cell r="C133" t="str">
            <v>SC023794</v>
          </cell>
        </row>
        <row r="134">
          <cell r="A134" t="str">
            <v>KUMA E-Box Kit</v>
          </cell>
          <cell r="B134" t="str">
            <v>CoPlan</v>
          </cell>
          <cell r="C134" t="str">
            <v>SC023813</v>
          </cell>
        </row>
        <row r="135">
          <cell r="A135" t="str">
            <v>KUMA E-Box Kit</v>
          </cell>
          <cell r="B135" t="str">
            <v>CoPlan</v>
          </cell>
          <cell r="C135" t="str">
            <v>SC023809</v>
          </cell>
        </row>
        <row r="136">
          <cell r="A136" t="str">
            <v>KUMA E-Box Kit</v>
          </cell>
          <cell r="B136" t="str">
            <v>CoPlan</v>
          </cell>
          <cell r="C136" t="str">
            <v>SC023749</v>
          </cell>
        </row>
        <row r="137">
          <cell r="A137" t="str">
            <v>KUMA E-Box Kit</v>
          </cell>
          <cell r="B137" t="str">
            <v>CoPlan</v>
          </cell>
          <cell r="C137" t="str">
            <v>Laura 24</v>
          </cell>
        </row>
        <row r="138">
          <cell r="A138" t="str">
            <v>KUMA E-Box Kit</v>
          </cell>
          <cell r="B138" t="str">
            <v>CoPlan</v>
          </cell>
          <cell r="C138" t="str">
            <v>Inflation</v>
          </cell>
        </row>
        <row r="139">
          <cell r="A139" t="str">
            <v>KUMA E-Box Kit</v>
          </cell>
          <cell r="B139" t="str">
            <v>CoPlan</v>
          </cell>
          <cell r="C139" t="str">
            <v>Inflation</v>
          </cell>
        </row>
        <row r="140">
          <cell r="A140" t="str">
            <v>KUMA E-Box Kit</v>
          </cell>
          <cell r="B140" t="str">
            <v>CoPlan</v>
          </cell>
          <cell r="C140" t="str">
            <v>Inflation</v>
          </cell>
        </row>
        <row r="141">
          <cell r="A141" t="str">
            <v>KUMA E-Box Kit</v>
          </cell>
          <cell r="B141" t="str">
            <v>CoPlan</v>
          </cell>
          <cell r="C141" t="str">
            <v>Inflation</v>
          </cell>
        </row>
        <row r="142">
          <cell r="A142" t="str">
            <v>KUMA E-Box Kit</v>
          </cell>
          <cell r="B142" t="str">
            <v>CoPlan</v>
          </cell>
          <cell r="C142" t="str">
            <v>Cable increse</v>
          </cell>
        </row>
        <row r="143">
          <cell r="A143" t="str">
            <v>KUMA E-Box Kit</v>
          </cell>
          <cell r="B143" t="str">
            <v>SOP2 FCA</v>
          </cell>
          <cell r="C143"/>
        </row>
        <row r="144">
          <cell r="A144" t="str">
            <v>KUMA E-Box Kit</v>
          </cell>
          <cell r="B144" t="str">
            <v>SOP2</v>
          </cell>
          <cell r="C144" t="str">
            <v>SC024610</v>
          </cell>
        </row>
        <row r="145">
          <cell r="A145" t="str">
            <v>KUMA E-Box Kit</v>
          </cell>
          <cell r="B145" t="str">
            <v>SOP2</v>
          </cell>
          <cell r="C145" t="str">
            <v>SC023798</v>
          </cell>
        </row>
        <row r="146">
          <cell r="A146" t="str">
            <v>KUMA E-Box Kit</v>
          </cell>
          <cell r="B146" t="str">
            <v>SOP2</v>
          </cell>
          <cell r="C146" t="str">
            <v>Amortization</v>
          </cell>
        </row>
        <row r="147">
          <cell r="A147" t="str">
            <v>KUMA E-Box Kit</v>
          </cell>
          <cell r="B147" t="str">
            <v>SOP2</v>
          </cell>
          <cell r="C147" t="str">
            <v>Amortization</v>
          </cell>
        </row>
        <row r="148">
          <cell r="A148" t="str">
            <v>KUMA E-Box Kit</v>
          </cell>
          <cell r="B148" t="str">
            <v>SOP2</v>
          </cell>
          <cell r="C148" t="str">
            <v>SC025190</v>
          </cell>
        </row>
        <row r="149">
          <cell r="A149" t="str">
            <v>KUMA E-Box Kit</v>
          </cell>
          <cell r="B149" t="str">
            <v>SOP2</v>
          </cell>
          <cell r="C149" t="str">
            <v>SC023844</v>
          </cell>
        </row>
        <row r="150">
          <cell r="A150" t="str">
            <v>KUMA E-Box Kit</v>
          </cell>
          <cell r="B150" t="str">
            <v>SOP2</v>
          </cell>
          <cell r="C150" t="str">
            <v>SC024874</v>
          </cell>
        </row>
        <row r="151">
          <cell r="A151" t="str">
            <v>KUMA E-Box Kit</v>
          </cell>
          <cell r="B151" t="str">
            <v>SOP2</v>
          </cell>
          <cell r="C151" t="str">
            <v>SC024918</v>
          </cell>
        </row>
        <row r="152">
          <cell r="A152" t="str">
            <v>KUMA E-Box Kit</v>
          </cell>
          <cell r="B152" t="str">
            <v>SOP2</v>
          </cell>
          <cell r="C152" t="str">
            <v>SC024767</v>
          </cell>
        </row>
        <row r="153">
          <cell r="A153" t="str">
            <v>KUMA E-Box Kit</v>
          </cell>
          <cell r="B153" t="str">
            <v>SOP2</v>
          </cell>
          <cell r="C153" t="str">
            <v>SC024076 &amp; SC024077</v>
          </cell>
        </row>
        <row r="154">
          <cell r="A154" t="str">
            <v>KUMA E-Box Kit</v>
          </cell>
          <cell r="B154" t="str">
            <v>SOP2</v>
          </cell>
          <cell r="C154" t="str">
            <v>SC024078</v>
          </cell>
        </row>
        <row r="155">
          <cell r="A155" t="str">
            <v>KUMA E-Box Kit</v>
          </cell>
          <cell r="B155" t="str">
            <v>SOP2</v>
          </cell>
          <cell r="C155" t="str">
            <v>TML_PSTT</v>
          </cell>
        </row>
        <row r="156">
          <cell r="A156" t="str">
            <v>KUMA E-Box Kit</v>
          </cell>
          <cell r="B156" t="str">
            <v>SOP2</v>
          </cell>
          <cell r="C156" t="str">
            <v>Inflation</v>
          </cell>
        </row>
        <row r="157">
          <cell r="A157" t="str">
            <v>KUMA E-Box Kit</v>
          </cell>
          <cell r="B157" t="str">
            <v>SOP2</v>
          </cell>
          <cell r="C157" t="str">
            <v>Inflation</v>
          </cell>
        </row>
        <row r="158">
          <cell r="A158" t="str">
            <v>KUMA E-Box Kit</v>
          </cell>
          <cell r="B158" t="str">
            <v>SOP2</v>
          </cell>
          <cell r="C158" t="str">
            <v>Inflation</v>
          </cell>
        </row>
        <row r="159">
          <cell r="A159" t="str">
            <v>KUMA E-Box Kit</v>
          </cell>
          <cell r="B159" t="str">
            <v>SOP2</v>
          </cell>
          <cell r="C159" t="str">
            <v>Inflation</v>
          </cell>
        </row>
        <row r="160">
          <cell r="A160" t="str">
            <v>KUMA E-Box Kit</v>
          </cell>
          <cell r="B160" t="str">
            <v>SOP2</v>
          </cell>
          <cell r="C160" t="str">
            <v>SC023716</v>
          </cell>
        </row>
        <row r="161">
          <cell r="A161" t="str">
            <v>KUMA E-Box Kit</v>
          </cell>
          <cell r="B161" t="str">
            <v>SOP2</v>
          </cell>
          <cell r="C161" t="str">
            <v>SC023722</v>
          </cell>
        </row>
        <row r="162">
          <cell r="A162" t="str">
            <v>KUMA E-Box Kit</v>
          </cell>
          <cell r="B162" t="str">
            <v>SOP2</v>
          </cell>
          <cell r="C162" t="str">
            <v>Reclass</v>
          </cell>
        </row>
        <row r="163">
          <cell r="A163" t="str">
            <v>KUMA E-Box Kit</v>
          </cell>
          <cell r="B163" t="str">
            <v>SOP2</v>
          </cell>
          <cell r="C163" t="str">
            <v>Reclass</v>
          </cell>
        </row>
        <row r="164">
          <cell r="A164" t="str">
            <v>KUMA E-Box Kit</v>
          </cell>
          <cell r="B164" t="str">
            <v>SOP2</v>
          </cell>
          <cell r="C164" t="str">
            <v>Reclass</v>
          </cell>
        </row>
        <row r="165">
          <cell r="A165" t="str">
            <v>KUMA E-Box Kit</v>
          </cell>
          <cell r="B165" t="str">
            <v>SOP2</v>
          </cell>
          <cell r="C165" t="str">
            <v>Reclass</v>
          </cell>
        </row>
        <row r="166">
          <cell r="A166" t="str">
            <v>KUMA E-Box Kit</v>
          </cell>
          <cell r="B166" t="str">
            <v>SOP2</v>
          </cell>
          <cell r="C166" t="str">
            <v>SC024624</v>
          </cell>
        </row>
        <row r="167">
          <cell r="A167" t="str">
            <v>KUMA E-Box Kit</v>
          </cell>
          <cell r="B167" t="str">
            <v>SOP2</v>
          </cell>
          <cell r="C167" t="str">
            <v>SC025188</v>
          </cell>
        </row>
        <row r="168">
          <cell r="A168" t="str">
            <v>KUMA E-Box Kit</v>
          </cell>
          <cell r="B168" t="str">
            <v>SOP2</v>
          </cell>
          <cell r="C168" t="str">
            <v>BLUESKY</v>
          </cell>
        </row>
        <row r="169">
          <cell r="A169" t="str">
            <v>KUMA E-Box Kit</v>
          </cell>
          <cell r="B169" t="str">
            <v>SOP2</v>
          </cell>
          <cell r="C169" t="str">
            <v>BLUESKY</v>
          </cell>
        </row>
        <row r="170">
          <cell r="A170" t="str">
            <v>KUMA E-Box Kit</v>
          </cell>
          <cell r="B170" t="str">
            <v>SOP2</v>
          </cell>
          <cell r="C170" t="str">
            <v>BLUESKY</v>
          </cell>
        </row>
        <row r="171">
          <cell r="A171" t="str">
            <v>KUMA E-Box Kit</v>
          </cell>
          <cell r="B171" t="str">
            <v>SOP2</v>
          </cell>
          <cell r="C171" t="str">
            <v>BLUESKY</v>
          </cell>
        </row>
        <row r="172">
          <cell r="A172" t="str">
            <v>KUMA E-Pen Kit</v>
          </cell>
          <cell r="B172" t="str">
            <v>CoPlan FCA</v>
          </cell>
          <cell r="C172"/>
        </row>
        <row r="173">
          <cell r="A173" t="str">
            <v>KUMA E-Pen Kit</v>
          </cell>
          <cell r="B173" t="str">
            <v>CoPlan</v>
          </cell>
          <cell r="C173" t="str">
            <v>SC023750</v>
          </cell>
        </row>
        <row r="174">
          <cell r="A174" t="str">
            <v>KUMA E-Pen Kit</v>
          </cell>
          <cell r="B174" t="str">
            <v>CoPlan</v>
          </cell>
          <cell r="C174" t="str">
            <v>SC023751</v>
          </cell>
        </row>
        <row r="175">
          <cell r="A175" t="str">
            <v>KUMA E-Pen Kit</v>
          </cell>
          <cell r="B175" t="str">
            <v>CoPlan</v>
          </cell>
          <cell r="C175" t="str">
            <v>SC023776</v>
          </cell>
        </row>
        <row r="176">
          <cell r="A176" t="str">
            <v>KUMA E-Pen Kit</v>
          </cell>
          <cell r="B176" t="str">
            <v>CoPlan</v>
          </cell>
          <cell r="C176" t="str">
            <v>SC023767</v>
          </cell>
        </row>
        <row r="177">
          <cell r="A177" t="str">
            <v>KUMA E-Pen Kit</v>
          </cell>
          <cell r="B177" t="str">
            <v>CoPlan</v>
          </cell>
          <cell r="C177" t="str">
            <v>SC023791</v>
          </cell>
        </row>
        <row r="178">
          <cell r="A178" t="str">
            <v>KUMA E-Pen Kit</v>
          </cell>
          <cell r="B178" t="str">
            <v>CoPlan</v>
          </cell>
          <cell r="C178" t="str">
            <v>SC023802</v>
          </cell>
        </row>
        <row r="179">
          <cell r="A179" t="str">
            <v>KUMA E-Pen Kit</v>
          </cell>
          <cell r="B179" t="str">
            <v>CoPlan</v>
          </cell>
          <cell r="C179" t="str">
            <v xml:space="preserve">SC023822 </v>
          </cell>
        </row>
        <row r="180">
          <cell r="A180" t="str">
            <v>KUMA E-Pen Kit</v>
          </cell>
          <cell r="B180" t="str">
            <v>CoPlan</v>
          </cell>
          <cell r="C180" t="str">
            <v>SC023840</v>
          </cell>
        </row>
        <row r="181">
          <cell r="A181" t="str">
            <v>KUMA E-Pen Kit</v>
          </cell>
          <cell r="B181" t="str">
            <v>CoPlan</v>
          </cell>
          <cell r="C181" t="str">
            <v>SC023748</v>
          </cell>
        </row>
        <row r="182">
          <cell r="A182" t="str">
            <v>KUMA E-Pen Kit</v>
          </cell>
          <cell r="B182" t="str">
            <v>CoPlan</v>
          </cell>
          <cell r="C182" t="str">
            <v>Inflation</v>
          </cell>
        </row>
        <row r="183">
          <cell r="A183" t="str">
            <v>KUMA E-Pen Kit</v>
          </cell>
          <cell r="B183" t="str">
            <v>CoPlan</v>
          </cell>
          <cell r="C183" t="str">
            <v>Inflation</v>
          </cell>
        </row>
        <row r="184">
          <cell r="A184" t="str">
            <v>KUMA E-Pen Kit</v>
          </cell>
          <cell r="B184" t="str">
            <v>CoPlan</v>
          </cell>
          <cell r="C184" t="str">
            <v>Inflation</v>
          </cell>
        </row>
        <row r="185">
          <cell r="A185" t="str">
            <v>KUMA E-Pen Kit</v>
          </cell>
          <cell r="B185" t="str">
            <v>CoPlan</v>
          </cell>
          <cell r="C185" t="str">
            <v>Inflation</v>
          </cell>
        </row>
        <row r="186">
          <cell r="A186" t="str">
            <v>KUMA E-Pen Kit</v>
          </cell>
          <cell r="B186" t="str">
            <v>CoPlan</v>
          </cell>
          <cell r="C186" t="str">
            <v>Laura 36</v>
          </cell>
        </row>
        <row r="187">
          <cell r="A187" t="str">
            <v>KUMA E-Pen Kit</v>
          </cell>
          <cell r="B187" t="str">
            <v>CoPlan</v>
          </cell>
          <cell r="C187" t="str">
            <v>Laura 37</v>
          </cell>
        </row>
        <row r="188">
          <cell r="A188" t="str">
            <v>KUMA E-Pen Kit</v>
          </cell>
          <cell r="B188" t="str">
            <v>CoPlan</v>
          </cell>
          <cell r="C188" t="str">
            <v>Laura 39</v>
          </cell>
        </row>
        <row r="189">
          <cell r="A189" t="str">
            <v>KUMA E-Pen Kit</v>
          </cell>
          <cell r="B189" t="str">
            <v>CoPlan</v>
          </cell>
          <cell r="C189" t="str">
            <v>Cable increse</v>
          </cell>
        </row>
        <row r="190">
          <cell r="A190" t="str">
            <v>KUMA E-Pen Kit</v>
          </cell>
          <cell r="B190" t="str">
            <v>SOP2 FCA</v>
          </cell>
          <cell r="C190"/>
        </row>
        <row r="191">
          <cell r="A191" t="str">
            <v>KUMA E-Pen Kit</v>
          </cell>
          <cell r="B191" t="str">
            <v>SOP2</v>
          </cell>
          <cell r="C191" t="str">
            <v>SC024613</v>
          </cell>
        </row>
        <row r="192">
          <cell r="A192" t="str">
            <v>KUMA E-Pen Kit</v>
          </cell>
          <cell r="B192" t="str">
            <v>SOP2</v>
          </cell>
          <cell r="C192" t="str">
            <v>SC023776</v>
          </cell>
        </row>
        <row r="193">
          <cell r="A193" t="str">
            <v>KUMA E-Pen Kit</v>
          </cell>
          <cell r="B193" t="str">
            <v>SOP2</v>
          </cell>
          <cell r="C193" t="str">
            <v>SC025236</v>
          </cell>
        </row>
        <row r="194">
          <cell r="A194" t="str">
            <v>KUMA E-Pen Kit</v>
          </cell>
          <cell r="B194" t="str">
            <v>SOP2</v>
          </cell>
          <cell r="C194" t="str">
            <v>SC025189</v>
          </cell>
        </row>
        <row r="195">
          <cell r="A195" t="str">
            <v>KUMA E-Pen Kit</v>
          </cell>
          <cell r="B195" t="str">
            <v>SOP2</v>
          </cell>
          <cell r="C195" t="str">
            <v>SC023843</v>
          </cell>
        </row>
        <row r="196">
          <cell r="A196" t="str">
            <v>KUMA E-Pen Kit</v>
          </cell>
          <cell r="B196" t="str">
            <v>SOP2</v>
          </cell>
          <cell r="C196" t="str">
            <v>SC025187</v>
          </cell>
        </row>
        <row r="197">
          <cell r="A197" t="str">
            <v>KUMA E-Pen Kit</v>
          </cell>
          <cell r="B197" t="str">
            <v>SOP2</v>
          </cell>
          <cell r="C197" t="str">
            <v>SC024873</v>
          </cell>
        </row>
        <row r="198">
          <cell r="A198" t="str">
            <v>KUMA E-Pen Kit</v>
          </cell>
          <cell r="B198" t="str">
            <v>SOP2</v>
          </cell>
          <cell r="C198" t="str">
            <v>Inflation</v>
          </cell>
        </row>
        <row r="199">
          <cell r="A199" t="str">
            <v>KUMA E-Pen Kit</v>
          </cell>
          <cell r="B199" t="str">
            <v>SOP2</v>
          </cell>
          <cell r="C199" t="str">
            <v>Inflation</v>
          </cell>
        </row>
        <row r="200">
          <cell r="A200" t="str">
            <v>KUMA E-Pen Kit</v>
          </cell>
          <cell r="B200" t="str">
            <v>SOP2</v>
          </cell>
          <cell r="C200" t="str">
            <v>Inflation</v>
          </cell>
        </row>
        <row r="201">
          <cell r="A201" t="str">
            <v>KUMA E-Pen Kit</v>
          </cell>
          <cell r="B201" t="str">
            <v>SOP2</v>
          </cell>
          <cell r="C201" t="str">
            <v>Inflation</v>
          </cell>
        </row>
        <row r="202">
          <cell r="A202" t="str">
            <v>KUMA E-Pen Kit</v>
          </cell>
          <cell r="B202" t="str">
            <v>SOP2</v>
          </cell>
          <cell r="C202" t="str">
            <v>SC024768</v>
          </cell>
        </row>
        <row r="203">
          <cell r="A203" t="str">
            <v>KUMA E-Pen Kit</v>
          </cell>
          <cell r="B203" t="str">
            <v>SOP2</v>
          </cell>
          <cell r="C203" t="str">
            <v>Amortization</v>
          </cell>
        </row>
        <row r="204">
          <cell r="A204" t="str">
            <v>KUMA E-Pen Kit</v>
          </cell>
          <cell r="B204" t="str">
            <v>SOP2</v>
          </cell>
          <cell r="C204" t="str">
            <v>SC012541</v>
          </cell>
        </row>
        <row r="205">
          <cell r="A205" t="str">
            <v>KUMA E-Pen Kit</v>
          </cell>
          <cell r="B205" t="str">
            <v>SOP2</v>
          </cell>
          <cell r="C205" t="str">
            <v>SC024846</v>
          </cell>
        </row>
        <row r="206">
          <cell r="A206" t="str">
            <v>KUMA E-Pen Kit</v>
          </cell>
          <cell r="B206" t="str">
            <v>SOP2</v>
          </cell>
          <cell r="C206" t="str">
            <v>TML_PSTT</v>
          </cell>
        </row>
        <row r="207">
          <cell r="A207" t="str">
            <v>KUMA E-Pen Kit</v>
          </cell>
          <cell r="B207" t="str">
            <v>SOP2</v>
          </cell>
          <cell r="C207" t="str">
            <v>Reclass</v>
          </cell>
        </row>
        <row r="208">
          <cell r="A208" t="str">
            <v>KUMA E-Pen Kit</v>
          </cell>
          <cell r="B208" t="str">
            <v>SOP2</v>
          </cell>
          <cell r="C208" t="str">
            <v>Reclass</v>
          </cell>
        </row>
        <row r="209">
          <cell r="A209" t="str">
            <v>KUMA E-Pen Kit</v>
          </cell>
          <cell r="B209" t="str">
            <v>SOP2</v>
          </cell>
          <cell r="C209" t="str">
            <v>Reclass</v>
          </cell>
        </row>
        <row r="210">
          <cell r="A210" t="str">
            <v>KUMA E-Pen Kit</v>
          </cell>
          <cell r="B210" t="str">
            <v>SOP2</v>
          </cell>
          <cell r="C210" t="str">
            <v>Reclass</v>
          </cell>
        </row>
        <row r="211">
          <cell r="A211" t="str">
            <v>KUMA E-Pen Kit</v>
          </cell>
          <cell r="B211" t="str">
            <v>SOP2</v>
          </cell>
          <cell r="C211" t="str">
            <v>SC024080</v>
          </cell>
        </row>
        <row r="212">
          <cell r="A212" t="str">
            <v>KUMA E-Pen Kit</v>
          </cell>
          <cell r="B212" t="str">
            <v>SOP2</v>
          </cell>
          <cell r="C212" t="str">
            <v>SC024766</v>
          </cell>
        </row>
        <row r="213">
          <cell r="A213" t="str">
            <v>KUMA E-Pen Kit</v>
          </cell>
          <cell r="B213" t="str">
            <v>SOP2</v>
          </cell>
          <cell r="C213" t="str">
            <v>TBC</v>
          </cell>
        </row>
        <row r="214">
          <cell r="A214" t="str">
            <v>KUMA E-Pen Kit</v>
          </cell>
          <cell r="B214" t="str">
            <v>SOP2</v>
          </cell>
          <cell r="C214" t="str">
            <v>SC023715</v>
          </cell>
        </row>
        <row r="215">
          <cell r="A215" t="str">
            <v>KUMA E-Pen Kit</v>
          </cell>
          <cell r="B215" t="str">
            <v>SOP2</v>
          </cell>
          <cell r="C215" t="str">
            <v>SC025530</v>
          </cell>
        </row>
        <row r="216">
          <cell r="A216" t="str">
            <v>KUMA E-Pen Kit</v>
          </cell>
          <cell r="B216" t="str">
            <v>SOP2</v>
          </cell>
          <cell r="C216" t="str">
            <v>BLUESKY</v>
          </cell>
        </row>
        <row r="217">
          <cell r="A217" t="str">
            <v>KUMA E-Pen Kit</v>
          </cell>
          <cell r="B217" t="str">
            <v>SOP2</v>
          </cell>
          <cell r="C217" t="str">
            <v>BLUESKY</v>
          </cell>
        </row>
        <row r="218">
          <cell r="A218" t="str">
            <v>KUMA E-Pen Kit</v>
          </cell>
          <cell r="B218" t="str">
            <v>SOP2</v>
          </cell>
          <cell r="C218" t="str">
            <v>BLUESKY</v>
          </cell>
        </row>
        <row r="219">
          <cell r="A219"/>
        </row>
        <row r="220">
          <cell r="A220" t="str">
            <v>Kuma E-Pen 2.0 Kit ROW</v>
          </cell>
          <cell r="B220" t="str">
            <v>SOP2 FCA</v>
          </cell>
          <cell r="C220"/>
        </row>
        <row r="221">
          <cell r="A221" t="str">
            <v>Kuma E-Pen 2.0 Kit ROW</v>
          </cell>
          <cell r="B221" t="str">
            <v>SOP2</v>
          </cell>
          <cell r="C221" t="str">
            <v>SC025518</v>
          </cell>
        </row>
        <row r="222">
          <cell r="A222" t="str">
            <v>Kuma E-Pen 2.0 Kit ROW</v>
          </cell>
          <cell r="B222" t="str">
            <v>SOP2</v>
          </cell>
          <cell r="C222" t="str">
            <v>SC025525</v>
          </cell>
        </row>
        <row r="223">
          <cell r="A223" t="str">
            <v>Kuma E-Pen 2.0 Kit ROW</v>
          </cell>
          <cell r="B223" t="str">
            <v>SOP2</v>
          </cell>
          <cell r="C223" t="str">
            <v>BLUESKY</v>
          </cell>
        </row>
        <row r="224">
          <cell r="A224" t="str">
            <v>Kuma E-Pen 2.0 Kit ROW</v>
          </cell>
          <cell r="B224" t="str">
            <v>SOP2</v>
          </cell>
          <cell r="C224" t="str">
            <v>BLUESKY</v>
          </cell>
        </row>
        <row r="225">
          <cell r="A225" t="str">
            <v>Kuma E-Pen 2.0 Kit ROW</v>
          </cell>
          <cell r="B225" t="str">
            <v>SOP2</v>
          </cell>
          <cell r="C225" t="str">
            <v>BLUESKY</v>
          </cell>
        </row>
        <row r="226">
          <cell r="A226" t="str">
            <v>Kuma E-Pen 2.0 Kit ROW</v>
          </cell>
          <cell r="B226" t="str">
            <v>SOP2</v>
          </cell>
          <cell r="C226" t="str">
            <v>BLUESKY</v>
          </cell>
        </row>
        <row r="227">
          <cell r="A227" t="str">
            <v>Kuma E-Pen 2.0 Kit ROW</v>
          </cell>
          <cell r="B227" t="str">
            <v>SOP2</v>
          </cell>
          <cell r="C227" t="str">
            <v>BLUESKY</v>
          </cell>
        </row>
        <row r="228">
          <cell r="A228" t="str">
            <v>Kuma E-Pen 2.0 Kit ROW</v>
          </cell>
          <cell r="B228" t="str">
            <v>SOP2</v>
          </cell>
          <cell r="C228" t="str">
            <v>BLUESKY</v>
          </cell>
        </row>
        <row r="229">
          <cell r="A229" t="str">
            <v>Kuma E-Pen 2.0 Kit ROW</v>
          </cell>
          <cell r="B229" t="str">
            <v>SOP2</v>
          </cell>
          <cell r="C229" t="str">
            <v>BLUESKY</v>
          </cell>
        </row>
        <row r="230">
          <cell r="A230"/>
          <cell r="B230"/>
          <cell r="C230"/>
        </row>
        <row r="231">
          <cell r="A231" t="str">
            <v>Kuma E-Pen 2.0 Kit NZ</v>
          </cell>
          <cell r="B231" t="str">
            <v>SOP2 FCA</v>
          </cell>
          <cell r="C231"/>
        </row>
        <row r="232">
          <cell r="A232" t="str">
            <v>Kuma E-Pen 2.0 Kit NZ</v>
          </cell>
          <cell r="B232" t="str">
            <v>SOP2</v>
          </cell>
          <cell r="C232" t="str">
            <v>Inflation</v>
          </cell>
        </row>
        <row r="233">
          <cell r="A233" t="str">
            <v>Kuma E-Pen 2.0 Kit NZ</v>
          </cell>
          <cell r="B233" t="str">
            <v>SOP2</v>
          </cell>
          <cell r="C233" t="str">
            <v>PSTT_TBC</v>
          </cell>
        </row>
        <row r="234">
          <cell r="A234" t="str">
            <v>Kuma E-Pen 2.0 Kit NZ</v>
          </cell>
          <cell r="B234" t="str">
            <v>SOP2</v>
          </cell>
          <cell r="C234" t="str">
            <v>SC025182</v>
          </cell>
        </row>
        <row r="235">
          <cell r="A235" t="str">
            <v>Kuma E-Pen 2.0 Kit NZ</v>
          </cell>
          <cell r="B235" t="str">
            <v>SOP2</v>
          </cell>
          <cell r="C235" t="str">
            <v>Reclass</v>
          </cell>
        </row>
        <row r="236">
          <cell r="A236" t="str">
            <v>Kuma E-Pen 2.0 Kit NZ</v>
          </cell>
          <cell r="B236" t="str">
            <v>SOP2</v>
          </cell>
          <cell r="C236" t="str">
            <v>Reclass</v>
          </cell>
        </row>
        <row r="237">
          <cell r="A237" t="str">
            <v>Kuma E-Pen 2.0 Kit NZ</v>
          </cell>
          <cell r="B237" t="str">
            <v>SOP2</v>
          </cell>
          <cell r="C237" t="str">
            <v>SC025198</v>
          </cell>
        </row>
        <row r="238">
          <cell r="A238" t="str">
            <v>Kuma E-Pen 2.0 Kit NZ</v>
          </cell>
          <cell r="B238" t="str">
            <v>SOP2</v>
          </cell>
          <cell r="C238" t="str">
            <v>SC023845</v>
          </cell>
        </row>
        <row r="239">
          <cell r="A239" t="str">
            <v>Kuma E-Pen 2.0 Kit NZ</v>
          </cell>
          <cell r="B239" t="str">
            <v>SOP2</v>
          </cell>
          <cell r="C239" t="str">
            <v>PSTT_TBC</v>
          </cell>
        </row>
        <row r="240">
          <cell r="A240" t="str">
            <v>Kuma E-Pen 2.0 Kit NZ</v>
          </cell>
          <cell r="B240" t="str">
            <v>SOP2</v>
          </cell>
          <cell r="C240" t="str">
            <v>TML</v>
          </cell>
        </row>
        <row r="241">
          <cell r="A241"/>
          <cell r="B241"/>
          <cell r="C241"/>
        </row>
        <row r="242">
          <cell r="A242" t="str">
            <v>Mimosa</v>
          </cell>
          <cell r="B242" t="str">
            <v>SOP2 FCA</v>
          </cell>
          <cell r="C242"/>
        </row>
        <row r="243">
          <cell r="A243" t="str">
            <v>Mimosa</v>
          </cell>
          <cell r="B243" t="str">
            <v>SOP2</v>
          </cell>
          <cell r="C243" t="str">
            <v>BLUESKY</v>
          </cell>
          <cell r="T243"/>
        </row>
        <row r="244">
          <cell r="A244" t="str">
            <v>Mimosa</v>
          </cell>
          <cell r="B244" t="str">
            <v>SOP2</v>
          </cell>
          <cell r="C244" t="str">
            <v>BLUESKY</v>
          </cell>
          <cell r="T244"/>
        </row>
        <row r="245">
          <cell r="A245"/>
          <cell r="B245"/>
          <cell r="C245"/>
        </row>
        <row r="246">
          <cell r="A246" t="str">
            <v>Kuma e-Box 2.0 (Starter Kit)</v>
          </cell>
          <cell r="B246"/>
          <cell r="C246"/>
        </row>
        <row r="247">
          <cell r="A247" t="str">
            <v>Kuma e-Box 2.0 (Starter Kit)</v>
          </cell>
          <cell r="B247" t="str">
            <v>SOP2</v>
          </cell>
          <cell r="C247" t="str">
            <v>SC025517</v>
          </cell>
          <cell r="T247"/>
        </row>
        <row r="248">
          <cell r="A248" t="str">
            <v>Kuma e-Box 2.0 (Starter Kit)</v>
          </cell>
          <cell r="B248" t="str">
            <v>SOP2</v>
          </cell>
          <cell r="C248" t="str">
            <v>SC025526</v>
          </cell>
          <cell r="T248"/>
        </row>
        <row r="249">
          <cell r="A249" t="str">
            <v>Kuma e-Box 2.0 (Starter Kit)</v>
          </cell>
          <cell r="B249" t="str">
            <v>SOP2</v>
          </cell>
          <cell r="C249" t="str">
            <v>BLUESKY</v>
          </cell>
          <cell r="T249"/>
        </row>
        <row r="250">
          <cell r="A250" t="str">
            <v>Kuma e-Box 2.0 (Starter Kit)</v>
          </cell>
          <cell r="B250" t="str">
            <v>SOP2</v>
          </cell>
          <cell r="C250" t="str">
            <v>BLUESKY</v>
          </cell>
          <cell r="T250"/>
        </row>
        <row r="251">
          <cell r="A251"/>
          <cell r="B251"/>
          <cell r="C251"/>
        </row>
        <row r="252">
          <cell r="A252"/>
          <cell r="B252"/>
          <cell r="C252"/>
        </row>
        <row r="253">
          <cell r="A253"/>
          <cell r="B253"/>
          <cell r="C253"/>
        </row>
        <row r="254">
          <cell r="A254"/>
          <cell r="B254"/>
          <cell r="C254"/>
        </row>
        <row r="255">
          <cell r="A255" t="str">
            <v>Alto Pod</v>
          </cell>
          <cell r="B255" t="str">
            <v>SOP1</v>
          </cell>
          <cell r="C255" t="str">
            <v>BLUESKY</v>
          </cell>
        </row>
        <row r="256">
          <cell r="A256" t="str">
            <v>Alto Pod</v>
          </cell>
          <cell r="B256" t="str">
            <v>SOP1</v>
          </cell>
          <cell r="C256" t="str">
            <v>BLUESKY</v>
          </cell>
        </row>
        <row r="257">
          <cell r="A257"/>
          <cell r="B257"/>
          <cell r="C257"/>
        </row>
        <row r="258">
          <cell r="A258" t="str">
            <v>Alto Device</v>
          </cell>
          <cell r="B258" t="str">
            <v>SOP1</v>
          </cell>
          <cell r="C258" t="str">
            <v>BLUESKY</v>
          </cell>
          <cell r="T258">
            <v>-1.6400000000000001E-2</v>
          </cell>
        </row>
        <row r="259">
          <cell r="A259"/>
          <cell r="B259"/>
          <cell r="C259"/>
        </row>
        <row r="260">
          <cell r="A260" t="str">
            <v>Prismatic Pod</v>
          </cell>
          <cell r="B260" t="str">
            <v>SOP1</v>
          </cell>
          <cell r="C260" t="str">
            <v>BLUESKY</v>
          </cell>
        </row>
        <row r="261">
          <cell r="A261"/>
          <cell r="B261" t="str">
            <v>SOP1</v>
          </cell>
          <cell r="C261" t="str">
            <v>BLUESKY</v>
          </cell>
        </row>
        <row r="270">
          <cell r="A270" t="str">
            <v>KUMA E-Box (Device)</v>
          </cell>
          <cell r="B270" t="str">
            <v>CoPlan</v>
          </cell>
          <cell r="C270" t="str">
            <v>SC023753</v>
          </cell>
        </row>
        <row r="271">
          <cell r="A271" t="str">
            <v>KUMA E-Box (Device)</v>
          </cell>
          <cell r="B271"/>
          <cell r="C271" t="str">
            <v>SC023754</v>
          </cell>
          <cell r="T271" t="str">
            <v>Sav</v>
          </cell>
          <cell r="U271">
            <v>-0.42260069787401366</v>
          </cell>
        </row>
        <row r="272">
          <cell r="A272" t="str">
            <v>KUMA E-Box (Device)</v>
          </cell>
          <cell r="B272"/>
          <cell r="C272" t="str">
            <v>Kuma Box_battery second source</v>
          </cell>
          <cell r="U272"/>
        </row>
        <row r="273">
          <cell r="A273" t="str">
            <v>KUMA E-Box (Device)</v>
          </cell>
          <cell r="B273"/>
          <cell r="C273" t="str">
            <v>SC023798</v>
          </cell>
          <cell r="U273"/>
        </row>
        <row r="274">
          <cell r="A274" t="str">
            <v>KUMA E-Box (Device)</v>
          </cell>
          <cell r="B274"/>
          <cell r="C274" t="str">
            <v>SC023764</v>
          </cell>
          <cell r="U274"/>
        </row>
        <row r="275">
          <cell r="A275" t="str">
            <v>KUMA E-Box (Device)</v>
          </cell>
          <cell r="B275"/>
          <cell r="C275" t="str">
            <v>SC023794</v>
          </cell>
          <cell r="U275"/>
        </row>
        <row r="276">
          <cell r="A276" t="str">
            <v>KUMA E-Box (Device)</v>
          </cell>
          <cell r="B276"/>
          <cell r="C276" t="str">
            <v>SC023813</v>
          </cell>
          <cell r="U276"/>
        </row>
        <row r="277">
          <cell r="A277" t="str">
            <v>KUMA E-Box (Device)</v>
          </cell>
          <cell r="B277"/>
          <cell r="C277" t="str">
            <v>SC023809</v>
          </cell>
          <cell r="U277"/>
        </row>
        <row r="278">
          <cell r="A278" t="str">
            <v>KUMA E-Box (Device)</v>
          </cell>
          <cell r="B278"/>
          <cell r="C278" t="str">
            <v>SC023749</v>
          </cell>
          <cell r="U278"/>
        </row>
        <row r="279">
          <cell r="A279" t="str">
            <v>KUMA E-Box (Device)</v>
          </cell>
          <cell r="B279"/>
          <cell r="C279" t="str">
            <v>Laura 24</v>
          </cell>
          <cell r="U279"/>
        </row>
        <row r="280">
          <cell r="A280" t="str">
            <v>KUMA E-Box (Device)</v>
          </cell>
          <cell r="B280"/>
          <cell r="C280" t="str">
            <v>Inflation</v>
          </cell>
          <cell r="U280"/>
        </row>
        <row r="281">
          <cell r="A281" t="str">
            <v>KUMA E-Box (Device)</v>
          </cell>
          <cell r="B281"/>
          <cell r="C281" t="str">
            <v>Inflation</v>
          </cell>
          <cell r="U281"/>
        </row>
        <row r="282">
          <cell r="A282" t="str">
            <v>KUMA E-Box (Device)</v>
          </cell>
          <cell r="B282"/>
          <cell r="C282" t="str">
            <v>Inflation</v>
          </cell>
          <cell r="U282"/>
        </row>
        <row r="283">
          <cell r="A283" t="str">
            <v>KUMA E-Box (Device)</v>
          </cell>
          <cell r="B283"/>
          <cell r="C283" t="str">
            <v>Inflation</v>
          </cell>
          <cell r="U283"/>
        </row>
        <row r="284">
          <cell r="A284" t="str">
            <v>KUMA E-Box (Device)</v>
          </cell>
          <cell r="B284"/>
          <cell r="C284" t="str">
            <v>Cable increse</v>
          </cell>
          <cell r="U284"/>
        </row>
        <row r="285">
          <cell r="A285" t="str">
            <v>KUMA E-Box (Device)</v>
          </cell>
          <cell r="B285" t="str">
            <v>SOP12</v>
          </cell>
          <cell r="C285" t="str">
            <v>SC024610</v>
          </cell>
          <cell r="U285"/>
        </row>
        <row r="286">
          <cell r="A286" t="str">
            <v>KUMA E-Box (Device)</v>
          </cell>
          <cell r="B286"/>
          <cell r="C286" t="str">
            <v>SC023754</v>
          </cell>
          <cell r="T286" t="str">
            <v>Sav</v>
          </cell>
          <cell r="U286">
            <v>-0.27908480659390872</v>
          </cell>
        </row>
        <row r="287">
          <cell r="A287" t="str">
            <v>KUMA E-Box (Device)</v>
          </cell>
          <cell r="B287"/>
          <cell r="C287" t="str">
            <v>TBC</v>
          </cell>
          <cell r="U287"/>
        </row>
        <row r="288">
          <cell r="A288" t="str">
            <v>KUMA E-Box (Device)</v>
          </cell>
          <cell r="B288"/>
          <cell r="C288" t="str">
            <v>TBC</v>
          </cell>
          <cell r="U288"/>
        </row>
        <row r="289">
          <cell r="A289" t="str">
            <v>KUMA E-Box (Device)</v>
          </cell>
          <cell r="B289"/>
          <cell r="C289" t="str">
            <v>SC023798</v>
          </cell>
          <cell r="U289">
            <v>0.14351589128010495</v>
          </cell>
        </row>
        <row r="290">
          <cell r="A290" t="str">
            <v>KUMA E-Box (Device)</v>
          </cell>
          <cell r="B290"/>
          <cell r="C290" t="str">
            <v>Amortization</v>
          </cell>
        </row>
        <row r="291">
          <cell r="A291" t="str">
            <v>KUMA E-Box (Device)</v>
          </cell>
          <cell r="B291"/>
          <cell r="C291" t="str">
            <v>SC023764</v>
          </cell>
        </row>
        <row r="292">
          <cell r="A292" t="str">
            <v>KUMA E-Box (Device)</v>
          </cell>
          <cell r="B292"/>
          <cell r="C292" t="str">
            <v>SC023722</v>
          </cell>
        </row>
        <row r="293">
          <cell r="A293" t="str">
            <v>KUMA E-Box (Device)</v>
          </cell>
          <cell r="B293"/>
          <cell r="C293" t="str">
            <v>SC023716</v>
          </cell>
        </row>
        <row r="294">
          <cell r="A294" t="str">
            <v>KUMA E-Box (Device)</v>
          </cell>
          <cell r="B294"/>
          <cell r="C294" t="str">
            <v>SC023844</v>
          </cell>
        </row>
        <row r="295">
          <cell r="A295" t="str">
            <v>KUMA E-Box (Device)</v>
          </cell>
          <cell r="B295"/>
          <cell r="C295" t="str">
            <v>Silcone</v>
          </cell>
        </row>
        <row r="296">
          <cell r="A296" t="str">
            <v>KUMA E-Box (Device)</v>
          </cell>
          <cell r="B296"/>
          <cell r="C296" t="str">
            <v>SC024874</v>
          </cell>
        </row>
        <row r="297">
          <cell r="A297" t="str">
            <v>KUMA E-Box (Device)</v>
          </cell>
          <cell r="B297"/>
          <cell r="C297" t="str">
            <v>Inflation</v>
          </cell>
        </row>
        <row r="298">
          <cell r="A298" t="str">
            <v>KUMA E-Box (Device)</v>
          </cell>
          <cell r="B298"/>
          <cell r="C298" t="str">
            <v>Inflation</v>
          </cell>
        </row>
        <row r="299">
          <cell r="A299" t="str">
            <v>KUMA E-Box (Device)</v>
          </cell>
          <cell r="B299"/>
          <cell r="C299" t="str">
            <v>Inflation</v>
          </cell>
        </row>
        <row r="300">
          <cell r="A300" t="str">
            <v>KUMA E-Box (Device)</v>
          </cell>
          <cell r="B300"/>
          <cell r="C300" t="str">
            <v>Inflation</v>
          </cell>
        </row>
        <row r="301">
          <cell r="A301" t="str">
            <v>KUMA E-Box (Device)</v>
          </cell>
          <cell r="B301"/>
          <cell r="C301" t="str">
            <v>Cable increse</v>
          </cell>
        </row>
        <row r="302">
          <cell r="A302" t="str">
            <v>KUMA E-Box (Device)</v>
          </cell>
          <cell r="B302"/>
          <cell r="C302" t="str">
            <v>SC024076 &amp; SC024077</v>
          </cell>
        </row>
        <row r="303">
          <cell r="A303" t="str">
            <v>KUMA E-Box (Device)</v>
          </cell>
          <cell r="B303"/>
          <cell r="C303" t="str">
            <v>SC024078</v>
          </cell>
        </row>
        <row r="304">
          <cell r="A304" t="str">
            <v>KUMA E-Box (Device)</v>
          </cell>
          <cell r="B304"/>
          <cell r="C304" t="str">
            <v>TML_PSTT</v>
          </cell>
        </row>
        <row r="305">
          <cell r="A305" t="str">
            <v>KUMA E-Box (Device)</v>
          </cell>
          <cell r="B305"/>
          <cell r="C305" t="str">
            <v>SC024624</v>
          </cell>
        </row>
        <row r="306">
          <cell r="A306" t="str">
            <v>KUMA E-Box (Device)</v>
          </cell>
          <cell r="B306"/>
          <cell r="C306" t="str">
            <v>SC024767</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Pivot-SOP2"/>
      <sheetName val="Pivot-SOP9"/>
      <sheetName val="Saving"/>
      <sheetName val="Sheet3"/>
      <sheetName val="Volume tidy"/>
      <sheetName val="Tidy sop2"/>
      <sheetName val="Volume pivot tidy"/>
      <sheetName val="Volumes"/>
      <sheetName val="Volumes (2)"/>
      <sheetName val="Volume pivot"/>
      <sheetName val="Volume compare"/>
    </sheetNames>
    <sheetDataSet>
      <sheetData sheetId="0"/>
      <sheetData sheetId="1">
        <row r="43">
          <cell r="J43">
            <v>3841677.9591470556</v>
          </cell>
          <cell r="K43">
            <v>33978.251133538026</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COSVAR"/>
      <sheetName val="Assumptions"/>
      <sheetName val="COSTING"/>
      <sheetName val="2025 Portfolio"/>
      <sheetName val="2025 Portfolio v2 on BPC Vol"/>
      <sheetName val="2025 Portfolio v2"/>
      <sheetName val="Summary of Savings"/>
      <sheetName val="APO vs BPC Savings &amp; Infl"/>
      <sheetName val="Alto"/>
      <sheetName val="MoDi Graphs"/>
      <sheetName val="Portfolio Mix Calculation VAL2"/>
      <sheetName val="Portfolio Mix Calculation"/>
      <sheetName val="Regions COC 2024"/>
      <sheetName val="Regions COC 2025"/>
      <sheetName val="Volume"/>
      <sheetName val="COC"/>
      <sheetName val="Impacts"/>
      <sheetName val="MoDi Pricing"/>
      <sheetName val="MoDi COGS"/>
      <sheetName val="COGS ePod"/>
      <sheetName val="ePod Devices"/>
      <sheetName val="ePod Graphs"/>
      <sheetName val="ePod Pods"/>
      <sheetName val="MoDi Vols"/>
      <sheetName val="Vols ePod"/>
      <sheetName val="Regions COC 2025 (SOP7 Vol)"/>
      <sheetName val="COC (AME)"/>
      <sheetName val="NPIs"/>
      <sheetName val="ePod Devices (2)"/>
      <sheetName val="Vols ePod half year"/>
      <sheetName val="COGS ePod half year"/>
      <sheetName val="ePod=&gt;"/>
      <sheetName val="control_Vols ePod"/>
      <sheetName val="MoDi =&gt;"/>
      <sheetName val="control_MoDi Vol"/>
      <sheetName val="control_MoDi COG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44">
          <cell r="AE344">
            <v>0.95806469850202358</v>
          </cell>
          <cell r="AF344">
            <v>0.95806469850202336</v>
          </cell>
          <cell r="AG344">
            <v>0.95789088591726945</v>
          </cell>
          <cell r="AH344">
            <v>0.92372004197884494</v>
          </cell>
          <cell r="AI344">
            <v>0.90421112283929661</v>
          </cell>
          <cell r="AJ344">
            <v>0.8898401523617665</v>
          </cell>
          <cell r="AK344">
            <v>0.8898401523617665</v>
          </cell>
          <cell r="AL344">
            <v>0.88217563477375027</v>
          </cell>
          <cell r="AM344">
            <v>0.88217563477375027</v>
          </cell>
          <cell r="AN344">
            <v>0.8753261260900953</v>
          </cell>
          <cell r="AO344">
            <v>0.8753261260900953</v>
          </cell>
          <cell r="AP344">
            <v>0.8753261260900953</v>
          </cell>
          <cell r="AQ344">
            <v>0.8753261260900953</v>
          </cell>
        </row>
        <row r="397">
          <cell r="AE397">
            <v>1.4156305354853806</v>
          </cell>
          <cell r="AF397">
            <v>1.4411690678900089</v>
          </cell>
          <cell r="AG397">
            <v>1.4314146083202353</v>
          </cell>
          <cell r="AH397">
            <v>1.400762938453507</v>
          </cell>
          <cell r="AI397">
            <v>1.3812540193139589</v>
          </cell>
          <cell r="AJ397">
            <v>1.3333507843888575</v>
          </cell>
          <cell r="AK397">
            <v>1.3333507843888575</v>
          </cell>
          <cell r="AL397">
            <v>1.3256862668008413</v>
          </cell>
          <cell r="AM397">
            <v>1.3256862668008413</v>
          </cell>
          <cell r="AN397">
            <v>1.3188367581171867</v>
          </cell>
          <cell r="AO397">
            <v>1.3188367581171867</v>
          </cell>
          <cell r="AP397">
            <v>1.3188367581171867</v>
          </cell>
          <cell r="AQ397">
            <v>1.3188367581171867</v>
          </cell>
        </row>
        <row r="447">
          <cell r="AE447">
            <v>2.0895481177376363</v>
          </cell>
          <cell r="AF447">
            <v>2.0895481177376363</v>
          </cell>
          <cell r="AG447">
            <v>1.9688662980732403</v>
          </cell>
          <cell r="AH447">
            <v>1.8433765962551854</v>
          </cell>
          <cell r="AI447">
            <v>1.8433765962551854</v>
          </cell>
          <cell r="AJ447">
            <v>1.8433765962551854</v>
          </cell>
          <cell r="AK447">
            <v>1.8433765962551854</v>
          </cell>
          <cell r="AL447">
            <v>1.835712078667169</v>
          </cell>
          <cell r="AM447">
            <v>1.835712078667169</v>
          </cell>
          <cell r="AN447">
            <v>1.8290071707223909</v>
          </cell>
          <cell r="AO447">
            <v>1.8290071707223909</v>
          </cell>
          <cell r="AP447">
            <v>1.8290071707223909</v>
          </cell>
          <cell r="AQ447">
            <v>1.8290071707223909</v>
          </cell>
        </row>
        <row r="523">
          <cell r="AE523">
            <v>2.1980767449348972</v>
          </cell>
          <cell r="AF523">
            <v>2.2379708221500416</v>
          </cell>
          <cell r="AG523">
            <v>2.1172890024856459</v>
          </cell>
          <cell r="AH523">
            <v>2.0320380180046755</v>
          </cell>
          <cell r="AI523">
            <v>2.0320380180046755</v>
          </cell>
          <cell r="AJ523">
            <v>2.0320380180046755</v>
          </cell>
          <cell r="AK523">
            <v>2.0320380180046755</v>
          </cell>
          <cell r="AL523">
            <v>2.0243735004166594</v>
          </cell>
          <cell r="AM523">
            <v>2.0243735004166594</v>
          </cell>
          <cell r="AN523">
            <v>2.0176685924718814</v>
          </cell>
          <cell r="AO523">
            <v>2.0176685924718814</v>
          </cell>
          <cell r="AP523">
            <v>2.0176685924718814</v>
          </cell>
          <cell r="AQ523">
            <v>2.0176685924718814</v>
          </cell>
        </row>
        <row r="571">
          <cell r="AE571">
            <v>2.4448098383440682</v>
          </cell>
          <cell r="AF571">
            <v>2.488388701597096</v>
          </cell>
          <cell r="AG571">
            <v>2.3698572849210597</v>
          </cell>
          <cell r="AH571">
            <v>2.2362240331657368</v>
          </cell>
          <cell r="AI571">
            <v>2.2362240331657368</v>
          </cell>
          <cell r="AJ571">
            <v>2.2362240331657368</v>
          </cell>
          <cell r="AK571">
            <v>2.2362240331657368</v>
          </cell>
          <cell r="AL571">
            <v>2.2285595155777207</v>
          </cell>
          <cell r="AM571">
            <v>2.2285595155777207</v>
          </cell>
          <cell r="AN571">
            <v>2.2218546076329426</v>
          </cell>
          <cell r="AO571">
            <v>2.2218546076329426</v>
          </cell>
          <cell r="AP571">
            <v>2.2218546076329426</v>
          </cell>
          <cell r="AQ571">
            <v>2.2218546076329426</v>
          </cell>
        </row>
        <row r="611">
          <cell r="AE611">
            <v>0.92548714658574194</v>
          </cell>
          <cell r="AF611">
            <v>0.94129085988020056</v>
          </cell>
          <cell r="AG611">
            <v>0.93153640031042639</v>
          </cell>
          <cell r="AH611">
            <v>0.89705247164968993</v>
          </cell>
          <cell r="AI611">
            <v>0.87754355251014182</v>
          </cell>
          <cell r="AJ611">
            <v>0.86796290552512168</v>
          </cell>
          <cell r="AK611">
            <v>0.86796290552512168</v>
          </cell>
          <cell r="AL611">
            <v>0.86029838793710545</v>
          </cell>
          <cell r="AM611">
            <v>0.86029838793710545</v>
          </cell>
          <cell r="AN611">
            <v>0.85344887925345048</v>
          </cell>
          <cell r="AO611">
            <v>0.85344887925345048</v>
          </cell>
          <cell r="AP611">
            <v>0.85344887925345048</v>
          </cell>
          <cell r="AQ611">
            <v>0.85344887925345048</v>
          </cell>
        </row>
        <row r="668">
          <cell r="AE668">
            <v>1.2623936016678194</v>
          </cell>
          <cell r="AF668">
            <v>1.2855649326755962</v>
          </cell>
          <cell r="AG668">
            <v>1.275810473105822</v>
          </cell>
          <cell r="AH668">
            <v>1.2451588032390937</v>
          </cell>
          <cell r="AI668">
            <v>1.2256498840995456</v>
          </cell>
          <cell r="AJ668">
            <v>1.2256498840995456</v>
          </cell>
          <cell r="AK668">
            <v>1.2256498840995456</v>
          </cell>
          <cell r="AL668">
            <v>1.2256498840995456</v>
          </cell>
          <cell r="AM668">
            <v>1.2179853665115294</v>
          </cell>
          <cell r="AN668">
            <v>1.2111358578278746</v>
          </cell>
          <cell r="AO668">
            <v>1.2111358578278746</v>
          </cell>
          <cell r="AP668">
            <v>1.2111358578278746</v>
          </cell>
          <cell r="AQ668">
            <v>1.2111358578278746</v>
          </cell>
        </row>
      </sheetData>
      <sheetData sheetId="19" refreshError="1"/>
      <sheetData sheetId="20" refreshError="1"/>
      <sheetData sheetId="21" refreshError="1">
        <row r="174">
          <cell r="AE174">
            <v>4.5869622185103287</v>
          </cell>
          <cell r="AF174">
            <v>4.5303661366740222</v>
          </cell>
          <cell r="AG174">
            <v>4.5303661366740222</v>
          </cell>
          <cell r="AH174">
            <v>4.5303661366740222</v>
          </cell>
          <cell r="AI174">
            <v>4.5303661366740222</v>
          </cell>
          <cell r="AJ174">
            <v>4.2262019773309811</v>
          </cell>
          <cell r="AK174">
            <v>4.2262019773309811</v>
          </cell>
          <cell r="AL174">
            <v>4.2262019773309811</v>
          </cell>
          <cell r="AM174">
            <v>4.1438273940094259</v>
          </cell>
          <cell r="AN174">
            <v>4.1438273940094259</v>
          </cell>
          <cell r="AO174">
            <v>4.1438273940094259</v>
          </cell>
          <cell r="AP174">
            <v>4.124670514167204</v>
          </cell>
          <cell r="AQ174">
            <v>4.124670514167204</v>
          </cell>
        </row>
        <row r="226">
          <cell r="AE226">
            <v>9.1148089740352063</v>
          </cell>
          <cell r="AF226">
            <v>9.0090917645673869</v>
          </cell>
          <cell r="AG226">
            <v>9.0090917645673869</v>
          </cell>
          <cell r="AH226">
            <v>9.0090917645673869</v>
          </cell>
          <cell r="AI226">
            <v>9.0090917645673869</v>
          </cell>
          <cell r="AJ226">
            <v>9.1667522568874791</v>
          </cell>
          <cell r="AK226">
            <v>9.1667522568874791</v>
          </cell>
          <cell r="AL226">
            <v>9.1667522568874791</v>
          </cell>
          <cell r="AM226">
            <v>8.4071819711433697</v>
          </cell>
          <cell r="AN226">
            <v>8.4071819711433697</v>
          </cell>
          <cell r="AO226">
            <v>8.4071819711433697</v>
          </cell>
          <cell r="AP226">
            <v>8.3880250913011487</v>
          </cell>
          <cell r="AQ226">
            <v>8.3880250913011487</v>
          </cell>
        </row>
        <row r="282">
          <cell r="AE282">
            <v>2.9291453731167607</v>
          </cell>
          <cell r="AF282">
            <v>2.9673437847427744</v>
          </cell>
          <cell r="AG282">
            <v>2.9673437847427744</v>
          </cell>
          <cell r="AH282">
            <v>2.9325270380863837</v>
          </cell>
          <cell r="AI282">
            <v>2.838590918996259</v>
          </cell>
          <cell r="AJ282">
            <v>2.6885218847038814</v>
          </cell>
          <cell r="AK282">
            <v>2.6300292549926696</v>
          </cell>
          <cell r="AL282">
            <v>2.6300292549926696</v>
          </cell>
          <cell r="AM282">
            <v>2.6185351270873367</v>
          </cell>
          <cell r="AN282">
            <v>2.6185351270873367</v>
          </cell>
          <cell r="AO282">
            <v>2.6185351270873367</v>
          </cell>
          <cell r="AP282">
            <v>2.6070409991820038</v>
          </cell>
          <cell r="AQ282">
            <v>2.6070409991820038</v>
          </cell>
        </row>
        <row r="318">
          <cell r="AE318">
            <v>2.9586151122557967</v>
          </cell>
          <cell r="AF318">
            <v>2.9974172334351485</v>
          </cell>
          <cell r="AG318">
            <v>2.9974172334351485</v>
          </cell>
          <cell r="AH318">
            <v>2.9626004867787574</v>
          </cell>
          <cell r="AI318">
            <v>2.8686643676886328</v>
          </cell>
          <cell r="AJ318">
            <v>2.7185953333962551</v>
          </cell>
          <cell r="AK318">
            <v>2.6601027036850433</v>
          </cell>
          <cell r="AL318">
            <v>2.6601027036850433</v>
          </cell>
          <cell r="AM318">
            <v>2.6486085757797104</v>
          </cell>
          <cell r="AN318">
            <v>2.6486085757797104</v>
          </cell>
          <cell r="AO318">
            <v>2.6486085757797104</v>
          </cell>
          <cell r="AP318">
            <v>2.6371144478743771</v>
          </cell>
          <cell r="AQ318">
            <v>2.6371144478743771</v>
          </cell>
        </row>
      </sheetData>
      <sheetData sheetId="22" refreshError="1"/>
      <sheetData sheetId="23" refreshError="1">
        <row r="403">
          <cell r="AE403">
            <v>0.60208658933233961</v>
          </cell>
          <cell r="AF403">
            <v>0.55577611083126965</v>
          </cell>
          <cell r="AG403">
            <v>0.55577611083126965</v>
          </cell>
          <cell r="AH403">
            <v>0.55577611083126965</v>
          </cell>
          <cell r="AI403">
            <v>0.52268752018197751</v>
          </cell>
          <cell r="AJ403">
            <v>0.51406493789545926</v>
          </cell>
          <cell r="AK403">
            <v>0.51406493789545926</v>
          </cell>
          <cell r="AL403">
            <v>0.51406493789545926</v>
          </cell>
          <cell r="AM403">
            <v>0.51406493789545926</v>
          </cell>
          <cell r="AN403">
            <v>0.50645437269139837</v>
          </cell>
          <cell r="AO403">
            <v>0.50645437269139837</v>
          </cell>
          <cell r="AP403">
            <v>0.49232046588385636</v>
          </cell>
          <cell r="AQ403">
            <v>0.49232046588385636</v>
          </cell>
        </row>
        <row r="442">
          <cell r="AE442">
            <v>0.88487248063111124</v>
          </cell>
        </row>
      </sheetData>
      <sheetData sheetId="24" refreshError="1">
        <row r="81">
          <cell r="AL81">
            <v>1.0017399999999999</v>
          </cell>
          <cell r="AM81">
            <v>1.0082100000000001</v>
          </cell>
          <cell r="AN81">
            <v>1.0082670000000002</v>
          </cell>
          <cell r="AO81">
            <v>0.90340200000000004</v>
          </cell>
          <cell r="AP81">
            <v>0.97722700000000007</v>
          </cell>
          <cell r="AQ81">
            <v>1.0838030000000001</v>
          </cell>
          <cell r="AR81">
            <v>1.1012120000000001</v>
          </cell>
          <cell r="AS81">
            <v>1.087097</v>
          </cell>
          <cell r="AT81">
            <v>1.1009880000000001</v>
          </cell>
          <cell r="AU81">
            <v>1.0526310000000001</v>
          </cell>
          <cell r="AV81">
            <v>1.111558</v>
          </cell>
          <cell r="AW81">
            <v>0.95082600000000017</v>
          </cell>
        </row>
        <row r="82">
          <cell r="AL82">
            <v>1.0302199999999992</v>
          </cell>
          <cell r="AM82">
            <v>0.9184589999999998</v>
          </cell>
          <cell r="AN82">
            <v>0.9660620000000002</v>
          </cell>
          <cell r="AO82">
            <v>1.0926250000000002</v>
          </cell>
          <cell r="AP82">
            <v>1.0631110000000004</v>
          </cell>
          <cell r="AQ82">
            <v>0.9500470000000002</v>
          </cell>
          <cell r="AR82">
            <v>1.467495</v>
          </cell>
          <cell r="AS82">
            <v>1.174804</v>
          </cell>
          <cell r="AT82">
            <v>1.1709940000000001</v>
          </cell>
          <cell r="AU82">
            <v>1.0992850000000005</v>
          </cell>
          <cell r="AV82">
            <v>1.036173</v>
          </cell>
          <cell r="AW82">
            <v>1.3467549999999993</v>
          </cell>
        </row>
        <row r="83">
          <cell r="AL83">
            <v>0.94924300000000006</v>
          </cell>
          <cell r="AM83">
            <v>0.45827600000000002</v>
          </cell>
          <cell r="AN83">
            <v>0.52153900000000009</v>
          </cell>
          <cell r="AO83">
            <v>0.58133899999999994</v>
          </cell>
          <cell r="AP83">
            <v>0.70403199999999999</v>
          </cell>
          <cell r="AQ83">
            <v>0.73518400000000006</v>
          </cell>
          <cell r="AR83">
            <v>0.71868900000000002</v>
          </cell>
          <cell r="AS83">
            <v>0.76750099999999999</v>
          </cell>
          <cell r="AT83">
            <v>0.88818700000000017</v>
          </cell>
          <cell r="AU83">
            <v>0.871502</v>
          </cell>
          <cell r="AV83">
            <v>0.88181800000000021</v>
          </cell>
          <cell r="AW83">
            <v>1.1267580000000001</v>
          </cell>
        </row>
        <row r="85">
          <cell r="AL85">
            <v>0.40717400000000004</v>
          </cell>
          <cell r="AM85">
            <v>0.39217599999999991</v>
          </cell>
          <cell r="AN85">
            <v>0.39276500000000003</v>
          </cell>
          <cell r="AO85">
            <v>0.39419599999999999</v>
          </cell>
          <cell r="AP85">
            <v>0.42178900000000003</v>
          </cell>
          <cell r="AQ85">
            <v>0.40231899999999998</v>
          </cell>
          <cell r="AR85">
            <v>0.41827799999999993</v>
          </cell>
          <cell r="AS85">
            <v>0.41654600000000003</v>
          </cell>
          <cell r="AT85">
            <v>0.42683800000000005</v>
          </cell>
          <cell r="AU85">
            <v>0.42924700000000005</v>
          </cell>
          <cell r="AV85">
            <v>0.42268800000000001</v>
          </cell>
          <cell r="AW85">
            <v>0.46186700000000003</v>
          </cell>
        </row>
        <row r="86">
          <cell r="AL86">
            <v>0.323075</v>
          </cell>
          <cell r="AM86">
            <v>0.20232900000000001</v>
          </cell>
          <cell r="AN86">
            <v>0.24449000000000001</v>
          </cell>
          <cell r="AO86">
            <v>0.22191600000000003</v>
          </cell>
          <cell r="AP86">
            <v>0.22955100000000001</v>
          </cell>
          <cell r="AQ86">
            <v>0.22419500000000001</v>
          </cell>
          <cell r="AR86">
            <v>0.24351200000000001</v>
          </cell>
          <cell r="AS86">
            <v>0.23633300000000002</v>
          </cell>
          <cell r="AT86">
            <v>0.24395300000000003</v>
          </cell>
          <cell r="AU86">
            <v>0.26039600000000002</v>
          </cell>
          <cell r="AV86">
            <v>0.24586799999999998</v>
          </cell>
          <cell r="AW86">
            <v>0.26389400000000007</v>
          </cell>
        </row>
        <row r="87">
          <cell r="AL87">
            <v>5.9473259999999968</v>
          </cell>
          <cell r="AM87">
            <v>5.6008180000000021</v>
          </cell>
          <cell r="AN87">
            <v>4.8702490000000003</v>
          </cell>
          <cell r="AO87">
            <v>4.9080030000000017</v>
          </cell>
          <cell r="AP87">
            <v>5.2819079999999952</v>
          </cell>
          <cell r="AQ87">
            <v>5.6938559999999994</v>
          </cell>
          <cell r="AR87">
            <v>6.2125979999999963</v>
          </cell>
          <cell r="AS87">
            <v>6.0991299999999944</v>
          </cell>
          <cell r="AT87">
            <v>5.7574929999999949</v>
          </cell>
          <cell r="AU87">
            <v>5.8375599999999945</v>
          </cell>
          <cell r="AV87">
            <v>5.7973089999999949</v>
          </cell>
          <cell r="AW87">
            <v>8.7425010000000043</v>
          </cell>
        </row>
        <row r="88">
          <cell r="AL88">
            <v>0.71319900000000025</v>
          </cell>
          <cell r="AM88">
            <v>0.58001599999999998</v>
          </cell>
          <cell r="AN88">
            <v>1.2392020000000001</v>
          </cell>
          <cell r="AO88">
            <v>0.70384899999999995</v>
          </cell>
          <cell r="AP88">
            <v>0.46793499999999993</v>
          </cell>
          <cell r="AQ88">
            <v>0.32744799999999996</v>
          </cell>
          <cell r="AR88">
            <v>1.5790689999999998</v>
          </cell>
          <cell r="AS88">
            <v>0.87014000000000036</v>
          </cell>
          <cell r="AT88">
            <v>0.97266200000000003</v>
          </cell>
          <cell r="AU88">
            <v>1.192272</v>
          </cell>
          <cell r="AV88">
            <v>0.5403190000000001</v>
          </cell>
          <cell r="AW88">
            <v>0.88318200000000013</v>
          </cell>
        </row>
      </sheetData>
      <sheetData sheetId="25" refreshError="1">
        <row r="99">
          <cell r="AN99">
            <v>15.013258000000002</v>
          </cell>
          <cell r="AO99">
            <v>15.316861000000001</v>
          </cell>
          <cell r="AP99">
            <v>16.771349000000001</v>
          </cell>
          <cell r="AQ99">
            <v>17.652559999999998</v>
          </cell>
          <cell r="AR99">
            <v>19.404150999999999</v>
          </cell>
          <cell r="AS99">
            <v>20.028272999999992</v>
          </cell>
          <cell r="AT99">
            <v>20.931476000000004</v>
          </cell>
          <cell r="AU99">
            <v>20.644253999999997</v>
          </cell>
          <cell r="AV99">
            <v>21.503456000000003</v>
          </cell>
          <cell r="AW99">
            <v>23.085967999999998</v>
          </cell>
          <cell r="AX99">
            <v>21.402287000000001</v>
          </cell>
          <cell r="AY99">
            <v>22.986530999999999</v>
          </cell>
        </row>
        <row r="181">
          <cell r="AN181">
            <v>7.9402E-2</v>
          </cell>
          <cell r="AO181">
            <v>7.8016000000000002E-2</v>
          </cell>
          <cell r="AP181">
            <v>9.329599999999999E-2</v>
          </cell>
          <cell r="AQ181">
            <v>8.5323999999999997E-2</v>
          </cell>
          <cell r="AR181">
            <v>9.9761000000000002E-2</v>
          </cell>
          <cell r="AS181">
            <v>8.9009000000000005E-2</v>
          </cell>
          <cell r="AT181">
            <v>9.0125000000000011E-2</v>
          </cell>
          <cell r="AU181">
            <v>0.118173</v>
          </cell>
          <cell r="AV181">
            <v>0.117135</v>
          </cell>
          <cell r="AW181">
            <v>0.11754499999999997</v>
          </cell>
          <cell r="AX181">
            <v>0.10523099999999999</v>
          </cell>
          <cell r="AY181">
            <v>0.10566799999999998</v>
          </cell>
        </row>
        <row r="182">
          <cell r="AN182">
            <v>4.7069E-2</v>
          </cell>
          <cell r="AO182">
            <v>4.2696999999999992E-2</v>
          </cell>
          <cell r="AP182">
            <v>4.1592999999999998E-2</v>
          </cell>
          <cell r="AQ182">
            <v>4.4382999999999992E-2</v>
          </cell>
          <cell r="AR182">
            <v>4.5744000000000007E-2</v>
          </cell>
          <cell r="AS182">
            <v>4.2350999999999993E-2</v>
          </cell>
          <cell r="AT182">
            <v>4.5568000000000004E-2</v>
          </cell>
          <cell r="AU182">
            <v>4.4963000000000003E-2</v>
          </cell>
          <cell r="AV182">
            <v>4.3996999999999994E-2</v>
          </cell>
          <cell r="AW182">
            <v>4.7959000000000016E-2</v>
          </cell>
          <cell r="AX182">
            <v>4.3967999999999993E-2</v>
          </cell>
          <cell r="AY182">
            <v>4.6304999999999992E-2</v>
          </cell>
        </row>
        <row r="183">
          <cell r="AN183">
            <v>0.26884299999999989</v>
          </cell>
          <cell r="AO183">
            <v>0.23872499999999997</v>
          </cell>
          <cell r="AP183">
            <v>0.40081400000000017</v>
          </cell>
          <cell r="AQ183">
            <v>0.36376899999999995</v>
          </cell>
          <cell r="AR183">
            <v>0.34615700000000021</v>
          </cell>
          <cell r="AS183">
            <v>0.41783900000000007</v>
          </cell>
          <cell r="AT183">
            <v>0.3893120000000001</v>
          </cell>
          <cell r="AU183">
            <v>0.41568199999999988</v>
          </cell>
          <cell r="AV183">
            <v>0.37977899999999998</v>
          </cell>
          <cell r="AW183">
            <v>0.38728900000000011</v>
          </cell>
          <cell r="AX183">
            <v>0.41058699999999976</v>
          </cell>
          <cell r="AY183">
            <v>0.20409699999999995</v>
          </cell>
        </row>
        <row r="184">
          <cell r="AN184">
            <v>0.34795399999999999</v>
          </cell>
          <cell r="AO184">
            <v>0.26864299999999991</v>
          </cell>
          <cell r="AP184">
            <v>0.25550499999999998</v>
          </cell>
          <cell r="AQ184">
            <v>0.51380700000000001</v>
          </cell>
          <cell r="AR184">
            <v>0.51407900000000006</v>
          </cell>
          <cell r="AS184">
            <v>0.5453610000000001</v>
          </cell>
          <cell r="AT184">
            <v>0.56210599999999988</v>
          </cell>
          <cell r="AU184">
            <v>0.57341600000000004</v>
          </cell>
          <cell r="AV184">
            <v>0.57024299999999994</v>
          </cell>
          <cell r="AW184">
            <v>0.87597900000000006</v>
          </cell>
          <cell r="AX184">
            <v>0.8989609999999999</v>
          </cell>
          <cell r="AY184">
            <v>0.82591900000000007</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Price Dashboard"/>
      <sheetName val="CoGS Summary"/>
      <sheetName val="Landed CoGS"/>
      <sheetName val="CoS Glidepath"/>
      <sheetName val="CoGS Tracker Vap-C"/>
      <sheetName val="CoGS Tracker Vap-D"/>
      <sheetName val="CoGS Tracker MoDi"/>
      <sheetName val="Mix Calc"/>
      <sheetName val="Alto Tracker"/>
      <sheetName val="Inflation Analysis"/>
      <sheetName val="Volume Summary"/>
      <sheetName val="CoC Analysis"/>
      <sheetName val="FX Diff"/>
      <sheetName val="Assumptions"/>
      <sheetName val="APO Volume"/>
      <sheetName val="Vol for Slides"/>
      <sheetName val="Spec Analysis"/>
      <sheetName val="NPI COGS analysis"/>
      <sheetName val="Database"/>
    </sheetNames>
    <sheetDataSet>
      <sheetData sheetId="0"/>
      <sheetData sheetId="1"/>
      <sheetData sheetId="2"/>
      <sheetData sheetId="3"/>
      <sheetData sheetId="4"/>
      <sheetData sheetId="5">
        <row r="8">
          <cell r="H8">
            <v>0.58390181771409322</v>
          </cell>
          <cell r="I8">
            <v>0.54099879454490885</v>
          </cell>
          <cell r="J8">
            <v>0.53844098746437141</v>
          </cell>
          <cell r="K8">
            <v>0.53844098746437141</v>
          </cell>
          <cell r="L8">
            <v>0.52756875145856952</v>
          </cell>
          <cell r="M8">
            <v>0.52525294305807435</v>
          </cell>
          <cell r="N8">
            <v>0.52342840162729498</v>
          </cell>
          <cell r="O8">
            <v>0.52295249318234971</v>
          </cell>
          <cell r="P8">
            <v>0.52697095006766659</v>
          </cell>
          <cell r="Q8">
            <v>0.51904815817252359</v>
          </cell>
          <cell r="R8">
            <v>0.50690793604479989</v>
          </cell>
          <cell r="S8">
            <v>0.50658176896462581</v>
          </cell>
          <cell r="T8">
            <v>0.50066954530968455</v>
          </cell>
        </row>
        <row r="68">
          <cell r="I68">
            <v>0.88487248063111124</v>
          </cell>
          <cell r="J68">
            <v>0.88487248063111124</v>
          </cell>
          <cell r="K68">
            <v>0.88487248063111124</v>
          </cell>
          <cell r="L68">
            <v>0.88487248063111124</v>
          </cell>
          <cell r="M68">
            <v>0.88487248063111124</v>
          </cell>
          <cell r="N68">
            <v>0.88487248063111124</v>
          </cell>
          <cell r="O68">
            <v>0.88439657218616596</v>
          </cell>
          <cell r="P68">
            <v>0.88439657218616596</v>
          </cell>
          <cell r="Q68">
            <v>0.87678600698210496</v>
          </cell>
          <cell r="R68">
            <v>0.86908632779544193</v>
          </cell>
          <cell r="S68">
            <v>0.86908632779544193</v>
          </cell>
          <cell r="T68">
            <v>0.86908632779544193</v>
          </cell>
        </row>
      </sheetData>
      <sheetData sheetId="6">
        <row r="8">
          <cell r="M8">
            <v>2.9656972377979991</v>
          </cell>
          <cell r="N8">
            <v>2.8594531581194911</v>
          </cell>
          <cell r="O8">
            <v>2.8536007553440337</v>
          </cell>
          <cell r="P8">
            <v>2.8534360409685466</v>
          </cell>
          <cell r="Q8">
            <v>2.8285088305886052</v>
          </cell>
          <cell r="R8">
            <v>2.7957965556167093</v>
          </cell>
          <cell r="S8">
            <v>2.7383126737065879</v>
          </cell>
          <cell r="T8">
            <v>2.7440679069890215</v>
          </cell>
          <cell r="U8">
            <v>2.7440679069890215</v>
          </cell>
          <cell r="V8">
            <v>2.7569580994628131</v>
          </cell>
          <cell r="W8">
            <v>2.7251024479658152</v>
          </cell>
          <cell r="X8">
            <v>2.7251024479658152</v>
          </cell>
        </row>
        <row r="58">
          <cell r="L58">
            <v>2.9291453731167607</v>
          </cell>
          <cell r="M58">
            <v>2.9089417098690498</v>
          </cell>
          <cell r="N58">
            <v>2.8039511291946595</v>
          </cell>
          <cell r="O58">
            <v>2.799225324948182</v>
          </cell>
          <cell r="P58">
            <v>2.7908525248090172</v>
          </cell>
          <cell r="Q58">
            <v>2.7650468377598059</v>
          </cell>
          <cell r="R58">
            <v>2.7643769992994884</v>
          </cell>
          <cell r="S58">
            <v>2.6805714340193219</v>
          </cell>
          <cell r="T58">
            <v>2.7096973674530278</v>
          </cell>
          <cell r="U58">
            <v>2.7096973674530278</v>
          </cell>
          <cell r="V58">
            <v>2.7216410350517171</v>
          </cell>
          <cell r="W58">
            <v>2.714791526368062</v>
          </cell>
          <cell r="X58">
            <v>2.714791526368062</v>
          </cell>
        </row>
        <row r="256">
          <cell r="L256">
            <v>4.4655219929599728</v>
          </cell>
          <cell r="M256">
            <v>4.4655219929599728</v>
          </cell>
          <cell r="N256">
            <v>4.445877772041797</v>
          </cell>
          <cell r="O256">
            <v>4.445877772041797</v>
          </cell>
          <cell r="P256">
            <v>4.445877772041797</v>
          </cell>
          <cell r="Q256">
            <v>4.4070095283210566</v>
          </cell>
          <cell r="R256">
            <v>4.3191525087668552</v>
          </cell>
          <cell r="S256">
            <v>4.3191525087668552</v>
          </cell>
          <cell r="T256">
            <v>4.3240319243914733</v>
          </cell>
          <cell r="U256">
            <v>4.3240319243914733</v>
          </cell>
          <cell r="V256">
            <v>4.313355497502279</v>
          </cell>
          <cell r="W256">
            <v>4.3041787323471397</v>
          </cell>
          <cell r="X256">
            <v>4.3041787323471397</v>
          </cell>
        </row>
        <row r="305">
          <cell r="L305">
            <v>8.9415813015774113</v>
          </cell>
          <cell r="M305">
            <v>8.8883422570372446</v>
          </cell>
          <cell r="N305">
            <v>8.8646103297622627</v>
          </cell>
          <cell r="O305">
            <v>8.8646103297622627</v>
          </cell>
          <cell r="P305">
            <v>8.8646103297622627</v>
          </cell>
          <cell r="Q305">
            <v>8.771913645576797</v>
          </cell>
          <cell r="R305">
            <v>8.654467623280059</v>
          </cell>
          <cell r="S305">
            <v>8.654467623280059</v>
          </cell>
          <cell r="T305">
            <v>8.5915390852472058</v>
          </cell>
          <cell r="U305">
            <v>8.5915390852472058</v>
          </cell>
          <cell r="V305">
            <v>8.6142229374684671</v>
          </cell>
          <cell r="W305">
            <v>8.6050461723133278</v>
          </cell>
          <cell r="X305">
            <v>8.6050461723133278</v>
          </cell>
        </row>
        <row r="353">
          <cell r="L353">
            <v>0</v>
          </cell>
          <cell r="M353">
            <v>0</v>
          </cell>
          <cell r="N353">
            <v>0</v>
          </cell>
          <cell r="O353">
            <v>0</v>
          </cell>
          <cell r="P353">
            <v>0</v>
          </cell>
          <cell r="Q353">
            <v>0</v>
          </cell>
          <cell r="R353">
            <v>5.22</v>
          </cell>
          <cell r="S353">
            <v>5.2212999800304996</v>
          </cell>
          <cell r="T353">
            <v>5.0857059800305002</v>
          </cell>
          <cell r="U353">
            <v>5.0857059800305002</v>
          </cell>
          <cell r="V353">
            <v>5.0857059800305002</v>
          </cell>
          <cell r="W353">
            <v>5.0857059800305002</v>
          </cell>
          <cell r="X353">
            <v>5.0857059800305002</v>
          </cell>
        </row>
        <row r="388">
          <cell r="O388">
            <v>4.3783556721542469</v>
          </cell>
          <cell r="P388">
            <v>4.3783556721542469</v>
          </cell>
          <cell r="Q388">
            <v>4.3783556721542469</v>
          </cell>
          <cell r="R388">
            <v>4.3783556721542469</v>
          </cell>
          <cell r="S388">
            <v>4.3823145018003755</v>
          </cell>
          <cell r="T388">
            <v>4.2443205018003756</v>
          </cell>
          <cell r="U388">
            <v>4.2443205018003756</v>
          </cell>
          <cell r="V388">
            <v>4.2334482657945749</v>
          </cell>
          <cell r="W388">
            <v>4.2334482657945749</v>
          </cell>
          <cell r="X388">
            <v>4.2334482657945749</v>
          </cell>
        </row>
        <row r="423">
          <cell r="L423">
            <v>4.5603940138979109</v>
          </cell>
          <cell r="M423">
            <v>4.5603940138979109</v>
          </cell>
          <cell r="N423">
            <v>4.5603940138979109</v>
          </cell>
          <cell r="O423">
            <v>4.5603940138979109</v>
          </cell>
          <cell r="P423">
            <v>4.5603940138979109</v>
          </cell>
          <cell r="Q423">
            <v>4.555250302399223</v>
          </cell>
          <cell r="R423">
            <v>4.5074145025179462</v>
          </cell>
          <cell r="S423">
            <v>4.3823145018003755</v>
          </cell>
          <cell r="T423">
            <v>4.3823145018003755</v>
          </cell>
          <cell r="U423">
            <v>4.3823145018003755</v>
          </cell>
          <cell r="V423">
            <v>4.3974660705559128</v>
          </cell>
          <cell r="W423">
            <v>4.3910423349473158</v>
          </cell>
          <cell r="X423">
            <v>4.3910423349473158</v>
          </cell>
        </row>
        <row r="562">
          <cell r="L562">
            <v>0</v>
          </cell>
          <cell r="M562">
            <v>0</v>
          </cell>
          <cell r="N562">
            <v>20.48</v>
          </cell>
          <cell r="O562">
            <v>20.48</v>
          </cell>
          <cell r="P562">
            <v>20.48</v>
          </cell>
          <cell r="Q562">
            <v>20.48</v>
          </cell>
          <cell r="R562">
            <v>20.48</v>
          </cell>
          <cell r="S562">
            <v>20.48</v>
          </cell>
          <cell r="T562">
            <v>20.48</v>
          </cell>
          <cell r="U562">
            <v>20.48</v>
          </cell>
          <cell r="V562">
            <v>20.463691645991297</v>
          </cell>
          <cell r="W562">
            <v>20.463691645991297</v>
          </cell>
          <cell r="X562">
            <v>20.463691645991297</v>
          </cell>
        </row>
      </sheetData>
      <sheetData sheetId="7">
        <row r="49">
          <cell r="O49">
            <v>0.95806469850202569</v>
          </cell>
          <cell r="P49">
            <v>0.9580646985020258</v>
          </cell>
          <cell r="Q49">
            <v>0.96014694914185283</v>
          </cell>
          <cell r="R49">
            <v>0.95907392078093001</v>
          </cell>
          <cell r="S49">
            <v>0.94218406245657316</v>
          </cell>
          <cell r="T49">
            <v>0.94045537693165071</v>
          </cell>
          <cell r="U49">
            <v>0.95037259032478327</v>
          </cell>
          <cell r="V49">
            <v>0.9412080727367671</v>
          </cell>
          <cell r="W49">
            <v>0.92958156911244116</v>
          </cell>
          <cell r="X49">
            <v>0.92718967719116474</v>
          </cell>
          <cell r="Y49">
            <v>0.92718967719116474</v>
          </cell>
          <cell r="Z49">
            <v>0.92718967719116474</v>
          </cell>
          <cell r="AA49">
            <v>0.92718967719116474</v>
          </cell>
        </row>
        <row r="108">
          <cell r="O108">
            <v>1.4298321335598076</v>
          </cell>
          <cell r="P108">
            <v>1.4298321335598076</v>
          </cell>
          <cell r="Q108">
            <v>1.4212601701308505</v>
          </cell>
          <cell r="R108">
            <v>1.4024897765341602</v>
          </cell>
          <cell r="S108">
            <v>1.3837917586164485</v>
          </cell>
          <cell r="T108">
            <v>1.3818130116633927</v>
          </cell>
          <cell r="U108">
            <v>1.400262805822817</v>
          </cell>
          <cell r="V108">
            <v>1.3912982882348008</v>
          </cell>
          <cell r="W108">
            <v>1.3703880155890067</v>
          </cell>
          <cell r="X108">
            <v>1.3679961236677303</v>
          </cell>
          <cell r="Y108">
            <v>1.3679961236677303</v>
          </cell>
          <cell r="Z108">
            <v>1.3679961236677303</v>
          </cell>
          <cell r="AA108">
            <v>1.3679961236677303</v>
          </cell>
        </row>
        <row r="170">
          <cell r="O170">
            <v>2.1608990343878314</v>
          </cell>
          <cell r="P170">
            <v>2.1608990343878314</v>
          </cell>
          <cell r="Q170">
            <v>2.143892710028557</v>
          </cell>
          <cell r="R170">
            <v>2.1213277445394709</v>
          </cell>
          <cell r="S170">
            <v>2.1020985552130456</v>
          </cell>
          <cell r="T170">
            <v>2.0975348874519226</v>
          </cell>
          <cell r="U170">
            <v>2.1356035115062273</v>
          </cell>
          <cell r="V170">
            <v>2.1273389939182108</v>
          </cell>
          <cell r="W170">
            <v>2.1043972219672313</v>
          </cell>
          <cell r="X170">
            <v>2.1020053300459551</v>
          </cell>
          <cell r="Y170">
            <v>2.14114537966684</v>
          </cell>
          <cell r="Z170">
            <v>2.14114537966684</v>
          </cell>
          <cell r="AA170">
            <v>2.14114537966684</v>
          </cell>
        </row>
        <row r="225">
          <cell r="O225">
            <v>2.2029299095160622</v>
          </cell>
          <cell r="P225">
            <v>2.2029299095160622</v>
          </cell>
          <cell r="Q225">
            <v>2.1859353705676079</v>
          </cell>
          <cell r="R225">
            <v>2.1663339902285288</v>
          </cell>
          <cell r="S225">
            <v>2.1467163508041103</v>
          </cell>
          <cell r="T225">
            <v>2.1411252567404393</v>
          </cell>
          <cell r="U225">
            <v>2.1860093070754836</v>
          </cell>
          <cell r="V225">
            <v>2.1773447894874676</v>
          </cell>
          <cell r="W225">
            <v>2.1544109918786138</v>
          </cell>
          <cell r="X225">
            <v>2.1520190999573376</v>
          </cell>
          <cell r="Y225">
            <v>2.191159149578223</v>
          </cell>
          <cell r="Z225">
            <v>2.191159149578223</v>
          </cell>
          <cell r="AA225">
            <v>2.191159149578223</v>
          </cell>
        </row>
        <row r="289">
          <cell r="O289">
            <v>2.4868060233725844</v>
          </cell>
          <cell r="P289">
            <v>2.4868060233725844</v>
          </cell>
          <cell r="Q289">
            <v>2.4753708390928573</v>
          </cell>
          <cell r="R289">
            <v>2.4521657490271798</v>
          </cell>
          <cell r="S289">
            <v>2.4323168597239198</v>
          </cell>
          <cell r="T289">
            <v>2.4277531919627977</v>
          </cell>
          <cell r="U289">
            <v>2.4765428555471005</v>
          </cell>
          <cell r="V289">
            <v>2.468278337959084</v>
          </cell>
          <cell r="W289">
            <v>2.4455533505699214</v>
          </cell>
          <cell r="X289">
            <v>2.4431614586486452</v>
          </cell>
          <cell r="Y289">
            <v>2.4823015082695306</v>
          </cell>
          <cell r="Z289">
            <v>2.4823015082695306</v>
          </cell>
          <cell r="AA289">
            <v>2.4823015082695306</v>
          </cell>
        </row>
        <row r="344">
          <cell r="O344">
            <v>1.2657617987609131</v>
          </cell>
          <cell r="P344">
            <v>1.2657617987609131</v>
          </cell>
          <cell r="Q344">
            <v>1.2634603742805519</v>
          </cell>
          <cell r="R344">
            <v>1.2502550694991599</v>
          </cell>
          <cell r="S344">
            <v>1.2333213743192299</v>
          </cell>
          <cell r="T344">
            <v>1.219682567394919</v>
          </cell>
          <cell r="U344">
            <v>1.2421603519424735</v>
          </cell>
          <cell r="V344">
            <v>1.2294978613741383</v>
          </cell>
          <cell r="W344">
            <v>1.2080743089634809</v>
          </cell>
          <cell r="X344">
            <v>1.2056824170422047</v>
          </cell>
          <cell r="Y344">
            <v>1.2056824170422047</v>
          </cell>
          <cell r="Z344">
            <v>1.2056824170422047</v>
          </cell>
          <cell r="AA344">
            <v>1.2056824170422047</v>
          </cell>
        </row>
        <row r="412">
          <cell r="O412">
            <v>0.92983179350962764</v>
          </cell>
          <cell r="P412">
            <v>0.92689472418607632</v>
          </cell>
          <cell r="Q412">
            <v>0.92897698526325456</v>
          </cell>
          <cell r="R412">
            <v>0.92810024815174674</v>
          </cell>
          <cell r="S412">
            <v>0.91124326746907158</v>
          </cell>
          <cell r="T412">
            <v>0.90916069066216032</v>
          </cell>
          <cell r="U412">
            <v>0.92485776171935519</v>
          </cell>
          <cell r="V412">
            <v>0.91129324413133905</v>
          </cell>
          <cell r="W412">
            <v>0.89978211346707537</v>
          </cell>
          <cell r="X412">
            <v>0.89739022154579917</v>
          </cell>
          <cell r="Y412">
            <v>0.89739022154579917</v>
          </cell>
          <cell r="Z412">
            <v>0.89739022154579917</v>
          </cell>
          <cell r="AA412">
            <v>0.89739022154579917</v>
          </cell>
        </row>
      </sheetData>
      <sheetData sheetId="8"/>
      <sheetData sheetId="9"/>
      <sheetData sheetId="10"/>
      <sheetData sheetId="11">
        <row r="75">
          <cell r="L75">
            <v>7.1511880000000048</v>
          </cell>
          <cell r="M75">
            <v>11.165300000000002</v>
          </cell>
          <cell r="N75">
            <v>12.155783</v>
          </cell>
          <cell r="O75">
            <v>15.154559000000004</v>
          </cell>
          <cell r="P75">
            <v>16.814134999999997</v>
          </cell>
          <cell r="Q75">
            <v>30.860008000000018</v>
          </cell>
          <cell r="R75">
            <v>16.046365999999999</v>
          </cell>
          <cell r="S75">
            <v>18.167704999999998</v>
          </cell>
          <cell r="T75">
            <v>19.646608999999998</v>
          </cell>
          <cell r="U75">
            <v>22.615279000000001</v>
          </cell>
          <cell r="V75">
            <v>22.234042999999996</v>
          </cell>
          <cell r="W75">
            <v>37.124830000000003</v>
          </cell>
        </row>
        <row r="77">
          <cell r="L77">
            <v>0</v>
          </cell>
          <cell r="M77">
            <v>0</v>
          </cell>
          <cell r="N77">
            <v>2.3488999999999999E-2</v>
          </cell>
          <cell r="O77">
            <v>3.6791000000000004E-2</v>
          </cell>
          <cell r="P77">
            <v>0.67152199999999995</v>
          </cell>
          <cell r="Q77">
            <v>1.711033</v>
          </cell>
          <cell r="R77">
            <v>1.0541189999999998</v>
          </cell>
          <cell r="S77">
            <v>0.41827899999999996</v>
          </cell>
          <cell r="T77">
            <v>0.53015200000000007</v>
          </cell>
          <cell r="U77">
            <v>0.67437899999999995</v>
          </cell>
          <cell r="V77">
            <v>0.57257799999999992</v>
          </cell>
          <cell r="W77">
            <v>0.71644099999999988</v>
          </cell>
        </row>
        <row r="129">
          <cell r="L129">
            <v>4.4145000000000018E-2</v>
          </cell>
          <cell r="M129">
            <v>7.7316999999999997E-2</v>
          </cell>
          <cell r="N129">
            <v>6.4279000000000003E-2</v>
          </cell>
          <cell r="O129">
            <v>6.5878000000000006E-2</v>
          </cell>
          <cell r="P129">
            <v>7.2505E-2</v>
          </cell>
          <cell r="Q129">
            <v>8.4546999999999997E-2</v>
          </cell>
          <cell r="R129">
            <v>6.7363999999999993E-2</v>
          </cell>
          <cell r="S129">
            <v>8.2922999999999997E-2</v>
          </cell>
          <cell r="T129">
            <v>7.4582999999999983E-2</v>
          </cell>
          <cell r="U129">
            <v>7.7458999999999972E-2</v>
          </cell>
          <cell r="V129">
            <v>7.6974000000000001E-2</v>
          </cell>
          <cell r="W129">
            <v>8.0068E-2</v>
          </cell>
        </row>
        <row r="130">
          <cell r="L130">
            <v>2.8635999999999988E-2</v>
          </cell>
          <cell r="M130">
            <v>3.5002000000000005E-2</v>
          </cell>
          <cell r="N130">
            <v>2.9783999999999995E-2</v>
          </cell>
          <cell r="O130">
            <v>3.2322999999999991E-2</v>
          </cell>
          <cell r="P130">
            <v>3.2761000000000005E-2</v>
          </cell>
          <cell r="Q130">
            <v>2.9703E-2</v>
          </cell>
          <cell r="R130">
            <v>2.6182999999999998E-2</v>
          </cell>
          <cell r="S130">
            <v>2.2850999999999996E-2</v>
          </cell>
          <cell r="T130">
            <v>2.2493000000000003E-2</v>
          </cell>
          <cell r="U130">
            <v>2.4331999999999993E-2</v>
          </cell>
          <cell r="V130">
            <v>2.0527000000000004E-2</v>
          </cell>
          <cell r="W130">
            <v>2.3304999999999996E-2</v>
          </cell>
        </row>
        <row r="131">
          <cell r="L131">
            <v>0.44123199999999979</v>
          </cell>
          <cell r="M131">
            <v>0.203404</v>
          </cell>
          <cell r="N131">
            <v>0.5428099999999999</v>
          </cell>
          <cell r="O131">
            <v>0.8234840000000001</v>
          </cell>
          <cell r="P131">
            <v>0.32053800000000005</v>
          </cell>
          <cell r="Q131">
            <v>0.39121799999999995</v>
          </cell>
          <cell r="R131">
            <v>0.28572100000000006</v>
          </cell>
          <cell r="S131">
            <v>0.25299599999999989</v>
          </cell>
          <cell r="T131">
            <v>0.25507399999999997</v>
          </cell>
          <cell r="U131">
            <v>0.21567000000000006</v>
          </cell>
          <cell r="V131">
            <v>0.16783300000000004</v>
          </cell>
          <cell r="W131">
            <v>0.17409699999999997</v>
          </cell>
        </row>
        <row r="132">
          <cell r="L132">
            <v>0.12278199999999999</v>
          </cell>
          <cell r="M132">
            <v>0.32840200000000003</v>
          </cell>
          <cell r="N132">
            <v>0.206284</v>
          </cell>
          <cell r="O132">
            <v>0.20673500000000003</v>
          </cell>
          <cell r="P132">
            <v>0.27258700000000002</v>
          </cell>
          <cell r="Q132">
            <v>0.28974099999999997</v>
          </cell>
          <cell r="R132">
            <v>0.13897000000000001</v>
          </cell>
          <cell r="S132">
            <v>9.339900000000001E-2</v>
          </cell>
          <cell r="T132">
            <v>8.8099999999999998E-2</v>
          </cell>
          <cell r="U132">
            <v>6.8046999999999996E-2</v>
          </cell>
          <cell r="V132">
            <v>5.5969999999999999E-2</v>
          </cell>
          <cell r="W132">
            <v>5.3523000000000001E-2</v>
          </cell>
        </row>
        <row r="137">
          <cell r="L137">
            <v>0</v>
          </cell>
          <cell r="M137">
            <v>0</v>
          </cell>
          <cell r="N137">
            <v>0</v>
          </cell>
          <cell r="O137">
            <v>1.1360000000000001E-3</v>
          </cell>
          <cell r="P137">
            <v>9.3435000000000004E-2</v>
          </cell>
          <cell r="Q137">
            <v>8.2348999999999978E-2</v>
          </cell>
          <cell r="R137">
            <v>0.12751999999999997</v>
          </cell>
          <cell r="S137">
            <v>0.20341400000000004</v>
          </cell>
          <cell r="T137">
            <v>0.21080300000000002</v>
          </cell>
          <cell r="U137">
            <v>0.33054200000000011</v>
          </cell>
          <cell r="V137">
            <v>0.38938300000000009</v>
          </cell>
          <cell r="W137">
            <v>0.37402699999999994</v>
          </cell>
        </row>
        <row r="138">
          <cell r="L138">
            <v>0</v>
          </cell>
          <cell r="M138">
            <v>0</v>
          </cell>
          <cell r="N138">
            <v>0</v>
          </cell>
          <cell r="O138">
            <v>0</v>
          </cell>
          <cell r="P138">
            <v>0</v>
          </cell>
          <cell r="Q138">
            <v>0.41865799999999992</v>
          </cell>
          <cell r="R138">
            <v>4.9902000000000002E-2</v>
          </cell>
          <cell r="S138">
            <v>0.11855900000000003</v>
          </cell>
          <cell r="T138">
            <v>0.12287400000000001</v>
          </cell>
          <cell r="U138">
            <v>0.22246800000000005</v>
          </cell>
          <cell r="V138">
            <v>0.25284499999999999</v>
          </cell>
          <cell r="W138">
            <v>0.15407700000000005</v>
          </cell>
        </row>
        <row r="139">
          <cell r="L139">
            <v>4.0659999999999993E-3</v>
          </cell>
          <cell r="M139">
            <v>1.2709E-2</v>
          </cell>
          <cell r="N139">
            <v>4.0990000000000002E-3</v>
          </cell>
          <cell r="O139">
            <v>0.11032700000000001</v>
          </cell>
          <cell r="P139">
            <v>5.0499999999999998E-3</v>
          </cell>
          <cell r="Q139">
            <v>2.777E-2</v>
          </cell>
          <cell r="R139">
            <v>0</v>
          </cell>
          <cell r="S139">
            <v>0</v>
          </cell>
          <cell r="T139">
            <v>0</v>
          </cell>
          <cell r="U139">
            <v>0</v>
          </cell>
          <cell r="V139">
            <v>0</v>
          </cell>
          <cell r="W139">
            <v>0</v>
          </cell>
        </row>
        <row r="143">
          <cell r="L143">
            <v>0</v>
          </cell>
          <cell r="M143">
            <v>0</v>
          </cell>
          <cell r="N143">
            <v>3.1260000000000003E-3</v>
          </cell>
          <cell r="O143">
            <v>5.4244999999999995E-2</v>
          </cell>
          <cell r="P143">
            <v>7.2543999999999997E-2</v>
          </cell>
          <cell r="Q143">
            <v>0.12299900000000002</v>
          </cell>
          <cell r="R143">
            <v>3.8580000000000003E-2</v>
          </cell>
          <cell r="S143">
            <v>4.3484999999999996E-2</v>
          </cell>
          <cell r="T143">
            <v>5.0955E-2</v>
          </cell>
          <cell r="U143">
            <v>5.7305999999999996E-2</v>
          </cell>
          <cell r="V143">
            <v>3.9772000000000002E-2</v>
          </cell>
          <cell r="W143">
            <v>5.2272000000000006E-2</v>
          </cell>
        </row>
        <row r="250">
          <cell r="L250">
            <v>0.37152800000000008</v>
          </cell>
          <cell r="M250">
            <v>0.38290200000000008</v>
          </cell>
          <cell r="N250">
            <v>0.41491999999999996</v>
          </cell>
          <cell r="O250">
            <v>0.47956300000000007</v>
          </cell>
          <cell r="P250">
            <v>0.59248400000000012</v>
          </cell>
          <cell r="Q250">
            <v>0.69510999999999989</v>
          </cell>
          <cell r="R250">
            <v>0.51156599999999997</v>
          </cell>
          <cell r="S250">
            <v>0.55513399999999991</v>
          </cell>
          <cell r="T250">
            <v>0.51857799999999998</v>
          </cell>
          <cell r="U250">
            <v>0.49184200000000006</v>
          </cell>
          <cell r="V250">
            <v>0.51918199999999992</v>
          </cell>
          <cell r="W250">
            <v>0.66440900000000003</v>
          </cell>
        </row>
        <row r="251">
          <cell r="L251">
            <v>0.31451700000000016</v>
          </cell>
          <cell r="M251">
            <v>0.39050799999999986</v>
          </cell>
          <cell r="N251">
            <v>0.5941169999999999</v>
          </cell>
          <cell r="O251">
            <v>0.57055600000000006</v>
          </cell>
          <cell r="P251">
            <v>1.5908090000000006</v>
          </cell>
          <cell r="Q251">
            <v>0.56851099999999999</v>
          </cell>
          <cell r="R251">
            <v>0.44631600000000005</v>
          </cell>
          <cell r="S251">
            <v>0.45890600000000026</v>
          </cell>
          <cell r="T251">
            <v>0.48898599999999992</v>
          </cell>
          <cell r="U251">
            <v>0.68222199999999966</v>
          </cell>
          <cell r="V251">
            <v>0.65873100000000018</v>
          </cell>
          <cell r="W251">
            <v>1.2093939999999999</v>
          </cell>
        </row>
        <row r="252">
          <cell r="L252">
            <v>3.2609000000000006E-2</v>
          </cell>
          <cell r="M252">
            <v>7.6067999999999997E-2</v>
          </cell>
          <cell r="N252">
            <v>0.11441300000000001</v>
          </cell>
          <cell r="O252">
            <v>0.19633200000000001</v>
          </cell>
          <cell r="P252">
            <v>0.23711599999999999</v>
          </cell>
          <cell r="Q252">
            <v>0.269125</v>
          </cell>
          <cell r="R252">
            <v>0.23838399999999998</v>
          </cell>
          <cell r="S252">
            <v>0.322685</v>
          </cell>
          <cell r="T252">
            <v>0.29174200000000006</v>
          </cell>
          <cell r="U252">
            <v>0.35113099999999997</v>
          </cell>
          <cell r="V252">
            <v>0.36367799999999995</v>
          </cell>
          <cell r="W252">
            <v>0.40721399999999996</v>
          </cell>
        </row>
        <row r="253">
          <cell r="L253">
            <v>0.13604700000000006</v>
          </cell>
          <cell r="M253">
            <v>0.21871800000000002</v>
          </cell>
          <cell r="N253">
            <v>0.50704499999999997</v>
          </cell>
          <cell r="O253">
            <v>0.48774799999999985</v>
          </cell>
          <cell r="P253">
            <v>0.62883099999999981</v>
          </cell>
          <cell r="Q253">
            <v>0.27973799999999993</v>
          </cell>
          <cell r="R253">
            <v>0.25977099999999992</v>
          </cell>
          <cell r="S253">
            <v>0.27284199999999986</v>
          </cell>
          <cell r="T253">
            <v>0.29497899999999999</v>
          </cell>
          <cell r="U253">
            <v>0.35589100000000012</v>
          </cell>
          <cell r="V253">
            <v>0.35384700000000002</v>
          </cell>
          <cell r="W253">
            <v>0.63340799999999986</v>
          </cell>
        </row>
        <row r="254">
          <cell r="L254">
            <v>1.3911999999999999E-2</v>
          </cell>
          <cell r="M254">
            <v>2.5710000000000004E-2</v>
          </cell>
          <cell r="N254">
            <v>1.5798E-2</v>
          </cell>
          <cell r="O254">
            <v>3.6468E-2</v>
          </cell>
          <cell r="P254">
            <v>0.14080999999999999</v>
          </cell>
          <cell r="Q254">
            <v>9.7734999999999989E-2</v>
          </cell>
          <cell r="R254">
            <v>8.1698000000000007E-2</v>
          </cell>
          <cell r="S254">
            <v>8.7553000000000006E-2</v>
          </cell>
          <cell r="T254">
            <v>0.129857</v>
          </cell>
          <cell r="U254">
            <v>0.11102400000000001</v>
          </cell>
          <cell r="V254">
            <v>0.10924399999999998</v>
          </cell>
          <cell r="W254">
            <v>0.21023100000000003</v>
          </cell>
        </row>
        <row r="255">
          <cell r="L255">
            <v>2.4184910000000026</v>
          </cell>
          <cell r="M255">
            <v>2.404828000000002</v>
          </cell>
          <cell r="N255">
            <v>3.6221579999999998</v>
          </cell>
          <cell r="O255">
            <v>5.0082539999999964</v>
          </cell>
          <cell r="P255">
            <v>4.364573</v>
          </cell>
          <cell r="Q255">
            <v>7.3960779999999939</v>
          </cell>
          <cell r="R255">
            <v>3.4791559999999992</v>
          </cell>
          <cell r="S255">
            <v>3.497294000000001</v>
          </cell>
          <cell r="T255">
            <v>3.8626609999999988</v>
          </cell>
          <cell r="U255">
            <v>4.457454000000002</v>
          </cell>
          <cell r="V255">
            <v>5.0729620000000049</v>
          </cell>
          <cell r="W255">
            <v>8.0328790000000012</v>
          </cell>
        </row>
        <row r="256">
          <cell r="L256">
            <v>7.7666000000000013E-2</v>
          </cell>
          <cell r="M256">
            <v>9.0269999999999989E-2</v>
          </cell>
          <cell r="N256">
            <v>0.32211299999999998</v>
          </cell>
          <cell r="O256">
            <v>0.33710899999999994</v>
          </cell>
          <cell r="P256">
            <v>0.30290600000000001</v>
          </cell>
          <cell r="Q256">
            <v>0.75278</v>
          </cell>
          <cell r="R256">
            <v>0.72159899999999988</v>
          </cell>
          <cell r="S256">
            <v>0.78502699999999992</v>
          </cell>
          <cell r="T256">
            <v>0.84371099999999999</v>
          </cell>
          <cell r="U256">
            <v>0.86123700000000003</v>
          </cell>
          <cell r="V256">
            <v>0.88511699999999993</v>
          </cell>
          <cell r="W256">
            <v>0.95981799999999995</v>
          </cell>
        </row>
      </sheetData>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SVAR"/>
      <sheetName val="2025 Portfolio"/>
      <sheetName val="2025 Portfolio v2 on BPC Vol"/>
      <sheetName val="Summary of Savings"/>
      <sheetName val="APO vs BPC Savings &amp; Infl"/>
      <sheetName val="Portfolio Mix Calculation VAL2"/>
      <sheetName val="Portfolio Mix Calculation"/>
      <sheetName val="Regions COC 2024"/>
      <sheetName val="Regions COC 2025"/>
      <sheetName val="COC"/>
      <sheetName val="Regions COC 2025 (SOP7 Vol)"/>
      <sheetName val="Volume"/>
      <sheetName val="NPIs"/>
      <sheetName val="Dashboard SOP10 Proposal"/>
      <sheetName val="ePod=&gt;"/>
      <sheetName val="Alto"/>
      <sheetName val="Dashboard"/>
      <sheetName val="Assumptions"/>
      <sheetName val="MoDi COGS"/>
      <sheetName val="MoDi Pricing"/>
      <sheetName val="Hestia 1.1_Mimosa_Sum Glidephat"/>
      <sheetName val="MoDi Graphs"/>
      <sheetName val="COSTING"/>
      <sheetName val="ePod Graphs"/>
      <sheetName val="MoDi Vols"/>
      <sheetName val="COGS ePod"/>
      <sheetName val="Vols ePod"/>
      <sheetName val="ePod Devices"/>
      <sheetName val="ePod Pods"/>
      <sheetName val="MoDi =&gt;"/>
      <sheetName val="Pricelists no in PSTT"/>
      <sheetName val="Impacts"/>
      <sheetName val="8k full, 3k full"/>
      <sheetName val="2025 Portfolio v2"/>
      <sheetName val="ePod Devices (2)"/>
      <sheetName val="Vols ePod half year"/>
      <sheetName val="COGS ePod half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62">
          <cell r="AE362">
            <v>0.95806469850202569</v>
          </cell>
        </row>
        <row r="416">
          <cell r="AE416">
            <v>1.4298321335598072</v>
          </cell>
        </row>
        <row r="475">
          <cell r="AE475">
            <v>2.1608990343878305</v>
          </cell>
        </row>
        <row r="526">
          <cell r="AE526">
            <v>2.2029299095160635</v>
          </cell>
        </row>
        <row r="589">
          <cell r="AE589">
            <v>2.4868060233725853</v>
          </cell>
        </row>
        <row r="640">
          <cell r="AE640">
            <v>0.92983179350962808</v>
          </cell>
        </row>
        <row r="699">
          <cell r="AE699">
            <v>1.2657617987609118</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ow r="192">
          <cell r="AE192">
            <v>4.4655219929599719</v>
          </cell>
        </row>
        <row r="245">
          <cell r="AE245">
            <v>8.9415813015774095</v>
          </cell>
        </row>
        <row r="299">
          <cell r="AE299">
            <v>2.9291453731167607</v>
          </cell>
        </row>
        <row r="347">
          <cell r="AE347">
            <v>2.9854310744157666</v>
          </cell>
        </row>
        <row r="543">
          <cell r="AE543">
            <v>0</v>
          </cell>
          <cell r="AF543">
            <v>0</v>
          </cell>
          <cell r="AG543">
            <v>0</v>
          </cell>
        </row>
        <row r="571">
          <cell r="AE571">
            <v>4.5603940138979091</v>
          </cell>
          <cell r="AF571">
            <v>4.5603940138979091</v>
          </cell>
        </row>
      </sheetData>
      <sheetData sheetId="28">
        <row r="418">
          <cell r="AE418">
            <v>0.58390181771409322</v>
          </cell>
        </row>
        <row r="467">
          <cell r="AE467">
            <v>0.88487248063111124</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SVAR"/>
      <sheetName val="2025 Portfolio"/>
      <sheetName val="2025 Portfolio v2 on BPC Vol"/>
      <sheetName val="Summary of Savings"/>
      <sheetName val="APO vs BPC Savings &amp; Infl"/>
      <sheetName val="Alto"/>
      <sheetName val="Portfolio Mix Calculation VAL2"/>
      <sheetName val="Portfolio Mix Calculation"/>
      <sheetName val="Regions COC 2024"/>
      <sheetName val="Regions COC 2025"/>
      <sheetName val="COC"/>
      <sheetName val="Regions COC 2025 (SOP7 Vol)"/>
      <sheetName val="Volume"/>
      <sheetName val="Dashboard"/>
      <sheetName val="NPIs"/>
      <sheetName val="ePod=&gt;"/>
      <sheetName val="Assumptions"/>
      <sheetName val="ePod Graphs"/>
      <sheetName val="ePod Pods"/>
      <sheetName val="Hestia 1.1_Mimosa_Sum Glidephat"/>
      <sheetName val="MoDi Pricing"/>
      <sheetName val="Dashboard SOP10 Proposal"/>
      <sheetName val="COSTING"/>
      <sheetName val="MoDi COGS"/>
      <sheetName val="MoDi Vols"/>
      <sheetName val="COGS ePod"/>
      <sheetName val="Vols ePod"/>
      <sheetName val="ePod Devices"/>
      <sheetName val="MoDi =&gt;"/>
      <sheetName val="Pricelists no in PSTT"/>
      <sheetName val="Impacts"/>
      <sheetName val="MoDi Graphs"/>
      <sheetName val="8k full, 3k full"/>
      <sheetName val="2025 Portfolio v2"/>
      <sheetName val="ePod Devices (2)"/>
      <sheetName val="Vols ePod half year"/>
      <sheetName val="COGS ePod half y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8">
          <cell r="C8">
            <v>0.97458173272509585</v>
          </cell>
        </row>
      </sheetData>
      <sheetData sheetId="22"/>
      <sheetData sheetId="23"/>
      <sheetData sheetId="24">
        <row r="74">
          <cell r="AX74">
            <v>2.8184000000000001E-2</v>
          </cell>
        </row>
      </sheetData>
      <sheetData sheetId="25">
        <row r="101">
          <cell r="DM101">
            <v>0.03</v>
          </cell>
        </row>
      </sheetData>
      <sheetData sheetId="26">
        <row r="98">
          <cell r="AZ98">
            <v>6.0894800000000018</v>
          </cell>
        </row>
        <row r="193">
          <cell r="AN193">
            <v>0</v>
          </cell>
          <cell r="AO193">
            <v>0</v>
          </cell>
          <cell r="AP193">
            <v>0.87787699999999991</v>
          </cell>
          <cell r="AQ193">
            <v>0.185082</v>
          </cell>
          <cell r="AR193">
            <v>0.18911900000000004</v>
          </cell>
          <cell r="AS193">
            <v>0.217275</v>
          </cell>
          <cell r="AT193">
            <v>0.20426500000000003</v>
          </cell>
          <cell r="AU193">
            <v>0.20124</v>
          </cell>
          <cell r="AV193">
            <v>0.19813900000000007</v>
          </cell>
          <cell r="AW193">
            <v>0.21716500000000005</v>
          </cell>
          <cell r="AX193">
            <v>0.22132200000000005</v>
          </cell>
          <cell r="AY193">
            <v>0.14262600000000003</v>
          </cell>
        </row>
        <row r="194">
          <cell r="AN194">
            <v>1.8005E-2</v>
          </cell>
          <cell r="AO194">
            <v>1.6945999999999999E-2</v>
          </cell>
          <cell r="AP194">
            <v>1.6945999999999999E-2</v>
          </cell>
          <cell r="AQ194">
            <v>0.19038499999999997</v>
          </cell>
          <cell r="AR194">
            <v>6.4808999999999992E-2</v>
          </cell>
          <cell r="AS194">
            <v>5.7611999999999997E-2</v>
          </cell>
          <cell r="AT194">
            <v>6.8411E-2</v>
          </cell>
          <cell r="AU194">
            <v>6.1210999999999995E-2</v>
          </cell>
          <cell r="AV194">
            <v>6.1210999999999995E-2</v>
          </cell>
          <cell r="AW194">
            <v>6.8411E-2</v>
          </cell>
          <cell r="AX194">
            <v>5.7611999999999997E-2</v>
          </cell>
          <cell r="AY194">
            <v>6.4808999999999992E-2</v>
          </cell>
        </row>
      </sheetData>
      <sheetData sheetId="27"/>
      <sheetData sheetId="28"/>
      <sheetData sheetId="29"/>
      <sheetData sheetId="30"/>
      <sheetData sheetId="31"/>
      <sheetData sheetId="32"/>
      <sheetData sheetId="33"/>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Cailine Huang" id="{C4670DBE-8023-43A2-9A54-50C857170FB3}" userId="85184835@bat.com" providerId="PeoplePicker"/>
  <person displayName="Laura Sanchez Curtidor" id="{0A073663-AE28-4E4D-BDDB-7B9FBF177F1F}" userId="85186727@bat.com" providerId="PeoplePicker"/>
  <person displayName="Johnny Yu (External)" id="{D09CEBD0-0118-4C2B-8598-0B2DE955FBD8}" userId="85209856@bat.com" providerId="PeoplePicker"/>
  <person displayName="Daisy Cai" id="{BAED2FC0-269F-460E-9B20-5CA6F5807F39}" userId="daisy_cai@bat.com" providerId="PeoplePicker"/>
  <person displayName="Aaron Lee" id="{3FDD6564-FD0C-492F-9FB7-080EB233CB5C}" userId="aaron_lee1@bat.com" providerId="PeoplePicker"/>
  <person displayName="Sugi Kuhendraruban" id="{411BEE13-383C-4E9A-B32A-FDF67B646EC6}" userId="sugithan_kuhendraruban@bat.com" providerId="PeoplePicker"/>
  <person displayName="Daniel Aguirre" id="{68ABA344-5270-46BB-95F6-56DF487CEB9A}" userId="daniel_eugenio_aguirre1@bat.com" providerId="PeoplePicker"/>
  <person displayName="Cailine Huang" id="{E82607E1-5C2F-43AA-A478-F9A7FA540DFC}" userId="S::85184835@bat.com::8afab3d2-7605-4469-82d0-bb95bcd5101b" providerId="AD"/>
  <person displayName="Laura Sanchez Curtidor" id="{57C638A6-FDF3-42BB-A685-1EE40DF708D0}" userId="S::85186727@bat.com::336aaaff-ca7d-47c9-8b45-91845f8f8752" providerId="AD"/>
  <person displayName="Aaron Lee" id="{D328C238-09F0-4DEA-9CC3-AC7F7A522F29}" userId="S::aaron_lee1@bat.com::a4fa5c23-ca6f-4279-93e4-100734507b92" providerId="AD"/>
  <person displayName="Johnson Ge" id="{6E38CDE1-2758-4C8C-AE5B-BB9404B2CAEC}" userId="S::ruilong_ge@bat.com::2fc5c6bd-1657-46f1-90d5-38d880c341f5" providerId="AD"/>
  <person displayName="Sugi Kuhendraruban" id="{5BEDB7C0-51EE-48B3-BBB7-B0FF23A9215E}" userId="S::sugithan_kuhendraruban@bat.com::2c9c53a9-3f1a-40c0-9dd4-88b8a2bc5504"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8" dT="2025-02-26T00:33:12.24" personId="{E82607E1-5C2F-43AA-A478-F9A7FA540DFC}" id="{5BB72231-9733-43A5-BB67-F000C787563F}">
    <text>SC023735, coplan stretch, Candy input in Jun'24. Cancel finally. 
2025 Saving impact: -0.54M GBP.</text>
  </threadedComment>
  <threadedComment ref="P8" dT="2025-02-26T00:37:01.66" personId="{E82607E1-5C2F-43AA-A478-F9A7FA540DFC}" id="{235EF574-A7F9-4AEA-8EBF-E2A53A55A920}">
    <text>Stretch saving, Laura.</text>
  </threadedComment>
  <threadedComment ref="Q8" dT="2025-02-26T00:37:01.66" personId="{E82607E1-5C2F-43AA-A478-F9A7FA540DFC}" id="{9092FEE6-E270-4556-9CB1-67AB74296C41}">
    <text xml:space="preserve">SC023739, coplan stretch, Candy input in Jun'24. Cancel finally. 
Saving impact: -0.95M GBP.
</text>
  </threadedComment>
  <threadedComment ref="AH8" dT="2025-02-26T00:37:27.66" personId="{E82607E1-5C2F-43AA-A478-F9A7FA540DFC}" id="{9AEF5AFF-A5F5-4F37-8A1D-C4C8FD62BE5A}">
    <text xml:space="preserve"> Thimble cost down: -0.0004</text>
  </threadedComment>
  <threadedComment ref="J9" dT="2025-02-26T12:42:52.72" personId="{E82607E1-5C2F-43AA-A478-F9A7FA540DFC}" id="{5C16AA3A-AF94-481E-9AB1-C2B7CE4454DF}">
    <text>Battery</text>
  </threadedComment>
  <threadedComment ref="K9" dT="2025-02-26T12:43:42.02" personId="{E82607E1-5C2F-43AA-A478-F9A7FA540DFC}" id="{03C168B6-1FED-48CE-9EA1-701582FBA135}">
    <text>Airflow controller</text>
  </threadedComment>
  <threadedComment ref="P9" dT="2025-02-26T12:46:54.21" personId="{E82607E1-5C2F-43AA-A478-F9A7FA540DFC}" id="{A96A5A44-DE1D-4B64-8A03-74552D0F3135}">
    <text>PCBA: -1.53P (No PCBA In Default)
Battery:-1.25P.</text>
  </threadedComment>
  <threadedComment ref="AB9" dT="2025-02-26T12:43:17.90" personId="{E82607E1-5C2F-43AA-A478-F9A7FA540DFC}" id="{77F4781D-EAA0-46B5-B9BE-D6F0382D6D2B}">
    <text>Battery: -0.76p;
Airflow controller:-0.74p</text>
  </threadedComment>
  <threadedComment ref="AC9" dT="2025-02-26T12:43:33.19" personId="{E82607E1-5C2F-43AA-A478-F9A7FA540DFC}" id="{ED19BB9E-8C2B-44FA-BF37-B8B0CEC286B8}">
    <text>Airflow controller</text>
  </threadedComment>
  <threadedComment ref="AF9" dT="2025-02-26T12:44:21.50" personId="{E82607E1-5C2F-43AA-A478-F9A7FA540DFC}" id="{739C9C47-BCC5-48F9-AC67-F4DB4BD20539}">
    <text>Airflow controller</text>
  </threadedComment>
  <threadedComment ref="J27" dT="2025-02-26T12:42:52.72" personId="{E82607E1-5C2F-43AA-A478-F9A7FA540DFC}" id="{D6405B31-A71A-4FEE-BD1A-44C35264578D}">
    <text>Battery</text>
  </threadedComment>
  <threadedComment ref="K27" dT="2025-02-26T12:43:42.02" personId="{E82607E1-5C2F-43AA-A478-F9A7FA540DFC}" id="{15D58D20-CD40-49C8-9FF4-E9DA393C5C23}">
    <text>Airflow controller</text>
  </threadedComment>
  <threadedComment ref="P27" dT="2025-02-26T12:46:54.21" personId="{E82607E1-5C2F-43AA-A478-F9A7FA540DFC}" id="{2C68747D-3B8D-4CA5-AFF4-8DEB8D00228E}">
    <text>PCBA: -1.53P (No PCBA In Default)
Battery:-1.25P.</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5-03-03T23:17:10.51" personId="{5BEDB7C0-51EE-48B3-BBB7-B0FF23A9215E}" id="{4C1C7455-B259-417C-B473-D373AF508137}">
    <text>@Laura Sanchez Curtidor , I changed the COGS for Mimosa as previously it was a manual line COGS, however the plan was always to move to Semi Auto.  Please do double check. Thanks</text>
    <mentions>
      <mention mentionpersonId="{0A073663-AE28-4E4D-BDDB-7B9FBF177F1F}" mentionId="{6332FB2F-0A99-47FE-BBB2-A0C767F6AAF0}" startIndex="0" length="2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116" dT="2025-02-11T13:55:49.06" personId="{57C638A6-FDF3-42BB-A685-1EE40DF708D0}" id="{C995BBCE-30CF-4A9D-A11A-CD88D130FA7E}">
    <text>SOP9 vol</text>
  </threadedComment>
  <threadedComment ref="B135" dT="2025-02-11T13:55:49.06" personId="{57C638A6-FDF3-42BB-A685-1EE40DF708D0}" id="{B0A17D8F-164F-4B02-BADF-C6318A2955B2}">
    <text>SOP9 vol</text>
  </threadedComment>
</ThreadedComments>
</file>

<file path=xl/threadedComments/threadedComment4.xml><?xml version="1.0" encoding="utf-8"?>
<ThreadedComments xmlns="http://schemas.microsoft.com/office/spreadsheetml/2018/threadedcomments" xmlns:x="http://schemas.openxmlformats.org/spreadsheetml/2006/main">
  <threadedComment ref="M24" dT="2025-03-07T08:07:50.68" personId="{D328C238-09F0-4DEA-9CC3-AC7F7A522F29}" id="{E8AF8BF8-EA5A-4B70-8FD6-3A614EDBA3DA}">
    <text>@Cailine Huang - is this going to come in?</text>
    <mentions>
      <mention mentionpersonId="{C4670DBE-8023-43A2-9A54-50C857170FB3}" mentionId="{52F04FDB-C3A9-4538-81DF-3602C56BBE84}" startIndex="0" length="14"/>
    </mentions>
  </threadedComment>
  <threadedComment ref="P24" dT="2025-03-07T08:07:50.68" personId="{D328C238-09F0-4DEA-9CC3-AC7F7A522F29}" id="{F3E013DF-2A21-469C-BEC2-1FD24CF4853F}">
    <text>@Cailine Huang - is this going to come in?</text>
    <mentions>
      <mention mentionpersonId="{C4670DBE-8023-43A2-9A54-50C857170FB3}" mentionId="{4C7E127B-28DE-4495-BBF9-4599A614A189}" startIndex="0" length="14"/>
    </mentions>
  </threadedComment>
  <threadedComment ref="O25" dT="2025-03-07T08:08:03.75" personId="{D328C238-09F0-4DEA-9CC3-AC7F7A522F29}" id="{C3ABC5B1-4E1E-47F5-8398-FF149125754F}">
    <text>@Cailine Huang - Can this be pulled forwards</text>
    <mentions>
      <mention mentionpersonId="{C4670DBE-8023-43A2-9A54-50C857170FB3}" mentionId="{DCDB4B9B-D87B-4242-80EA-CB8E43788514}" startIndex="0" length="14"/>
    </mentions>
  </threadedComment>
  <threadedComment ref="N31" dT="2025-03-17T07:32:15.65" personId="{E82607E1-5C2F-43AA-A478-F9A7FA540DFC}" id="{E892BCD2-1719-423C-B592-91103FC35EE0}">
    <text>@Laura Sanchez Curtidor  Remove this packaging inflation, as packaging cost up already implemented in Mar.</text>
    <mentions>
      <mention mentionpersonId="{0A073663-AE28-4E4D-BDDB-7B9FBF177F1F}" mentionId="{1C4D3513-928F-4922-A50B-5D7BAC795006}" startIndex="0" length="23"/>
    </mentions>
  </threadedComment>
  <threadedComment ref="Q31" dT="2025-03-17T07:32:15.65" personId="{E82607E1-5C2F-43AA-A478-F9A7FA540DFC}" id="{145392A2-3E9E-42BB-9EB5-4F006D59F622}">
    <text>@Laura Sanchez Curtidor  Remove this packaging inflation, as packaging cost up already implemented in Mar.</text>
    <mentions>
      <mention mentionpersonId="{0A073663-AE28-4E4D-BDDB-7B9FBF177F1F}" mentionId="{BC5DE816-8189-4FF3-B3EE-917258599315}" startIndex="0" length="23"/>
    </mentions>
  </threadedComment>
  <threadedComment ref="D48" dT="2025-03-03T15:37:49.33" personId="{57C638A6-FDF3-42BB-A685-1EE40DF708D0}" id="{EC82DB0A-B44E-49F3-9677-2E24E1CD0C11}">
    <text>Cailine's glidephat</text>
  </threadedComment>
  <threadedComment ref="M48" dT="2025-03-03T23:26:22.69" personId="{5BEDB7C0-51EE-48B3-BBB7-B0FF23A9215E}" id="{2A7DD6B4-F17F-41A0-AFC3-9766DED2B030}">
    <text xml:space="preserve">@Cailine Huang , why can't we get this savings on Hestia 1.1?  FYI @Laura Sanchez Curtidor </text>
    <mentions>
      <mention mentionpersonId="{C4670DBE-8023-43A2-9A54-50C857170FB3}" mentionId="{AF26AB0D-E989-4372-A9A3-05F86DFD8863}" startIndex="0" length="14"/>
      <mention mentionpersonId="{0A073663-AE28-4E4D-BDDB-7B9FBF177F1F}" mentionId="{59AD7162-04FC-4793-B2CC-CE5133AFE579}" startIndex="67" length="23"/>
    </mentions>
  </threadedComment>
  <threadedComment ref="D49" dT="2025-03-03T15:37:49.33" personId="{57C638A6-FDF3-42BB-A685-1EE40DF708D0}" id="{B7E018FC-E192-4DE4-AAC9-C6B0E24A8939}">
    <text>Cailine's glidephat</text>
  </threadedComment>
  <threadedComment ref="M49" dT="2025-03-17T07:28:47.86" personId="{E82607E1-5C2F-43AA-A478-F9A7FA540DFC}" id="{91A7C05F-BAE5-422D-B8D7-18548F08C932}">
    <text xml:space="preserve">@Daisy Cai  Daisy, this is the final cost up from Haishun, but blister rate change? </text>
    <mentions>
      <mention mentionpersonId="{BAED2FC0-269F-460E-9B20-5CA6F5807F39}" mentionId="{EB4075BC-E3EC-45F6-ADDE-5D067D131D73}" startIndex="0" length="10"/>
    </mentions>
  </threadedComment>
  <threadedComment ref="D55" dT="2025-03-03T12:33:51.45" personId="{57C638A6-FDF3-42BB-A685-1EE40DF708D0}" id="{475552C8-3BE5-4150-9C23-C0D4074B793C}">
    <text>Provided by Jorge</text>
  </threadedComment>
  <threadedComment ref="D55" dT="2025-03-03T16:17:26.33" personId="{57C638A6-FDF3-42BB-A685-1EE40DF708D0}" id="{94A2A91B-873D-465E-8720-A5E2F6443505}" parentId="{475552C8-3BE5-4150-9C23-C0D4074B793C}">
    <text>@Aaron Lee to confirm dates</text>
    <mentions>
      <mention mentionpersonId="{3FDD6564-FD0C-492F-9FB7-080EB233CB5C}" mentionId="{9CA45B5B-4FE2-4E04-AAEC-8809DE724892}" startIndex="0" length="10"/>
    </mentions>
  </threadedComment>
  <threadedComment ref="N55" dT="2025-03-03T23:24:56.23" personId="{5BEDB7C0-51EE-48B3-BBB7-B0FF23A9215E}" id="{15785256-955D-4B95-9947-057034538A90}">
    <text>@Cailine Huang , any chance that we could bring this saving forward?  @Laura Sanchez Curtidor  FYI.</text>
    <mentions>
      <mention mentionpersonId="{C4670DBE-8023-43A2-9A54-50C857170FB3}" mentionId="{B8F760C6-0F5F-4D15-B513-2FB5C33A5DD3}" startIndex="0" length="14"/>
      <mention mentionpersonId="{0A073663-AE28-4E4D-BDDB-7B9FBF177F1F}" mentionId="{9657D2E5-90F4-4BDA-8C0E-1C386C9B7951}" startIndex="70" length="23"/>
    </mentions>
  </threadedComment>
  <threadedComment ref="N55" dT="2025-03-04T02:47:31.41" personId="{E82607E1-5C2F-43AA-A478-F9A7FA540DFC}" id="{4A2FFA68-6117-4835-B843-47F9C1232DDE}" parentId="{15785256-955D-4B95-9947-057034538A90}">
    <text xml:space="preserve">Sugi, checked with Chris, they're still negotiate with Nolato/TK, current estimate to get price down in Sep price from T2(Aug for FG Price), as new tool need 3 month to catch MP efficiency.  </text>
  </threadedComment>
  <threadedComment ref="R55" dT="2025-03-03T23:24:56.23" personId="{5BEDB7C0-51EE-48B3-BBB7-B0FF23A9215E}" id="{60F35999-E305-467D-ACFA-8F7B1282605D}">
    <text>@Cailine Huang , any chance that we could bring this saving forward?  @Laura Sanchez Curtidor  FYI.</text>
    <mentions>
      <mention mentionpersonId="{C4670DBE-8023-43A2-9A54-50C857170FB3}" mentionId="{B5C029F9-4B5A-4563-B95A-46DA1A84944B}" startIndex="0" length="14"/>
      <mention mentionpersonId="{0A073663-AE28-4E4D-BDDB-7B9FBF177F1F}" mentionId="{96AA9480-3658-4CF0-8253-0DC46445957F}" startIndex="70" length="23"/>
    </mentions>
  </threadedComment>
  <threadedComment ref="R55" dT="2025-03-04T02:47:31.41" personId="{E82607E1-5C2F-43AA-A478-F9A7FA540DFC}" id="{02BADADE-CB8E-402B-ADFB-1B7B48AAFCA9}" parentId="{60F35999-E305-467D-ACFA-8F7B1282605D}">
    <text xml:space="preserve">Sugi, checked with Chris, they're still negotiate with Nolato/TK, current estimate to get price down in Sep price from T2(Aug for FG Price), as new tool need 3 month to catch MP efficiency.  </text>
  </threadedComment>
  <threadedComment ref="D56" dT="2025-03-03T12:40:16.18" personId="{57C638A6-FDF3-42BB-A685-1EE40DF708D0}" id="{A62709CB-84AF-492E-BD83-44C2E0F05CD8}">
    <text>Provided by Jorge</text>
  </threadedComment>
  <threadedComment ref="D56" dT="2025-03-03T16:17:40.57" personId="{57C638A6-FDF3-42BB-A685-1EE40DF708D0}" id="{A9C22079-CC93-4282-9B79-CED325A52B8E}" parentId="{A62709CB-84AF-492E-BD83-44C2E0F05CD8}">
    <text>@Aaron Lee to confirm dates</text>
  </threadedComment>
  <threadedComment ref="D57" dT="2025-03-03T15:27:48.38" personId="{57C638A6-FDF3-42BB-A685-1EE40DF708D0}" id="{64DFFA23-3D55-436C-9FCE-D46AECCCB1FA}">
    <text>Cailine's glidephat</text>
  </threadedComment>
  <threadedComment ref="D57" dT="2025-03-03T16:18:00.21" personId="{57C638A6-FDF3-42BB-A685-1EE40DF708D0}" id="{7351DF7A-04E0-45CF-AA56-D3648EDEEA56}" parentId="{64DFFA23-3D55-436C-9FCE-D46AECCCB1FA}">
    <text>@Aaron Lee to confirm dates</text>
  </threadedComment>
  <threadedComment ref="R57" dT="2025-03-19T07:53:58.53" personId="{6E38CDE1-2758-4C8C-AE5B-BB9404B2CAEC}" id="{5A28D3CA-013B-4970-AE58-D8A941B5AD3F}">
    <text>combined plating and stamping supplier change to 1 project (Hengli)</text>
  </threadedComment>
  <threadedComment ref="D58" dT="2025-03-03T15:27:51.57" personId="{57C638A6-FDF3-42BB-A685-1EE40DF708D0}" id="{780692F6-C1F0-4900-A266-71F42164F909}">
    <text>Cailine's glidephat</text>
  </threadedComment>
  <threadedComment ref="D58" dT="2025-03-03T16:18:03.52" personId="{57C638A6-FDF3-42BB-A685-1EE40DF708D0}" id="{5BAD0CB1-CC20-4FF9-9942-50FDC8CA5C94}" parentId="{780692F6-C1F0-4900-A266-71F42164F909}">
    <text>@Aaron Lee to confirm dates</text>
  </threadedComment>
  <threadedComment ref="D59" dT="2025-03-03T15:27:57.34" personId="{57C638A6-FDF3-42BB-A685-1EE40DF708D0}" id="{B94D647F-EE0E-48FC-A136-EB6E51004669}">
    <text>Cailine's glidephat</text>
  </threadedComment>
  <threadedComment ref="D59" dT="2025-03-03T16:18:08.06" personId="{57C638A6-FDF3-42BB-A685-1EE40DF708D0}" id="{6DABAB77-AD08-4D33-9DCF-EE353EF6BED3}" parentId="{B94D647F-EE0E-48FC-A136-EB6E51004669}">
    <text>@Aaron Lee to confirm dates</text>
  </threadedComment>
  <threadedComment ref="D61" dT="2025-03-03T15:37:52.84" personId="{57C638A6-FDF3-42BB-A685-1EE40DF708D0}" id="{24DC839D-4A52-43B9-87A1-2B6C7D484C31}">
    <text>Cailine's glidephat</text>
  </threadedComment>
  <threadedComment ref="O61" dT="2025-03-03T23:26:59.76" personId="{5BEDB7C0-51EE-48B3-BBB7-B0FF23A9215E}" id="{FBCE8B6D-A5E0-449C-AEB5-2937D400672C}">
    <text xml:space="preserve">@Cailine Huang , can we get this saving on Hestia 1.1 Smart as well?  FYI @Laura Sanchez Curtidor </text>
    <mentions>
      <mention mentionpersonId="{C4670DBE-8023-43A2-9A54-50C857170FB3}" mentionId="{03783FDC-3684-4B20-A26F-C3FB74A368C8}" startIndex="0" length="14"/>
      <mention mentionpersonId="{0A073663-AE28-4E4D-BDDB-7B9FBF177F1F}" mentionId="{AC679B66-F1C3-44CC-A595-318887ECF3EB}" startIndex="74" length="23"/>
    </mentions>
  </threadedComment>
  <threadedComment ref="M64" dT="2025-03-07T08:07:50.68" personId="{D328C238-09F0-4DEA-9CC3-AC7F7A522F29}" id="{E3733C31-2B1A-4447-AECE-88C8330DE0BF}">
    <text>@Cailine Huang - is this going to come in?</text>
    <mentions>
      <mention mentionpersonId="{C4670DBE-8023-43A2-9A54-50C857170FB3}" mentionId="{0E223543-DCC8-48DF-A2CD-F9C3579B4DA0}" startIndex="0" length="14"/>
    </mentions>
  </threadedComment>
  <threadedComment ref="D68" dT="2025-02-14T09:05:17.13" personId="{6E38CDE1-2758-4C8C-AE5B-BB9404B2CAEC}" id="{5D9743D2-C301-41F8-8DD2-B7BC1E10FE83}">
    <text>Potential Tool liability.</text>
  </threadedComment>
  <threadedComment ref="D68" dT="2025-03-03T16:48:09.55" personId="{57C638A6-FDF3-42BB-A685-1EE40DF708D0}" id="{051DDC68-430E-43EB-A19A-D4D8F7527333}" parentId="{5D9743D2-C301-41F8-8DD2-B7BC1E10FE83}">
    <text>@Aaron Lee to confirm</text>
    <mentions>
      <mention mentionpersonId="{3FDD6564-FD0C-492F-9FB7-080EB233CB5C}" mentionId="{9E890F48-F67A-427B-922B-F89676E7AEB7}" startIndex="0" length="10"/>
    </mentions>
  </threadedComment>
  <threadedComment ref="P68" dT="2025-03-06T10:21:35.78" personId="{D328C238-09F0-4DEA-9CC3-AC7F7A522F29}" id="{431C323E-26C3-4E58-AFEC-1B9BF9F3E9E9}">
    <text>@Laura Sanchez Curtidor - Did you change this?</text>
    <mentions>
      <mention mentionpersonId="{0A073663-AE28-4E4D-BDDB-7B9FBF177F1F}" mentionId="{5CF02C7C-BC9F-4F9E-AA46-ABB7D525A0A9}" startIndex="0" length="23"/>
    </mentions>
  </threadedComment>
  <threadedComment ref="P68" dT="2025-03-06T14:34:19.76" personId="{57C638A6-FDF3-42BB-A685-1EE40DF708D0}" id="{639AFDC2-1A45-4037-AC71-9F2B6FF00FF1}" parentId="{431C323E-26C3-4E58-AFEC-1B9BF9F3E9E9}">
    <text>No</text>
  </threadedComment>
  <threadedComment ref="P68" dT="2025-03-06T19:50:46.91" personId="{D328C238-09F0-4DEA-9CC3-AC7F7A522F29}" id="{18AE54D7-F625-4D1B-BB76-9F7306B22D54}" parentId="{431C323E-26C3-4E58-AFEC-1B9BF9F3E9E9}">
    <text>@Cailine Huang - Can you confirm is this was you?</text>
    <mentions>
      <mention mentionpersonId="{C4670DBE-8023-43A2-9A54-50C857170FB3}" mentionId="{94159261-6599-40E3-88D4-8D3F8FECEE5F}" startIndex="0" length="14"/>
    </mentions>
  </threadedComment>
  <threadedComment ref="D69" dT="2025-03-03T15:37:44.53" personId="{57C638A6-FDF3-42BB-A685-1EE40DF708D0}" id="{55AEDCB1-9CB1-4A0C-8877-EE592CF74F19}">
    <text>Cailine's glidephat</text>
  </threadedComment>
  <threadedComment ref="D70" dT="2025-03-03T15:37:49.33" personId="{57C638A6-FDF3-42BB-A685-1EE40DF708D0}" id="{31966EC9-5445-4497-8E7B-2ED9A587FF66}">
    <text>Cailine's glidephat</text>
  </threadedComment>
  <threadedComment ref="D71" dT="2025-03-03T15:37:49.33" personId="{57C638A6-FDF3-42BB-A685-1EE40DF708D0}" id="{C06AE437-E8B2-41F3-8320-667EA26B492A}">
    <text>Cailine's glidephat</text>
  </threadedComment>
  <threadedComment ref="D72" dT="2025-03-03T15:37:52.84" personId="{57C638A6-FDF3-42BB-A685-1EE40DF708D0}" id="{C66E6C02-9C51-47DA-B956-F5204460C77E}">
    <text>Cailine's glidephat</text>
  </threadedComment>
  <threadedComment ref="D74" dT="2025-03-04T09:53:53.82" personId="{D328C238-09F0-4DEA-9CC3-AC7F7A522F29}" id="{BE17650E-955A-406C-98C6-815684344D56}">
    <text>High risk as will be cosmetic change. Consumer noticeable</text>
  </threadedComment>
  <threadedComment ref="S74" dT="2025-02-28T10:22:33.81" personId="{D328C238-09F0-4DEA-9CC3-AC7F7A522F29}" id="{9FD0192D-57DC-491B-8E1D-BA9876F07119}">
    <text>Estimate for ink jet printing. IF foil can be removed then £0.05 benefit.</text>
  </threadedComment>
  <threadedComment ref="S74" dT="2025-03-04T09:53:36.01" personId="{D328C238-09F0-4DEA-9CC3-AC7F7A522F29}" id="{70378DB5-09CC-4DBA-AFE6-68551C7C7287}" parentId="{9FD0192D-57DC-491B-8E1D-BA9876F07119}">
    <text xml:space="preserve">Or pad print </text>
  </threadedComment>
  <threadedComment ref="O155" dT="2025-03-04T03:59:34.83" personId="{6E38CDE1-2758-4C8C-AE5B-BB9404B2CAEC}" id="{E2AB2312-E319-4BC1-AFD0-5E730F635703}">
    <text>@Daisy Cai , please confirm actual unit saving.</text>
    <mentions>
      <mention mentionpersonId="{BAED2FC0-269F-460E-9B20-5CA6F5807F39}" mentionId="{5CB9A750-AB64-4D0D-A3E8-0D9EFF5C3DE5}" startIndex="0" length="10"/>
    </mentions>
  </threadedComment>
  <threadedComment ref="N243" dT="2025-03-04T03:54:45.19" personId="{6E38CDE1-2758-4C8C-AE5B-BB9404B2CAEC}" id="{FEEDD217-27E6-406E-A11A-68CB0E263A12}">
    <text>@Cailine Huang , please check the date is correct? April is not achievable</text>
    <mentions>
      <mention mentionpersonId="{C4670DBE-8023-43A2-9A54-50C857170FB3}" mentionId="{0B5F6D41-433A-44BF-9703-0D0FC220DB99}" startIndex="0" length="14"/>
    </mentions>
  </threadedComment>
  <threadedComment ref="D245" dT="2025-01-16T07:42:19.58" personId="{6E38CDE1-2758-4C8C-AE5B-BB9404B2CAEC}" id="{A6A15B8E-37FC-4A6C-B4A9-690F62380199}">
    <text>Timeline to be validated</text>
  </threadedComment>
  <threadedComment ref="D245" dT="2025-02-24T07:08:48.54" personId="{D328C238-09F0-4DEA-9CC3-AC7F7A522F29}" id="{247909F4-E785-4E20-A7F3-541BD0460FED}" parentId="{A6A15B8E-37FC-4A6C-B4A9-690F62380199}">
    <text xml:space="preserve">Issues with specification - CoE working through with aucopo on specification </text>
  </threadedComment>
  <threadedComment ref="D245" dT="2025-03-03T16:24:39.16" personId="{57C638A6-FDF3-42BB-A685-1EE40DF708D0}" id="{480538F9-99BD-4218-8C40-24686FFDF3FE}" parentId="{A6A15B8E-37FC-4A6C-B4A9-690F62380199}">
    <text xml:space="preserve">@Aaron Lee confirm timing and unit saving </text>
    <mentions>
      <mention mentionpersonId="{3FDD6564-FD0C-492F-9FB7-080EB233CB5C}" mentionId="{2B95693F-D2E2-452F-B981-B9D73D2D3E02}" startIndex="0" length="10"/>
    </mentions>
  </threadedComment>
  <threadedComment ref="S245" dT="2025-02-28T10:23:45.99" personId="{D328C238-09F0-4DEA-9CC3-AC7F7A522F29}" id="{D67CC0D0-9754-48C5-95C8-0E7AA03B5AE3}">
    <text>Already in PSTT</text>
  </threadedComment>
  <threadedComment ref="S245" dT="2025-03-04T03:52:38.29" personId="{6E38CDE1-2758-4C8C-AE5B-BB9404B2CAEC}" id="{EF236B55-D341-4491-A373-78C175066749}" parentId="{D67CC0D0-9754-48C5-95C8-0E7AA03B5AE3}">
    <text>@Cailine Huang  , please check with if the saving is on top of battery Stretch</text>
    <mentions>
      <mention mentionpersonId="{C4670DBE-8023-43A2-9A54-50C857170FB3}" mentionId="{53B0C0C1-12D6-4E64-944F-DF8DD77B7D29}" startIndex="0" length="14"/>
    </mentions>
  </threadedComment>
  <threadedComment ref="S245" dT="2025-03-04T07:08:25.81" personId="{D328C238-09F0-4DEA-9CC3-AC7F7A522F29}" id="{61EB2440-9120-4257-9456-D7B7B7172B99}" parentId="{D67CC0D0-9754-48C5-95C8-0E7AA03B5AE3}">
    <text xml:space="preserve">Removed due to stretch </text>
  </threadedComment>
  <threadedComment ref="D246" dT="2025-01-16T07:43:19.80" personId="{6E38CDE1-2758-4C8C-AE5B-BB9404B2CAEC}" id="{FBA65CC2-E22A-4B51-B03B-127D69EAF7AF}">
    <text>Timeline to be validated</text>
  </threadedComment>
  <threadedComment ref="D246" dT="2025-03-03T16:24:50.71" personId="{57C638A6-FDF3-42BB-A685-1EE40DF708D0}" id="{7A1BC805-66B2-4E83-ABF6-C34710B05170}" parentId="{FBA65CC2-E22A-4B51-B03B-127D69EAF7AF}">
    <text xml:space="preserve">@Aaron Lee confirm timing and unit saving, risk </text>
    <mentions>
      <mention mentionpersonId="{3FDD6564-FD0C-492F-9FB7-080EB233CB5C}" mentionId="{4F8DF552-0D61-4A2B-AB3A-E4B7201D43CD}" startIndex="0" length="10"/>
    </mentions>
  </threadedComment>
  <threadedComment ref="D246" dT="2025-03-04T03:53:50.95" personId="{6E38CDE1-2758-4C8C-AE5B-BB9404B2CAEC}" id="{F7766E48-271A-4317-8629-404741FA7DB1}" parentId="{FBA65CC2-E22A-4B51-B03B-127D69EAF7AF}">
    <text>High risk due to pre-test result. Considering to remove this item and covered by PCBA stretch.</text>
  </threadedComment>
  <threadedComment ref="R246" dT="2025-03-04T07:08:38.97" personId="{D328C238-09F0-4DEA-9CC3-AC7F7A522F29}" id="{59355E34-85FC-4A6C-8CB3-A068601DF5BD}">
    <text>Removed due to stretch</text>
  </threadedComment>
  <threadedComment ref="D250" dT="2025-03-04T03:56:45.93" personId="{6E38CDE1-2758-4C8C-AE5B-BB9404B2CAEC}" id="{62CA3F5A-1001-4744-A3ED-8D469846EA46}">
    <text>Pre-test planed for self activation study. Need review feasibility and timeline after pre-test</text>
  </threadedComment>
  <threadedComment ref="N275" dT="2025-03-04T03:54:45.19" personId="{6E38CDE1-2758-4C8C-AE5B-BB9404B2CAEC}" id="{61ECDDBC-9A33-41BF-A26F-4B3D879E5917}">
    <text>@Cailine Huang , please check the date is correct? April is not achievable</text>
    <mentions>
      <mention mentionpersonId="{C4670DBE-8023-43A2-9A54-50C857170FB3}" mentionId="{DBF37DE3-5BB2-4120-B342-2701A4E2013E}" startIndex="0" length="14"/>
    </mentions>
  </threadedComment>
  <threadedComment ref="D279" dT="2025-03-04T03:56:45.93" personId="{6E38CDE1-2758-4C8C-AE5B-BB9404B2CAEC}" id="{44F2A334-AAF4-4E58-801A-5956286AB5C9}">
    <text>Pre-test planed for self activation study. Need review feasibility and timeline after pre-test</text>
  </threadedComment>
  <threadedComment ref="D285" dT="2025-03-03T13:42:27.76" personId="{57C638A6-FDF3-42BB-A685-1EE40DF708D0}" id="{8D67AC78-7A63-409E-9315-31EC7B8662F1}">
    <text>Provided by Jorge</text>
  </threadedComment>
  <threadedComment ref="D297" dT="2025-01-16T07:42:19.58" personId="{6E38CDE1-2758-4C8C-AE5B-BB9404B2CAEC}" id="{20E3CE0A-DB33-4F01-ABBE-9A2805131DCA}">
    <text>Timeline to be validated</text>
  </threadedComment>
  <threadedComment ref="D297" dT="2025-02-24T07:08:48.54" personId="{D328C238-09F0-4DEA-9CC3-AC7F7A522F29}" id="{63F581BD-D9D3-4B11-B59F-21586925B1A6}" parentId="{20E3CE0A-DB33-4F01-ABBE-9A2805131DCA}">
    <text xml:space="preserve">Issues with specification - CoE working through with aucopo on specification </text>
  </threadedComment>
  <threadedComment ref="T298" dT="2025-04-16T11:05:05.04" personId="{E82607E1-5C2F-43AA-A478-F9A7FA540DFC}" id="{8B2C3A0B-80FD-4B24-B802-3F0072003080}">
    <text>-0.057</text>
  </threadedComment>
  <threadedComment ref="D299" dT="2025-03-04T03:56:45.93" personId="{6E38CDE1-2758-4C8C-AE5B-BB9404B2CAEC}" id="{98584351-FF83-43BE-A579-9C0B68A2A5F3}">
    <text>Pre-test planed for self activation study. Need review feasibility and timeline after pre-test</text>
  </threadedComment>
  <threadedComment ref="G357" dT="2025-03-11T03:12:24.29" personId="{E82607E1-5C2F-43AA-A478-F9A7FA540DFC}" id="{01527F47-3322-4B61-BF04-B3C430BC6322}">
    <text>202408 actual FCA</text>
  </threadedComment>
</ThreadedComments>
</file>

<file path=xl/threadedComments/threadedComment5.xml><?xml version="1.0" encoding="utf-8"?>
<ThreadedComments xmlns="http://schemas.microsoft.com/office/spreadsheetml/2018/threadedcomments" xmlns:x="http://schemas.openxmlformats.org/spreadsheetml/2006/main">
  <threadedComment ref="D11" dT="2024-07-03T12:55:37.72" personId="{57C638A6-FDF3-42BB-A685-1EE40DF708D0}" id="{58CCDDE4-E9A6-4272-9313-360A3F7E1A36}">
    <text>Proposed by Sarwar, investigate tube and wrap process optimazation</text>
  </threadedComment>
  <threadedComment ref="D12" dT="2024-07-03T12:56:14.63" personId="{57C638A6-FDF3-42BB-A685-1EE40DF708D0}" id="{BF147474-C24F-478F-A9C6-FE3054B1D81C}">
    <text>Additional stretched entered by finance</text>
  </threadedComment>
  <threadedComment ref="D13" dT="2024-07-03T12:57:47.45" personId="{57C638A6-FDF3-42BB-A685-1EE40DF708D0}" id="{B940E93E-08A1-4297-A30D-59A13F08E949}">
    <text>Accounting for difference between pen and box def</text>
  </threadedComment>
  <threadedComment ref="Q47" dT="2025-02-13T11:30:59.90" personId="{57C638A6-FDF3-42BB-A685-1EE40DF708D0}" id="{45B8A328-9E6F-4690-9C0F-81297D7ED78A}">
    <text>Moved from Feb</text>
  </threadedComment>
  <threadedComment ref="S60" dT="2025-03-10T09:40:50.09" personId="{E82607E1-5C2F-43AA-A478-F9A7FA540DFC}" id="{C9F221ED-2A60-49B1-94AA-80EBD41CE502}">
    <text>@Laura Sanchez Curtidor  No PCBA for Default, we need to remove this stretch.</text>
    <mentions>
      <mention mentionpersonId="{0A073663-AE28-4E4D-BDDB-7B9FBF177F1F}" mentionId="{641CFB75-F417-4F7D-AB76-8FA7DD96830B}" startIndex="0" length="23"/>
    </mentions>
  </threadedComment>
  <threadedComment ref="S60" dT="2025-03-10T10:06:27.51" personId="{E82607E1-5C2F-43AA-A478-F9A7FA540DFC}" id="{C180AC7F-45CF-46C6-A540-0D84693BE31B}" parentId="{C9F221ED-2A60-49B1-94AA-80EBD41CE502}">
    <text>@Sugi Kuhendraruban Have you updated this to your deck? This PCBA Stretch need to remove as No PCBA for Defautl!</text>
    <mentions>
      <mention mentionpersonId="{411BEE13-383C-4E9A-B32A-FDF67B646EC6}" mentionId="{E9388E6E-9D84-49FF-8EDE-E151D95F504E}" startIndex="0" length="19"/>
    </mentions>
  </threadedComment>
  <threadedComment ref="S60" dT="2025-03-10T11:41:24.99" personId="{5BEDB7C0-51EE-48B3-BBB7-B0FF23A9215E}" id="{5D728622-FE37-46AB-8B45-97B2AF2A0DD2}" parentId="{C9F221ED-2A60-49B1-94AA-80EBD41CE502}">
    <text>@Daniel Aguirre , please check if this is included in your glide path, if it is, it should be removed as per Cailine's comment.</text>
    <mentions>
      <mention mentionpersonId="{68ABA344-5270-46BB-95F6-56DF487CEB9A}" mentionId="{5B0E3242-272F-432A-B58F-EF285BD8D5DE}" startIndex="0" length="15"/>
    </mentions>
  </threadedComment>
  <threadedComment ref="Q157" dT="2025-03-07T06:39:59.63" personId="{E82607E1-5C2F-43AA-A478-F9A7FA540DFC}" id="{862A66F1-DD91-4C71-898F-C63C238861F7}">
    <text>Remove</text>
  </threadedComment>
  <threadedComment ref="U175" dT="2025-02-13T11:37:05.80" personId="{57C638A6-FDF3-42BB-A685-1EE40DF708D0}" id="{96DBF5EE-E362-47D4-8140-56AD6247B76A}">
    <text>Increase due to recent reductions in previous cable</text>
  </threadedComment>
  <threadedComment ref="U242" dT="2025-02-13T11:37:05.80" personId="{57C638A6-FDF3-42BB-A685-1EE40DF708D0}" id="{ED90EDC2-FE00-4405-97C1-3C30F8F166C7}">
    <text>Increase due to recent reductions in previous cable</text>
  </threadedComment>
  <threadedComment ref="U295" dT="2025-02-13T11:37:05.80" personId="{57C638A6-FDF3-42BB-A685-1EE40DF708D0}" id="{BD6FE6C6-E099-4441-B4BA-7DA07FBF0EAC}">
    <text>Increase due to recent reductions in previous cable</text>
  </threadedComment>
  <threadedComment ref="S299" dT="2025-03-03T17:19:23.24" personId="{57C638A6-FDF3-42BB-A685-1EE40DF708D0}" id="{00323B15-2BCA-4800-8290-A9AD9568AC8D}">
    <text>@Cailine Huang this initiative has only vol reference of 5k. Can you please make sure 8k is included in SOP3</text>
    <mentions>
      <mention mentionpersonId="{C4670DBE-8023-43A2-9A54-50C857170FB3}" mentionId="{E89596F0-346F-4AA3-BA2E-D0C3D386EBC4}" startIndex="0" length="14"/>
    </mentions>
  </threadedComment>
  <threadedComment ref="S299" dT="2025-03-06T14:58:13.43" personId="{E82607E1-5C2F-43AA-A478-F9A7FA540DFC}" id="{4FA87916-AF70-4C81-BA1C-7595F112A83C}" parentId="{00323B15-2BCA-4800-8290-A9AD9568AC8D}">
    <text xml:space="preserve">PCBA is shared for 3/5/8K. </text>
  </threadedComment>
  <threadedComment ref="J350" dT="2025-02-13T01:20:59.97" personId="{E82607E1-5C2F-43AA-A478-F9A7FA540DFC}" id="{341A79D9-0FA2-4C06-9790-36E2AAFE3939}">
    <text xml:space="preserve">update sleeve price(TFK Price update, 4:3:3=TFK:JEE:Huayu) </text>
  </threadedComment>
  <threadedComment ref="D351" dT="2025-02-13T01:20:29.78" personId="{E82607E1-5C2F-43AA-A478-F9A7FA540DFC}" id="{6EE36F61-54B6-49B2-897F-B99C53796C6C}">
    <text>0.0141339068075418: not cost down for packaging, sticker price separate from previous total protective shell.</text>
  </threadedComment>
  <threadedComment ref="S371" dT="2025-03-10T08:51:09.59" personId="{E82607E1-5C2F-43AA-A478-F9A7FA540DFC}" id="{0B53D52E-CE2E-40CC-9DC5-01718AEC7103}">
    <text xml:space="preserve">Default version no PCBA! Need to remove
@Laura Sanchez Curtidor  </text>
    <mentions>
      <mention mentionpersonId="{0A073663-AE28-4E4D-BDDB-7B9FBF177F1F}" mentionId="{4B8233AA-C3C0-4601-A34D-12C13C12EC3D}" startIndex="40" length="23"/>
    </mentions>
  </threadedComment>
  <threadedComment ref="D444" dT="2025-03-03T16:45:38.33" personId="{57C638A6-FDF3-42BB-A685-1EE40DF708D0}" id="{A544BAFF-057E-4206-9949-A0818F42687A}">
    <text>@Aaron Lee to confirm</text>
    <mentions>
      <mention mentionpersonId="{3FDD6564-FD0C-492F-9FB7-080EB233CB5C}" mentionId="{F2F4EAA7-CC91-4147-A5CD-EF0CD48ECC0A}" startIndex="0" length="10"/>
    </mentions>
  </threadedComment>
  <threadedComment ref="R444" dT="2025-03-06T09:50:23.36" personId="{6E38CDE1-2758-4C8C-AE5B-BB9404B2CAEC}" id="{C6E245EC-A1E3-490B-AF42-C36C93E4DC7D}">
    <text>@Cailine Huang @Johnny Yu (External) please check the unit saving - it was 0.0033 from brief and email.</text>
    <mentions>
      <mention mentionpersonId="{C4670DBE-8023-43A2-9A54-50C857170FB3}" mentionId="{E424140E-A3F8-4FA6-865F-FC23340E09D4}" startIndex="0" length="14"/>
      <mention mentionpersonId="{D09CEBD0-0118-4C2B-8598-0B2DE955FBD8}" mentionId="{CB29173A-95E6-4957-9EBF-3C4C3247BD8B}" startIndex="15"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5" Type="http://schemas.microsoft.com/office/2019/04/relationships/documenttask" Target="../documenttasks/documenttask2.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6FBB-0553-4FB6-B330-742A40B72539}">
  <dimension ref="A1:CB100"/>
  <sheetViews>
    <sheetView zoomScale="70" zoomScaleNormal="70" workbookViewId="0">
      <pane xSplit="7" ySplit="4" topLeftCell="H74" activePane="bottomRight" state="frozen"/>
      <selection pane="topRight" activeCell="I1" sqref="I1"/>
      <selection pane="bottomLeft" activeCell="A4" sqref="A4"/>
      <selection pane="bottomRight" activeCell="G83" sqref="G83"/>
    </sheetView>
  </sheetViews>
  <sheetFormatPr defaultColWidth="9.1640625" defaultRowHeight="12" customHeight="1" outlineLevelRow="1" outlineLevelCol="1"/>
  <cols>
    <col min="1" max="1" width="16.4140625" style="240" customWidth="1"/>
    <col min="2" max="2" width="18.25" style="240" customWidth="1"/>
    <col min="3" max="3" width="19.4140625" style="241" customWidth="1"/>
    <col min="4" max="4" width="17.5" style="241" customWidth="1"/>
    <col min="5" max="5" width="20.5" style="241" customWidth="1" outlineLevel="1"/>
    <col min="6" max="6" width="40.1640625" style="240" customWidth="1" outlineLevel="1"/>
    <col min="7" max="7" width="31.5" style="240" customWidth="1" outlineLevel="1"/>
    <col min="8" max="8" width="0.75" style="242" customWidth="1"/>
    <col min="9" max="17" width="7.75" style="314" customWidth="1"/>
    <col min="18" max="25" width="7.75" style="314" customWidth="1" outlineLevel="1"/>
    <col min="26" max="26" width="1.25" style="242" customWidth="1"/>
    <col min="27" max="35" width="9" style="314" customWidth="1"/>
    <col min="36" max="43" width="9" style="314" customWidth="1" outlineLevel="1"/>
    <col min="44" max="44" width="1.4140625" style="244" customWidth="1"/>
    <col min="45" max="45" width="9" style="314" hidden="1" customWidth="1"/>
    <col min="46" max="53" width="9" style="314" customWidth="1"/>
    <col min="54" max="61" width="9" style="314" customWidth="1" outlineLevel="1"/>
    <col min="62" max="62" width="0.83203125" style="242" customWidth="1"/>
    <col min="63" max="63" width="12.83203125" style="241" customWidth="1"/>
    <col min="64" max="79" width="17" style="241" customWidth="1"/>
    <col min="80" max="16384" width="9.1640625" style="241"/>
  </cols>
  <sheetData>
    <row r="1" spans="1:79" ht="12" customHeight="1" thickBot="1">
      <c r="I1" s="243">
        <v>0</v>
      </c>
      <c r="J1" s="243">
        <f>J23-'[1]MoDi Initiatives'!G3</f>
        <v>0</v>
      </c>
      <c r="K1" s="243">
        <f>K23-'[1]MoDi Initiatives'!H3</f>
        <v>0</v>
      </c>
      <c r="L1" s="243">
        <f>L23-'[1]MoDi Initiatives'!I3</f>
        <v>0</v>
      </c>
      <c r="M1" s="243">
        <f>M23-'[1]MoDi Initiatives'!J3</f>
        <v>0</v>
      </c>
      <c r="N1" s="243">
        <f>N23-'[1]MoDi Initiatives'!K3</f>
        <v>0</v>
      </c>
      <c r="O1" s="243">
        <f>O23-'[1]MoDi Initiatives'!L3</f>
        <v>9.7544595697741654E-3</v>
      </c>
      <c r="P1" s="243">
        <f>P23-'[1]MoDi Initiatives'!M3</f>
        <v>1.7418977157790394E-2</v>
      </c>
      <c r="Q1" s="243">
        <f>Q23-'[1]MoDi Initiatives'!N3</f>
        <v>3.6927896297338614E-2</v>
      </c>
      <c r="R1" s="243">
        <f>R23-'[1]MoDi Initiatives'!O3</f>
        <v>5.1298866774868945E-2</v>
      </c>
      <c r="S1" s="243">
        <f>S23-'[1]MoDi Initiatives'!P3</f>
        <v>5.1298866774868945E-2</v>
      </c>
      <c r="T1" s="243">
        <f>T23-'[1]MoDi Initiatives'!Q3</f>
        <v>5.1298866774868945E-2</v>
      </c>
      <c r="U1" s="243">
        <f>U23-'[1]MoDi Initiatives'!R3</f>
        <v>5.1298866774868945E-2</v>
      </c>
      <c r="V1" s="243">
        <f>V23-'[1]MoDi Initiatives'!S3</f>
        <v>5.1298866774868945E-2</v>
      </c>
      <c r="W1" s="243">
        <f>W23-'[1]MoDi Initiatives'!T3</f>
        <v>5.1298866774868945E-2</v>
      </c>
      <c r="X1" s="243">
        <f>X23-'[1]MoDi Initiatives'!U3</f>
        <v>5.1298866774868945E-2</v>
      </c>
      <c r="Y1" s="243">
        <f>Y23-'[1]MoDi Initiatives'!V3</f>
        <v>5.1298866774868945E-2</v>
      </c>
      <c r="AA1" s="243">
        <f>AA23-'[1]MoDi Initiatives'!F29</f>
        <v>0</v>
      </c>
      <c r="AB1" s="243">
        <f>AB23-'[1]MoDi Initiatives'!G29</f>
        <v>0</v>
      </c>
      <c r="AC1" s="243">
        <f>AC23-'[1]MoDi Initiatives'!H29</f>
        <v>1.7467878003607495E-4</v>
      </c>
      <c r="AD1" s="243">
        <f>AD23-'[1]MoDi Initiatives'!I29</f>
        <v>1.7467878003585291E-4</v>
      </c>
      <c r="AE1" s="243">
        <f>AE23-'[1]MoDi Initiatives'!J29</f>
        <v>1.7467878003585291E-4</v>
      </c>
      <c r="AF1" s="243">
        <f>AF23-'[1]MoDi Initiatives'!K29</f>
        <v>1.7467878003585291E-4</v>
      </c>
      <c r="AG1" s="243">
        <f>AG23-'[1]MoDi Initiatives'!L29</f>
        <v>1.7467878003585291E-4</v>
      </c>
      <c r="AH1" s="243">
        <f>AH23-'[1]MoDi Initiatives'!M29</f>
        <v>8.3788517638527793E-4</v>
      </c>
      <c r="AI1" s="243">
        <f>AI23-'[1]MoDi Initiatives'!N29</f>
        <v>1.5027877175181059E-3</v>
      </c>
      <c r="AJ1" s="243">
        <f>AJ23-'[1]MoDi Initiatives'!O29</f>
        <v>3.2939409756843618E-3</v>
      </c>
      <c r="AK1" s="243">
        <f>AK23-'[1]MoDi Initiatives'!P29</f>
        <v>1.1965670260764449E-2</v>
      </c>
      <c r="AL1" s="243">
        <f>AL23-'[1]MoDi Initiatives'!Q29</f>
        <v>1.2395842237793553E-2</v>
      </c>
      <c r="AM1" s="243">
        <f>AM23-'[1]MoDi Initiatives'!R29</f>
        <v>2.922534917975339E-3</v>
      </c>
      <c r="AN1" s="243">
        <f>AN23-'[1]MoDi Initiatives'!S29</f>
        <v>2.922534917975339E-3</v>
      </c>
      <c r="AO1" s="243">
        <f>AO23-'[1]MoDi Initiatives'!T29</f>
        <v>2.922534917975339E-3</v>
      </c>
      <c r="AP1" s="243">
        <f>AP23-'[1]MoDi Initiatives'!U29</f>
        <v>2.922534917975339E-3</v>
      </c>
      <c r="AQ1" s="243">
        <f>AQ23-'[1]MoDi Initiatives'!V29</f>
        <v>2.922534917975339E-3</v>
      </c>
      <c r="AS1" s="245"/>
      <c r="AT1" s="246"/>
      <c r="AU1" s="246"/>
      <c r="AV1" s="246"/>
      <c r="AW1" s="246"/>
      <c r="AX1" s="246"/>
      <c r="AY1" s="246"/>
      <c r="AZ1" s="246"/>
      <c r="BA1" s="246"/>
      <c r="BB1" s="246"/>
      <c r="BC1" s="246"/>
      <c r="BD1" s="246"/>
      <c r="BE1" s="246"/>
      <c r="BF1" s="246"/>
      <c r="BG1" s="246"/>
      <c r="BH1" s="246"/>
      <c r="BI1" s="246"/>
      <c r="BJ1" s="247">
        <f t="shared" ref="BJ1" si="0">BJ5-BJ6-BJ7</f>
        <v>0</v>
      </c>
    </row>
    <row r="2" spans="1:79" s="259" customFormat="1" ht="12" customHeight="1">
      <c r="A2" s="248" t="s">
        <v>0</v>
      </c>
      <c r="B2" s="249" t="s">
        <v>1</v>
      </c>
      <c r="C2" s="250" t="s">
        <v>2</v>
      </c>
      <c r="D2" s="251" t="s">
        <v>3</v>
      </c>
      <c r="E2" s="252"/>
      <c r="F2" s="253"/>
      <c r="G2" s="254"/>
      <c r="H2" s="255"/>
      <c r="I2" s="256" t="s">
        <v>4</v>
      </c>
      <c r="J2" s="256" t="s">
        <v>4</v>
      </c>
      <c r="K2" s="256" t="s">
        <v>4</v>
      </c>
      <c r="L2" s="256" t="s">
        <v>4</v>
      </c>
      <c r="M2" s="256" t="s">
        <v>4</v>
      </c>
      <c r="N2" s="256" t="s">
        <v>4</v>
      </c>
      <c r="O2" s="256" t="s">
        <v>4</v>
      </c>
      <c r="P2" s="256" t="s">
        <v>4</v>
      </c>
      <c r="Q2" s="256" t="s">
        <v>4</v>
      </c>
      <c r="R2" s="256" t="s">
        <v>4</v>
      </c>
      <c r="S2" s="256" t="s">
        <v>4</v>
      </c>
      <c r="T2" s="256" t="s">
        <v>4</v>
      </c>
      <c r="U2" s="256" t="s">
        <v>4</v>
      </c>
      <c r="V2" s="256" t="s">
        <v>4</v>
      </c>
      <c r="W2" s="256" t="s">
        <v>4</v>
      </c>
      <c r="X2" s="256" t="s">
        <v>4</v>
      </c>
      <c r="Y2" s="256" t="s">
        <v>4</v>
      </c>
      <c r="Z2" s="255"/>
      <c r="AA2" s="256" t="s">
        <v>5</v>
      </c>
      <c r="AB2" s="256" t="s">
        <v>5</v>
      </c>
      <c r="AC2" s="256" t="s">
        <v>5</v>
      </c>
      <c r="AD2" s="256" t="s">
        <v>5</v>
      </c>
      <c r="AE2" s="256" t="s">
        <v>5</v>
      </c>
      <c r="AF2" s="256" t="s">
        <v>5</v>
      </c>
      <c r="AG2" s="256" t="s">
        <v>5</v>
      </c>
      <c r="AH2" s="256" t="s">
        <v>5</v>
      </c>
      <c r="AI2" s="256" t="s">
        <v>5</v>
      </c>
      <c r="AJ2" s="256" t="s">
        <v>5</v>
      </c>
      <c r="AK2" s="256" t="s">
        <v>5</v>
      </c>
      <c r="AL2" s="256" t="s">
        <v>5</v>
      </c>
      <c r="AM2" s="256" t="s">
        <v>5</v>
      </c>
      <c r="AN2" s="256" t="s">
        <v>5</v>
      </c>
      <c r="AO2" s="256" t="s">
        <v>5</v>
      </c>
      <c r="AP2" s="256" t="s">
        <v>5</v>
      </c>
      <c r="AQ2" s="256" t="s">
        <v>5</v>
      </c>
      <c r="AR2" s="257"/>
      <c r="AS2" s="256" t="s">
        <v>6</v>
      </c>
      <c r="AT2" s="256" t="s">
        <v>6</v>
      </c>
      <c r="AU2" s="256" t="s">
        <v>6</v>
      </c>
      <c r="AV2" s="256" t="s">
        <v>6</v>
      </c>
      <c r="AW2" s="256" t="s">
        <v>6</v>
      </c>
      <c r="AX2" s="256" t="s">
        <v>6</v>
      </c>
      <c r="AY2" s="256" t="s">
        <v>6</v>
      </c>
      <c r="AZ2" s="256" t="s">
        <v>6</v>
      </c>
      <c r="BA2" s="256" t="s">
        <v>6</v>
      </c>
      <c r="BB2" s="256" t="s">
        <v>6</v>
      </c>
      <c r="BC2" s="256" t="s">
        <v>6</v>
      </c>
      <c r="BD2" s="256" t="s">
        <v>6</v>
      </c>
      <c r="BE2" s="256" t="s">
        <v>6</v>
      </c>
      <c r="BF2" s="256" t="s">
        <v>6</v>
      </c>
      <c r="BG2" s="256" t="s">
        <v>6</v>
      </c>
      <c r="BH2" s="256" t="s">
        <v>6</v>
      </c>
      <c r="BI2" s="256" t="s">
        <v>6</v>
      </c>
      <c r="BJ2" s="255"/>
      <c r="BK2" s="258" t="s">
        <v>7</v>
      </c>
      <c r="BL2" s="258" t="s">
        <v>7</v>
      </c>
      <c r="BM2" s="258" t="s">
        <v>7</v>
      </c>
      <c r="BN2" s="258" t="s">
        <v>7</v>
      </c>
      <c r="BO2" s="258" t="s">
        <v>7</v>
      </c>
      <c r="BP2" s="258" t="s">
        <v>7</v>
      </c>
      <c r="BQ2" s="258" t="s">
        <v>7</v>
      </c>
      <c r="BR2" s="258" t="s">
        <v>7</v>
      </c>
      <c r="BS2" s="258" t="s">
        <v>7</v>
      </c>
      <c r="BT2" s="258" t="s">
        <v>7</v>
      </c>
      <c r="BU2" s="258" t="s">
        <v>7</v>
      </c>
      <c r="BV2" s="258" t="s">
        <v>7</v>
      </c>
      <c r="BW2" s="258" t="s">
        <v>7</v>
      </c>
      <c r="BX2" s="258" t="s">
        <v>7</v>
      </c>
      <c r="BY2" s="258" t="s">
        <v>7</v>
      </c>
      <c r="BZ2" s="258" t="s">
        <v>7</v>
      </c>
      <c r="CA2" s="258" t="s">
        <v>7</v>
      </c>
    </row>
    <row r="3" spans="1:79" ht="12" customHeight="1" thickBot="1">
      <c r="A3" s="260"/>
      <c r="B3" s="261" t="s">
        <v>8</v>
      </c>
      <c r="C3" s="262" t="s">
        <v>9</v>
      </c>
      <c r="D3" s="263" t="s">
        <v>10</v>
      </c>
      <c r="E3" s="252"/>
      <c r="H3" s="264"/>
      <c r="I3" s="265" t="s">
        <v>11</v>
      </c>
      <c r="J3" s="265" t="s">
        <v>11</v>
      </c>
      <c r="K3" s="265" t="s">
        <v>11</v>
      </c>
      <c r="L3" s="265" t="s">
        <v>11</v>
      </c>
      <c r="M3" s="265" t="s">
        <v>11</v>
      </c>
      <c r="N3" s="265" t="s">
        <v>11</v>
      </c>
      <c r="O3" s="265" t="s">
        <v>11</v>
      </c>
      <c r="P3" s="265" t="s">
        <v>11</v>
      </c>
      <c r="Q3" s="265" t="s">
        <v>11</v>
      </c>
      <c r="R3" s="266" t="s">
        <v>12</v>
      </c>
      <c r="S3" s="266" t="s">
        <v>12</v>
      </c>
      <c r="T3" s="266" t="s">
        <v>12</v>
      </c>
      <c r="U3" s="266" t="s">
        <v>12</v>
      </c>
      <c r="V3" s="266" t="s">
        <v>12</v>
      </c>
      <c r="W3" s="266" t="s">
        <v>12</v>
      </c>
      <c r="X3" s="266" t="s">
        <v>12</v>
      </c>
      <c r="Y3" s="266" t="s">
        <v>12</v>
      </c>
      <c r="AA3" s="265" t="s">
        <v>11</v>
      </c>
      <c r="AB3" s="265" t="s">
        <v>11</v>
      </c>
      <c r="AC3" s="265" t="s">
        <v>11</v>
      </c>
      <c r="AD3" s="265" t="s">
        <v>11</v>
      </c>
      <c r="AE3" s="265" t="s">
        <v>11</v>
      </c>
      <c r="AF3" s="265" t="s">
        <v>11</v>
      </c>
      <c r="AG3" s="265" t="s">
        <v>11</v>
      </c>
      <c r="AH3" s="265" t="s">
        <v>11</v>
      </c>
      <c r="AI3" s="265" t="s">
        <v>11</v>
      </c>
      <c r="AJ3" s="266" t="s">
        <v>12</v>
      </c>
      <c r="AK3" s="266" t="s">
        <v>12</v>
      </c>
      <c r="AL3" s="266" t="s">
        <v>12</v>
      </c>
      <c r="AM3" s="266" t="s">
        <v>12</v>
      </c>
      <c r="AN3" s="266" t="s">
        <v>12</v>
      </c>
      <c r="AO3" s="266" t="s">
        <v>12</v>
      </c>
      <c r="AP3" s="266" t="s">
        <v>12</v>
      </c>
      <c r="AQ3" s="266" t="s">
        <v>12</v>
      </c>
      <c r="AS3" s="265" t="s">
        <v>11</v>
      </c>
      <c r="AT3" s="265" t="s">
        <v>11</v>
      </c>
      <c r="AU3" s="265" t="s">
        <v>11</v>
      </c>
      <c r="AV3" s="265" t="s">
        <v>11</v>
      </c>
      <c r="AW3" s="265" t="s">
        <v>11</v>
      </c>
      <c r="AX3" s="265" t="s">
        <v>11</v>
      </c>
      <c r="AY3" s="265" t="s">
        <v>11</v>
      </c>
      <c r="AZ3" s="265" t="s">
        <v>11</v>
      </c>
      <c r="BA3" s="265" t="s">
        <v>11</v>
      </c>
      <c r="BB3" s="266" t="s">
        <v>12</v>
      </c>
      <c r="BC3" s="266" t="s">
        <v>12</v>
      </c>
      <c r="BD3" s="266" t="s">
        <v>12</v>
      </c>
      <c r="BE3" s="266" t="s">
        <v>12</v>
      </c>
      <c r="BF3" s="266" t="s">
        <v>12</v>
      </c>
      <c r="BG3" s="266" t="s">
        <v>12</v>
      </c>
      <c r="BH3" s="266" t="s">
        <v>12</v>
      </c>
      <c r="BI3" s="266" t="s">
        <v>12</v>
      </c>
      <c r="BK3" s="265" t="s">
        <v>11</v>
      </c>
      <c r="BL3" s="265" t="s">
        <v>11</v>
      </c>
      <c r="BM3" s="265" t="s">
        <v>11</v>
      </c>
      <c r="BN3" s="265" t="s">
        <v>11</v>
      </c>
      <c r="BO3" s="265" t="s">
        <v>11</v>
      </c>
      <c r="BP3" s="267" t="s">
        <v>11</v>
      </c>
      <c r="BQ3" s="267" t="s">
        <v>11</v>
      </c>
      <c r="BR3" s="267" t="s">
        <v>11</v>
      </c>
      <c r="BS3" s="267" t="s">
        <v>11</v>
      </c>
      <c r="BT3" s="268" t="s">
        <v>12</v>
      </c>
      <c r="BU3" s="268" t="s">
        <v>12</v>
      </c>
      <c r="BV3" s="268" t="s">
        <v>12</v>
      </c>
      <c r="BW3" s="268" t="s">
        <v>12</v>
      </c>
      <c r="BX3" s="268" t="s">
        <v>12</v>
      </c>
      <c r="BY3" s="268" t="s">
        <v>12</v>
      </c>
      <c r="BZ3" s="268" t="s">
        <v>12</v>
      </c>
      <c r="CA3" s="268" t="s">
        <v>12</v>
      </c>
    </row>
    <row r="4" spans="1:79" ht="27.75" customHeight="1">
      <c r="A4" s="259" t="s">
        <v>13</v>
      </c>
      <c r="B4" s="269"/>
      <c r="C4" s="259" t="s">
        <v>14</v>
      </c>
      <c r="D4" s="259" t="s">
        <v>15</v>
      </c>
      <c r="E4" s="259" t="s">
        <v>16</v>
      </c>
      <c r="F4" s="270" t="s">
        <v>17</v>
      </c>
      <c r="G4" s="269" t="s">
        <v>18</v>
      </c>
      <c r="H4" s="271"/>
      <c r="I4" s="271">
        <v>45444</v>
      </c>
      <c r="J4" s="271">
        <v>45474</v>
      </c>
      <c r="K4" s="271">
        <v>45505</v>
      </c>
      <c r="L4" s="271">
        <v>45536</v>
      </c>
      <c r="M4" s="271">
        <v>45566</v>
      </c>
      <c r="N4" s="272">
        <v>45597</v>
      </c>
      <c r="O4" s="272">
        <v>45627</v>
      </c>
      <c r="P4" s="272">
        <v>45658</v>
      </c>
      <c r="Q4" s="273">
        <v>45689</v>
      </c>
      <c r="R4" s="272">
        <v>45717</v>
      </c>
      <c r="S4" s="272">
        <v>45748</v>
      </c>
      <c r="T4" s="272">
        <v>45778</v>
      </c>
      <c r="U4" s="272">
        <v>45809</v>
      </c>
      <c r="V4" s="272">
        <v>45839</v>
      </c>
      <c r="W4" s="272">
        <v>45870</v>
      </c>
      <c r="X4" s="272">
        <v>45901</v>
      </c>
      <c r="Y4" s="272">
        <v>45931</v>
      </c>
      <c r="AA4" s="271">
        <v>45444</v>
      </c>
      <c r="AB4" s="271">
        <v>45474</v>
      </c>
      <c r="AC4" s="271">
        <v>45505</v>
      </c>
      <c r="AD4" s="271">
        <v>45536</v>
      </c>
      <c r="AE4" s="271">
        <v>45566</v>
      </c>
      <c r="AF4" s="272">
        <v>45597</v>
      </c>
      <c r="AG4" s="272">
        <v>45627</v>
      </c>
      <c r="AH4" s="272">
        <v>45658</v>
      </c>
      <c r="AI4" s="273">
        <v>45689</v>
      </c>
      <c r="AJ4" s="272">
        <v>45717</v>
      </c>
      <c r="AK4" s="272">
        <v>45748</v>
      </c>
      <c r="AL4" s="272">
        <v>45778</v>
      </c>
      <c r="AM4" s="272">
        <v>45809</v>
      </c>
      <c r="AN4" s="272">
        <v>45839</v>
      </c>
      <c r="AO4" s="272">
        <v>45870</v>
      </c>
      <c r="AP4" s="272">
        <v>45901</v>
      </c>
      <c r="AQ4" s="272">
        <v>45931</v>
      </c>
      <c r="AR4" s="242"/>
      <c r="AS4" s="271">
        <v>45444</v>
      </c>
      <c r="AT4" s="271">
        <v>45474</v>
      </c>
      <c r="AU4" s="271">
        <v>45505</v>
      </c>
      <c r="AV4" s="271">
        <v>45536</v>
      </c>
      <c r="AW4" s="271">
        <v>45566</v>
      </c>
      <c r="AX4" s="272">
        <v>45597</v>
      </c>
      <c r="AY4" s="272">
        <v>45627</v>
      </c>
      <c r="AZ4" s="272">
        <v>45658</v>
      </c>
      <c r="BA4" s="273">
        <v>45689</v>
      </c>
      <c r="BB4" s="272">
        <v>45717</v>
      </c>
      <c r="BC4" s="272">
        <v>45748</v>
      </c>
      <c r="BD4" s="272">
        <v>45778</v>
      </c>
      <c r="BE4" s="272">
        <v>45809</v>
      </c>
      <c r="BF4" s="272">
        <v>45839</v>
      </c>
      <c r="BG4" s="272">
        <v>45870</v>
      </c>
      <c r="BH4" s="272">
        <v>45901</v>
      </c>
      <c r="BI4" s="272">
        <v>45931</v>
      </c>
      <c r="BK4" s="271">
        <v>45444</v>
      </c>
      <c r="BL4" s="271">
        <v>45474</v>
      </c>
      <c r="BM4" s="271">
        <v>45505</v>
      </c>
      <c r="BN4" s="271">
        <v>45536</v>
      </c>
      <c r="BO4" s="271">
        <v>45566</v>
      </c>
      <c r="BP4" s="272">
        <v>45597</v>
      </c>
      <c r="BQ4" s="272">
        <v>45627</v>
      </c>
      <c r="BR4" s="272">
        <v>45658</v>
      </c>
      <c r="BS4" s="274">
        <v>45689</v>
      </c>
      <c r="BT4" s="272">
        <v>45717</v>
      </c>
      <c r="BU4" s="272">
        <v>45748</v>
      </c>
      <c r="BV4" s="272">
        <v>45778</v>
      </c>
      <c r="BW4" s="272">
        <v>45809</v>
      </c>
      <c r="BX4" s="272">
        <v>45839</v>
      </c>
      <c r="BY4" s="272">
        <v>45870</v>
      </c>
      <c r="BZ4" s="272">
        <v>45901</v>
      </c>
      <c r="CA4" s="272">
        <v>45931</v>
      </c>
    </row>
    <row r="5" spans="1:79" s="285" customFormat="1" ht="12" customHeight="1" outlineLevel="1">
      <c r="A5" s="275" t="s">
        <v>19</v>
      </c>
      <c r="B5" s="275" t="s">
        <v>20</v>
      </c>
      <c r="C5" s="276">
        <f>AI5-Q5</f>
        <v>5.6189583612316074E-3</v>
      </c>
      <c r="D5" s="277">
        <f>AQ5-Y5-C5</f>
        <v>3.3265152488430982E-2</v>
      </c>
      <c r="E5" s="277">
        <f>AQ5-Y5</f>
        <v>3.888411084966259E-2</v>
      </c>
      <c r="F5" s="278"/>
      <c r="G5" s="278"/>
      <c r="H5" s="279"/>
      <c r="I5" s="276">
        <v>0.95700927376046097</v>
      </c>
      <c r="J5" s="280">
        <f>+I5+J6+J7</f>
        <v>0.94885509675610991</v>
      </c>
      <c r="K5" s="280">
        <f t="shared" ref="K5:Y5" si="1">+J5+K6+K7</f>
        <v>0.9362433029893803</v>
      </c>
      <c r="L5" s="280">
        <f t="shared" si="1"/>
        <v>0.9362433029893803</v>
      </c>
      <c r="M5" s="280">
        <f t="shared" si="1"/>
        <v>0.92857878540136407</v>
      </c>
      <c r="N5" s="280">
        <f t="shared" si="1"/>
        <v>0.94438249869582247</v>
      </c>
      <c r="O5" s="280">
        <f t="shared" si="1"/>
        <v>0.94438249869582247</v>
      </c>
      <c r="P5" s="280">
        <f t="shared" si="1"/>
        <v>0.91660502292460044</v>
      </c>
      <c r="Q5" s="280">
        <f t="shared" si="1"/>
        <v>0.91660502292460044</v>
      </c>
      <c r="R5" s="280">
        <f t="shared" si="1"/>
        <v>0.90702437593958019</v>
      </c>
      <c r="S5" s="280">
        <f t="shared" si="1"/>
        <v>0.90702437593958019</v>
      </c>
      <c r="T5" s="280">
        <f t="shared" si="1"/>
        <v>0.89935985835156396</v>
      </c>
      <c r="U5" s="280">
        <f t="shared" si="1"/>
        <v>0.89935985835156396</v>
      </c>
      <c r="V5" s="280">
        <f t="shared" si="1"/>
        <v>0.8925103496679091</v>
      </c>
      <c r="W5" s="280">
        <f t="shared" si="1"/>
        <v>0.8925103496679091</v>
      </c>
      <c r="X5" s="280">
        <f t="shared" si="1"/>
        <v>0.8925103496679091</v>
      </c>
      <c r="Y5" s="280">
        <f t="shared" si="1"/>
        <v>0.8925103496679091</v>
      </c>
      <c r="Z5" s="279"/>
      <c r="AA5" s="276">
        <f>'[1]MoDi Initiatives'!F325</f>
        <v>0.95700927376046108</v>
      </c>
      <c r="AB5" s="280">
        <f>+AA5+AB6+AB7</f>
        <v>0.941885558586951</v>
      </c>
      <c r="AC5" s="280">
        <f t="shared" ref="AC5:AR5" si="2">+AB5+AC6+AC7</f>
        <v>0.94749609008708036</v>
      </c>
      <c r="AD5" s="280">
        <f t="shared" si="2"/>
        <v>0.93974533205304056</v>
      </c>
      <c r="AE5" s="280">
        <f t="shared" si="2"/>
        <v>0.93974533205304056</v>
      </c>
      <c r="AF5" s="280">
        <f t="shared" si="2"/>
        <v>0.93680826272948936</v>
      </c>
      <c r="AG5" s="280">
        <f t="shared" si="2"/>
        <v>0.93889052380666749</v>
      </c>
      <c r="AH5" s="280">
        <f t="shared" si="2"/>
        <v>0.93844867613539174</v>
      </c>
      <c r="AI5" s="280">
        <f t="shared" si="2"/>
        <v>0.92222398128583205</v>
      </c>
      <c r="AJ5" s="281">
        <f t="shared" si="2"/>
        <v>0.9222649296339327</v>
      </c>
      <c r="AK5" s="280">
        <f>+AJ5+AK6+AK7</f>
        <v>0.93796200069112778</v>
      </c>
      <c r="AL5" s="280">
        <f t="shared" si="2"/>
        <v>0.93029748310311156</v>
      </c>
      <c r="AM5" s="280">
        <f t="shared" si="2"/>
        <v>0.933786352438848</v>
      </c>
      <c r="AN5" s="280">
        <f t="shared" si="2"/>
        <v>0.93139446051757169</v>
      </c>
      <c r="AO5" s="280">
        <f t="shared" si="2"/>
        <v>0.93139446051757169</v>
      </c>
      <c r="AP5" s="280">
        <f t="shared" si="2"/>
        <v>0.93139446051757169</v>
      </c>
      <c r="AQ5" s="282">
        <f>+AP5+AQ6+AQ7</f>
        <v>0.93139446051757169</v>
      </c>
      <c r="AR5" s="283" t="e">
        <f t="shared" si="2"/>
        <v>#VALUE!</v>
      </c>
      <c r="AS5" s="284">
        <f>I5-AA5</f>
        <v>0</v>
      </c>
      <c r="AT5" s="284">
        <f t="shared" ref="AT5:BI16" si="3">AB5-J5</f>
        <v>-6.9695381691589064E-3</v>
      </c>
      <c r="AU5" s="284">
        <f t="shared" si="3"/>
        <v>1.1252787097700057E-2</v>
      </c>
      <c r="AV5" s="284">
        <f t="shared" si="3"/>
        <v>3.5020290636602613E-3</v>
      </c>
      <c r="AW5" s="284">
        <f t="shared" si="3"/>
        <v>1.116654665167649E-2</v>
      </c>
      <c r="AX5" s="284">
        <f t="shared" si="3"/>
        <v>-7.5742359663331094E-3</v>
      </c>
      <c r="AY5" s="284">
        <f t="shared" si="3"/>
        <v>-5.4919748891549824E-3</v>
      </c>
      <c r="AZ5" s="284">
        <f t="shared" si="3"/>
        <v>2.1843653210791292E-2</v>
      </c>
      <c r="BA5" s="284">
        <f t="shared" si="3"/>
        <v>5.6189583612316074E-3</v>
      </c>
      <c r="BB5" s="284">
        <f>AJ5-R5</f>
        <v>1.524055369435251E-2</v>
      </c>
      <c r="BC5" s="284">
        <f t="shared" si="3"/>
        <v>3.0937624751547599E-2</v>
      </c>
      <c r="BD5" s="284">
        <f t="shared" si="3"/>
        <v>3.0937624751547599E-2</v>
      </c>
      <c r="BE5" s="284">
        <f t="shared" si="3"/>
        <v>3.4426494087284043E-2</v>
      </c>
      <c r="BF5" s="284">
        <f t="shared" si="3"/>
        <v>3.888411084966259E-2</v>
      </c>
      <c r="BG5" s="284">
        <f t="shared" si="3"/>
        <v>3.888411084966259E-2</v>
      </c>
      <c r="BH5" s="284">
        <f t="shared" si="3"/>
        <v>3.888411084966259E-2</v>
      </c>
      <c r="BI5" s="284">
        <f t="shared" si="3"/>
        <v>3.888411084966259E-2</v>
      </c>
      <c r="BJ5" s="279"/>
    </row>
    <row r="6" spans="1:79" s="285" customFormat="1" ht="12" customHeight="1" outlineLevel="1">
      <c r="A6" s="275" t="s">
        <v>19</v>
      </c>
      <c r="B6" s="275" t="s">
        <v>21</v>
      </c>
      <c r="C6" s="276">
        <f>SUM(AT6:BA6)</f>
        <v>2.1422671655689906E-2</v>
      </c>
      <c r="D6" s="277">
        <f>SUM(BB6:BI6)</f>
        <v>1.6186954432203918E-2</v>
      </c>
      <c r="E6" s="277">
        <f>+D6+C6</f>
        <v>3.7609626087893824E-2</v>
      </c>
      <c r="F6" s="278"/>
      <c r="G6" s="278"/>
      <c r="H6" s="279"/>
      <c r="I6" s="280"/>
      <c r="J6" s="280">
        <f t="shared" ref="J6:Y6" si="4">SUBTOTAL(9,J8:J13)</f>
        <v>-8.1541770043510684E-3</v>
      </c>
      <c r="K6" s="280">
        <f t="shared" si="4"/>
        <v>-1.2611793766729653E-2</v>
      </c>
      <c r="L6" s="280">
        <f t="shared" si="4"/>
        <v>0</v>
      </c>
      <c r="M6" s="280">
        <f t="shared" si="4"/>
        <v>-7.664517588016187E-3</v>
      </c>
      <c r="N6" s="280">
        <f t="shared" si="4"/>
        <v>0</v>
      </c>
      <c r="O6" s="280">
        <f t="shared" si="4"/>
        <v>0</v>
      </c>
      <c r="P6" s="280">
        <f t="shared" si="4"/>
        <v>-2.7777475771222061E-2</v>
      </c>
      <c r="Q6" s="280">
        <f t="shared" si="4"/>
        <v>0</v>
      </c>
      <c r="R6" s="280">
        <f t="shared" si="4"/>
        <v>-9.5806469850202337E-3</v>
      </c>
      <c r="S6" s="280">
        <f t="shared" si="4"/>
        <v>0</v>
      </c>
      <c r="T6" s="280">
        <f t="shared" si="4"/>
        <v>-7.664517588016187E-3</v>
      </c>
      <c r="U6" s="280">
        <f t="shared" si="4"/>
        <v>0</v>
      </c>
      <c r="V6" s="280">
        <f t="shared" si="4"/>
        <v>-6.8495086836548981E-3</v>
      </c>
      <c r="W6" s="280">
        <f t="shared" si="4"/>
        <v>0</v>
      </c>
      <c r="X6" s="280">
        <f t="shared" si="4"/>
        <v>0</v>
      </c>
      <c r="Y6" s="280">
        <f t="shared" si="4"/>
        <v>0</v>
      </c>
      <c r="Z6" s="279"/>
      <c r="AB6" s="280">
        <f>SUBTOTAL(9,AB8:AB13)</f>
        <v>-1.5123715173510029E-2</v>
      </c>
      <c r="AC6" s="280">
        <f t="shared" ref="AC6:AQ6" si="5">SUBTOTAL(9,AC8:AC13)</f>
        <v>5.6105315001293782E-3</v>
      </c>
      <c r="AD6" s="280">
        <f t="shared" si="5"/>
        <v>-7.7507580340398482E-3</v>
      </c>
      <c r="AE6" s="280">
        <f t="shared" si="5"/>
        <v>0</v>
      </c>
      <c r="AF6" s="280">
        <f t="shared" si="5"/>
        <v>-2.9370693235512232E-3</v>
      </c>
      <c r="AG6" s="280">
        <f t="shared" si="5"/>
        <v>2.0822610771781659E-3</v>
      </c>
      <c r="AH6" s="280">
        <f t="shared" si="5"/>
        <v>-4.4184767127577811E-4</v>
      </c>
      <c r="AI6" s="280">
        <f t="shared" si="5"/>
        <v>-1.6224694849559729E-2</v>
      </c>
      <c r="AJ6" s="280">
        <f t="shared" si="5"/>
        <v>4.0948348100648853E-5</v>
      </c>
      <c r="AK6" s="280">
        <f>SUBTOTAL(9,AK8:AK13)</f>
        <v>2.1077423367044518E-3</v>
      </c>
      <c r="AL6" s="280">
        <f t="shared" si="5"/>
        <v>-7.664517588016187E-3</v>
      </c>
      <c r="AM6" s="280">
        <f t="shared" si="5"/>
        <v>0</v>
      </c>
      <c r="AN6" s="280">
        <f>SUBTOTAL(9,AN8:AN13)</f>
        <v>-2.3918919212763136E-3</v>
      </c>
      <c r="AO6" s="280">
        <f t="shared" si="5"/>
        <v>0</v>
      </c>
      <c r="AP6" s="280">
        <f t="shared" si="5"/>
        <v>0</v>
      </c>
      <c r="AQ6" s="280">
        <f t="shared" si="5"/>
        <v>0</v>
      </c>
      <c r="AR6" s="279"/>
      <c r="AS6" s="284">
        <f>I6-AA6</f>
        <v>0</v>
      </c>
      <c r="AT6" s="284">
        <f t="shared" si="3"/>
        <v>-6.9695381691589602E-3</v>
      </c>
      <c r="AU6" s="284">
        <f t="shared" si="3"/>
        <v>1.8222325266859032E-2</v>
      </c>
      <c r="AV6" s="284">
        <f t="shared" si="3"/>
        <v>-7.7507580340398482E-3</v>
      </c>
      <c r="AW6" s="284">
        <f t="shared" si="3"/>
        <v>7.664517588016187E-3</v>
      </c>
      <c r="AX6" s="284">
        <f t="shared" si="3"/>
        <v>-2.9370693235512232E-3</v>
      </c>
      <c r="AY6" s="284">
        <f t="shared" si="3"/>
        <v>2.0822610771781659E-3</v>
      </c>
      <c r="AZ6" s="284">
        <f t="shared" si="3"/>
        <v>2.7335628099946285E-2</v>
      </c>
      <c r="BA6" s="284">
        <f t="shared" si="3"/>
        <v>-1.6224694849559729E-2</v>
      </c>
      <c r="BB6" s="284">
        <f t="shared" si="3"/>
        <v>9.6215953331208817E-3</v>
      </c>
      <c r="BC6" s="284">
        <f t="shared" si="3"/>
        <v>2.1077423367044518E-3</v>
      </c>
      <c r="BD6" s="284">
        <f t="shared" si="3"/>
        <v>0</v>
      </c>
      <c r="BE6" s="284">
        <f t="shared" si="3"/>
        <v>0</v>
      </c>
      <c r="BF6" s="284">
        <f t="shared" si="3"/>
        <v>4.4576167623785849E-3</v>
      </c>
      <c r="BG6" s="284">
        <f t="shared" si="3"/>
        <v>0</v>
      </c>
      <c r="BH6" s="284">
        <f t="shared" si="3"/>
        <v>0</v>
      </c>
      <c r="BI6" s="284">
        <f t="shared" si="3"/>
        <v>0</v>
      </c>
      <c r="BJ6" s="279"/>
    </row>
    <row r="7" spans="1:79" s="285" customFormat="1" ht="52" outlineLevel="1">
      <c r="A7" s="275" t="s">
        <v>19</v>
      </c>
      <c r="B7" s="275" t="s">
        <v>22</v>
      </c>
      <c r="C7" s="276">
        <f>SUM(AT7:BA7)</f>
        <v>-1.5803713294458427E-2</v>
      </c>
      <c r="D7" s="277">
        <f>SUM(BB7:BI7)</f>
        <v>1.7078198056227064E-2</v>
      </c>
      <c r="E7" s="277">
        <f>+D7+C7</f>
        <v>1.2744847617686371E-3</v>
      </c>
      <c r="F7" s="278"/>
      <c r="G7" s="275" t="s">
        <v>23</v>
      </c>
      <c r="H7" s="279"/>
      <c r="I7" s="280"/>
      <c r="J7" s="280">
        <f>SUMIFS('MoDi Initiatives'!H:H,'MoDi Initiatives'!$C:$C,'Gap Analysis update'!$B7,'MoDi Initiatives'!$A:$A,'Gap Analysis update'!$A7,'MoDi Initiatives'!$B:$B,'Gap Analysis update'!J$2)</f>
        <v>0</v>
      </c>
      <c r="K7" s="280">
        <f>SUMIFS('MoDi Initiatives'!I:I,'MoDi Initiatives'!$C:$C,'Gap Analysis update'!$B7,'MoDi Initiatives'!$A:$A,'Gap Analysis update'!$A7,'MoDi Initiatives'!$B:$B,'Gap Analysis update'!K$2)</f>
        <v>0</v>
      </c>
      <c r="L7" s="280">
        <f>SUMIFS('MoDi Initiatives'!J:J,'MoDi Initiatives'!$C:$C,'Gap Analysis update'!$B7,'MoDi Initiatives'!$A:$A,'Gap Analysis update'!$A7,'MoDi Initiatives'!$B:$B,'Gap Analysis update'!L$2)</f>
        <v>0</v>
      </c>
      <c r="M7" s="280">
        <f>SUMIFS('MoDi Initiatives'!K:K,'MoDi Initiatives'!$C:$C,'Gap Analysis update'!$B7,'MoDi Initiatives'!$A:$A,'Gap Analysis update'!$A7,'MoDi Initiatives'!$B:$B,'Gap Analysis update'!M$2)</f>
        <v>0</v>
      </c>
      <c r="N7" s="280">
        <f>SUMIFS('MoDi Initiatives'!L:L,'MoDi Initiatives'!$C:$C,'Gap Analysis update'!$B7,'MoDi Initiatives'!$A:$A,'Gap Analysis update'!$A7,'MoDi Initiatives'!$B:$B,'Gap Analysis update'!N$2)</f>
        <v>1.5803713294458427E-2</v>
      </c>
      <c r="O7" s="280">
        <f>SUMIFS('MoDi Initiatives'!M:M,'MoDi Initiatives'!$C:$C,'Gap Analysis update'!$B7,'MoDi Initiatives'!$A:$A,'Gap Analysis update'!$A7,'MoDi Initiatives'!$B:$B,'Gap Analysis update'!O$2)</f>
        <v>0</v>
      </c>
      <c r="P7" s="280">
        <f>SUMIFS('MoDi Initiatives'!N:N,'MoDi Initiatives'!$C:$C,'Gap Analysis update'!$B7,'MoDi Initiatives'!$A:$A,'Gap Analysis update'!$A7,'MoDi Initiatives'!$B:$B,'Gap Analysis update'!P$2)</f>
        <v>0</v>
      </c>
      <c r="Q7" s="280">
        <f>SUMIFS('MoDi Initiatives'!O:O,'MoDi Initiatives'!$C:$C,'Gap Analysis update'!$B7,'MoDi Initiatives'!$A:$A,'Gap Analysis update'!$A7,'MoDi Initiatives'!$B:$B,'Gap Analysis update'!Q$2)</f>
        <v>0</v>
      </c>
      <c r="R7" s="280">
        <f>SUMIFS('MoDi Initiatives'!P:P,'MoDi Initiatives'!$C:$C,'Gap Analysis update'!$B7,'MoDi Initiatives'!$A:$A,'Gap Analysis update'!$A7,'MoDi Initiatives'!$B:$B,'Gap Analysis update'!R$2)</f>
        <v>0</v>
      </c>
      <c r="S7" s="280">
        <f>SUMIFS('MoDi Initiatives'!Q:Q,'MoDi Initiatives'!$C:$C,'Gap Analysis update'!$B7,'MoDi Initiatives'!$A:$A,'Gap Analysis update'!$A7,'MoDi Initiatives'!$B:$B,'Gap Analysis update'!S$2)</f>
        <v>0</v>
      </c>
      <c r="T7" s="280">
        <f>SUMIFS('MoDi Initiatives'!R:R,'MoDi Initiatives'!$C:$C,'Gap Analysis update'!$B7,'MoDi Initiatives'!$A:$A,'Gap Analysis update'!$A7,'MoDi Initiatives'!$B:$B,'Gap Analysis update'!T$2)</f>
        <v>0</v>
      </c>
      <c r="U7" s="280">
        <f>SUMIFS('MoDi Initiatives'!S:S,'MoDi Initiatives'!$C:$C,'Gap Analysis update'!$B7,'MoDi Initiatives'!$A:$A,'Gap Analysis update'!$A7,'MoDi Initiatives'!$B:$B,'Gap Analysis update'!U$2)</f>
        <v>0</v>
      </c>
      <c r="V7" s="280">
        <f>SUMIFS('MoDi Initiatives'!T:T,'MoDi Initiatives'!$C:$C,'Gap Analysis update'!$B7,'MoDi Initiatives'!$A:$A,'Gap Analysis update'!$A7,'MoDi Initiatives'!$B:$B,'Gap Analysis update'!V$2)</f>
        <v>0</v>
      </c>
      <c r="W7" s="280">
        <f>SUMIFS('MoDi Initiatives'!U:U,'MoDi Initiatives'!$C:$C,'Gap Analysis update'!$B7,'MoDi Initiatives'!$A:$A,'Gap Analysis update'!$A7,'MoDi Initiatives'!$B:$B,'Gap Analysis update'!W$2)</f>
        <v>0</v>
      </c>
      <c r="X7" s="280">
        <f>SUMIFS('MoDi Initiatives'!V:V,'MoDi Initiatives'!$C:$C,'Gap Analysis update'!$B7,'MoDi Initiatives'!$A:$A,'Gap Analysis update'!$A7,'MoDi Initiatives'!$B:$B,'Gap Analysis update'!X$2)</f>
        <v>0</v>
      </c>
      <c r="Y7" s="280">
        <f>SUMIFS('MoDi Initiatives'!W:W,'MoDi Initiatives'!$C:$C,'Gap Analysis update'!$B7,'MoDi Initiatives'!$A:$A,'Gap Analysis update'!$A7,'MoDi Initiatives'!$B:$B,'Gap Analysis update'!Y$2)</f>
        <v>0</v>
      </c>
      <c r="Z7" s="279"/>
      <c r="AA7" s="280"/>
      <c r="AB7" s="280">
        <f>SUMIFS('MoDi Initiatives'!H:H,'MoDi Initiatives'!$C:$C,'Gap Analysis update'!$B7,'MoDi Initiatives'!$A:$A,'Gap Analysis update'!$A7,'MoDi Initiatives'!$B:$B,'Gap Analysis update'!AB$2)</f>
        <v>0</v>
      </c>
      <c r="AC7" s="280">
        <f>SUMIFS('MoDi Initiatives'!I:I,'MoDi Initiatives'!$C:$C,'Gap Analysis update'!$B7,'MoDi Initiatives'!$A:$A,'Gap Analysis update'!$A7,'MoDi Initiatives'!$B:$B,'Gap Analysis update'!AC$2)</f>
        <v>0</v>
      </c>
      <c r="AD7" s="280">
        <f>SUMIFS('MoDi Initiatives'!J:J,'MoDi Initiatives'!$C:$C,'Gap Analysis update'!$B7,'MoDi Initiatives'!$A:$A,'Gap Analysis update'!$A7,'MoDi Initiatives'!$B:$B,'Gap Analysis update'!AD$2)</f>
        <v>0</v>
      </c>
      <c r="AE7" s="280">
        <f>SUMIFS('MoDi Initiatives'!K:K,'MoDi Initiatives'!$C:$C,'Gap Analysis update'!$B7,'MoDi Initiatives'!$A:$A,'Gap Analysis update'!$A7,'MoDi Initiatives'!$B:$B,'Gap Analysis update'!AE$2)</f>
        <v>0</v>
      </c>
      <c r="AF7" s="280">
        <f>SUMIFS('MoDi Initiatives'!L:L,'MoDi Initiatives'!$C:$C,'Gap Analysis update'!$B7,'MoDi Initiatives'!$A:$A,'Gap Analysis update'!$A7,'MoDi Initiatives'!$B:$B,'Gap Analysis update'!AF$2)</f>
        <v>0</v>
      </c>
      <c r="AG7" s="280">
        <f>SUMIFS('MoDi Initiatives'!M:M,'MoDi Initiatives'!$C:$C,'Gap Analysis update'!$B7,'MoDi Initiatives'!$A:$A,'Gap Analysis update'!$A7,'MoDi Initiatives'!$B:$B,'Gap Analysis update'!AG$2)</f>
        <v>0</v>
      </c>
      <c r="AH7" s="280">
        <f>SUMIFS('MoDi Initiatives'!N:N,'MoDi Initiatives'!$C:$C,'Gap Analysis update'!$B7,'MoDi Initiatives'!$A:$A,'Gap Analysis update'!$A7,'MoDi Initiatives'!$B:$B,'Gap Analysis update'!AH$2)</f>
        <v>0</v>
      </c>
      <c r="AI7" s="280">
        <f>SUMIFS('MoDi Initiatives'!O:O,'MoDi Initiatives'!$C:$C,'Gap Analysis update'!$B7,'MoDi Initiatives'!$A:$A,'Gap Analysis update'!$A7,'MoDi Initiatives'!$B:$B,'Gap Analysis update'!AI$2)</f>
        <v>0</v>
      </c>
      <c r="AJ7" s="280">
        <f>SUMIFS('MoDi Initiatives'!P:P,'MoDi Initiatives'!$C:$C,'Gap Analysis update'!$B7,'MoDi Initiatives'!$A:$A,'Gap Analysis update'!$A7,'MoDi Initiatives'!$B:$B,'Gap Analysis update'!AJ$2)</f>
        <v>0</v>
      </c>
      <c r="AK7" s="280">
        <f>SUMIFS('MoDi Initiatives'!Q:Q,'MoDi Initiatives'!$C:$C,'Gap Analysis update'!$B7,'MoDi Initiatives'!$A:$A,'Gap Analysis update'!$A7,'MoDi Initiatives'!$B:$B,'Gap Analysis update'!AK$2)</f>
        <v>1.3589328720490649E-2</v>
      </c>
      <c r="AL7" s="280">
        <f>SUMIFS('MoDi Initiatives'!R:R,'MoDi Initiatives'!$C:$C,'Gap Analysis update'!$B7,'MoDi Initiatives'!$A:$A,'Gap Analysis update'!$A7,'MoDi Initiatives'!$B:$B,'Gap Analysis update'!AL$2)</f>
        <v>0</v>
      </c>
      <c r="AM7" s="280">
        <f>SUMIFS('MoDi Initiatives'!S:S,'MoDi Initiatives'!$C:$C,'Gap Analysis update'!$B7,'MoDi Initiatives'!$A:$A,'Gap Analysis update'!$A7,'MoDi Initiatives'!$B:$B,'Gap Analysis update'!AM$2)</f>
        <v>3.4888693357364156E-3</v>
      </c>
      <c r="AN7" s="280">
        <f>SUMIFS('MoDi Initiatives'!T:T,'MoDi Initiatives'!$C:$C,'Gap Analysis update'!$B7,'MoDi Initiatives'!$A:$A,'Gap Analysis update'!$A7,'MoDi Initiatives'!$B:$B,'Gap Analysis update'!AN$2)</f>
        <v>0</v>
      </c>
      <c r="AO7" s="280">
        <f>SUMIFS('MoDi Initiatives'!U:U,'MoDi Initiatives'!$C:$C,'Gap Analysis update'!$B7,'MoDi Initiatives'!$A:$A,'Gap Analysis update'!$A7,'MoDi Initiatives'!$B:$B,'Gap Analysis update'!AO$2)</f>
        <v>0</v>
      </c>
      <c r="AP7" s="280">
        <f>SUMIFS('MoDi Initiatives'!V:V,'MoDi Initiatives'!$C:$C,'Gap Analysis update'!$B7,'MoDi Initiatives'!$A:$A,'Gap Analysis update'!$A7,'MoDi Initiatives'!$B:$B,'Gap Analysis update'!AP$2)</f>
        <v>0</v>
      </c>
      <c r="AQ7" s="280">
        <f>SUMIFS('MoDi Initiatives'!W:W,'MoDi Initiatives'!$C:$C,'Gap Analysis update'!$B7,'MoDi Initiatives'!$A:$A,'Gap Analysis update'!$A7,'MoDi Initiatives'!$B:$B,'Gap Analysis update'!AQ$2)</f>
        <v>0</v>
      </c>
      <c r="AR7" s="283" t="e">
        <f>SUMIFS('[1]MoDi Initiatives'!W:W,'[1]MoDi Initiatives'!$B:$B,'Gap Analysis update'!AR$2,'[1]MoDi Initiatives'!$A:$A,'Gap Analysis update'!$A7,'[1]MoDi Initiatives'!$C:$C,"Inflation")</f>
        <v>#VALUE!</v>
      </c>
      <c r="AS7" s="284">
        <f>I7-AA7</f>
        <v>0</v>
      </c>
      <c r="AT7" s="284">
        <f t="shared" si="3"/>
        <v>0</v>
      </c>
      <c r="AU7" s="284">
        <f t="shared" si="3"/>
        <v>0</v>
      </c>
      <c r="AV7" s="284">
        <f t="shared" si="3"/>
        <v>0</v>
      </c>
      <c r="AW7" s="284">
        <f t="shared" si="3"/>
        <v>0</v>
      </c>
      <c r="AX7" s="284">
        <f t="shared" si="3"/>
        <v>-1.5803713294458427E-2</v>
      </c>
      <c r="AY7" s="284">
        <f t="shared" si="3"/>
        <v>0</v>
      </c>
      <c r="AZ7" s="284">
        <f t="shared" si="3"/>
        <v>0</v>
      </c>
      <c r="BA7" s="284">
        <f t="shared" si="3"/>
        <v>0</v>
      </c>
      <c r="BB7" s="284">
        <f t="shared" si="3"/>
        <v>0</v>
      </c>
      <c r="BC7" s="284">
        <f t="shared" si="3"/>
        <v>1.3589328720490649E-2</v>
      </c>
      <c r="BD7" s="284">
        <f t="shared" si="3"/>
        <v>0</v>
      </c>
      <c r="BE7" s="284">
        <f t="shared" si="3"/>
        <v>3.4888693357364156E-3</v>
      </c>
      <c r="BF7" s="284">
        <f t="shared" si="3"/>
        <v>0</v>
      </c>
      <c r="BG7" s="284">
        <f t="shared" si="3"/>
        <v>0</v>
      </c>
      <c r="BH7" s="284">
        <f t="shared" si="3"/>
        <v>0</v>
      </c>
      <c r="BI7" s="284">
        <f t="shared" si="3"/>
        <v>0</v>
      </c>
      <c r="BJ7" s="279"/>
    </row>
    <row r="8" spans="1:79" s="288" customFormat="1" ht="181.5" customHeight="1" outlineLevel="1">
      <c r="A8" s="286" t="s">
        <v>19</v>
      </c>
      <c r="B8" s="287" t="s">
        <v>24</v>
      </c>
      <c r="C8" s="288">
        <f t="shared" ref="C8:C13" si="6">SUM(AS8:BA8)</f>
        <v>0</v>
      </c>
      <c r="D8" s="289">
        <f t="shared" ref="D8:D13" si="7">SUM(BB8:BI8)</f>
        <v>0</v>
      </c>
      <c r="E8" s="289">
        <f>D8+C8</f>
        <v>0</v>
      </c>
      <c r="F8" s="286" t="s">
        <v>25</v>
      </c>
      <c r="G8" s="286"/>
      <c r="H8" s="290"/>
      <c r="J8" s="291">
        <f>SUMIFS('MoDi Initiatives'!H:H,'MoDi Initiatives'!$E:$E,'Gap Analysis update'!$B8,'MoDi Initiatives'!$A:$A,'Gap Analysis update'!$A8,'MoDi Initiatives'!$B:$B,'Gap Analysis update'!J$2)-SUMIFS('MoDi Initiatives'!H:H,'MoDi Initiatives'!$E:$E,'Gap Analysis update'!$B8,'MoDi Initiatives'!$A:$A,'Gap Analysis update'!$A8,'MoDi Initiatives'!$C:$C,'Gap Analysis update'!$B$7,'MoDi Initiatives'!$B:$B,'Gap Analysis update'!J$2)</f>
        <v>0</v>
      </c>
      <c r="K8" s="291">
        <f>SUMIFS('MoDi Initiatives'!I:I,'MoDi Initiatives'!$E:$E,'Gap Analysis update'!$B8,'MoDi Initiatives'!$A:$A,'Gap Analysis update'!$A8,'MoDi Initiatives'!$B:$B,'Gap Analysis update'!K$2)-SUMIFS('MoDi Initiatives'!I:I,'MoDi Initiatives'!$E:$E,'Gap Analysis update'!$B8,'MoDi Initiatives'!$A:$A,'Gap Analysis update'!$A8,'MoDi Initiatives'!$C:$C,'Gap Analysis update'!$B$7,'MoDi Initiatives'!$B:$B,'Gap Analysis update'!K$2)</f>
        <v>0</v>
      </c>
      <c r="L8" s="288">
        <f>SUMIFS('MoDi Initiatives'!J:J,'MoDi Initiatives'!$E:$E,'Gap Analysis update'!$B8,'MoDi Initiatives'!$A:$A,'Gap Analysis update'!$A8,'MoDi Initiatives'!$B:$B,'Gap Analysis update'!L$2)-SUMIFS('MoDi Initiatives'!J:J,'MoDi Initiatives'!$E:$E,'Gap Analysis update'!$B8,'MoDi Initiatives'!$A:$A,'Gap Analysis update'!$A8,'MoDi Initiatives'!$C:$C,'Gap Analysis update'!$B$7,'MoDi Initiatives'!$B:$B,'Gap Analysis update'!L$2)</f>
        <v>0</v>
      </c>
      <c r="M8" s="288">
        <f>SUMIFS('MoDi Initiatives'!K:K,'MoDi Initiatives'!$E:$E,'Gap Analysis update'!$B8,'MoDi Initiatives'!$A:$A,'Gap Analysis update'!$A8,'MoDi Initiatives'!$B:$B,'Gap Analysis update'!M$2)-SUMIFS('MoDi Initiatives'!K:K,'MoDi Initiatives'!$E:$E,'Gap Analysis update'!$B8,'MoDi Initiatives'!$A:$A,'Gap Analysis update'!$A8,'MoDi Initiatives'!$C:$C,'Gap Analysis update'!$B$7,'MoDi Initiatives'!$B:$B,'Gap Analysis update'!M$2)</f>
        <v>0</v>
      </c>
      <c r="N8" s="288">
        <f>SUMIFS('MoDi Initiatives'!L:L,'MoDi Initiatives'!$E:$E,'Gap Analysis update'!$B8,'MoDi Initiatives'!$A:$A,'Gap Analysis update'!$A8,'MoDi Initiatives'!$B:$B,'Gap Analysis update'!N$2)-SUMIFS('MoDi Initiatives'!L:L,'MoDi Initiatives'!$E:$E,'Gap Analysis update'!$B8,'MoDi Initiatives'!$A:$A,'Gap Analysis update'!$A8,'MoDi Initiatives'!$C:$C,'Gap Analysis update'!$B$7,'MoDi Initiatives'!$B:$B,'Gap Analysis update'!N$2)</f>
        <v>0</v>
      </c>
      <c r="O8" s="292">
        <f>SUMIFS('MoDi Initiatives'!M:M,'MoDi Initiatives'!$E:$E,'Gap Analysis update'!$B8,'MoDi Initiatives'!$A:$A,'Gap Analysis update'!$A8,'MoDi Initiatives'!$B:$B,'Gap Analysis update'!O$2)-SUMIFS('MoDi Initiatives'!M:M,'MoDi Initiatives'!$E:$E,'Gap Analysis update'!$B8,'MoDi Initiatives'!$A:$A,'Gap Analysis update'!$A8,'MoDi Initiatives'!$C:$C,'Gap Analysis update'!$B$7,'MoDi Initiatives'!$B:$B,'Gap Analysis update'!O$2)</f>
        <v>0</v>
      </c>
      <c r="P8" s="371">
        <f>SUMIFS('MoDi Initiatives'!N:N,'MoDi Initiatives'!$E:$E,'Gap Analysis update'!$B8,'MoDi Initiatives'!$A:$A,'Gap Analysis update'!$A8,'MoDi Initiatives'!$B:$B,'Gap Analysis update'!P$2)-SUMIFS('MoDi Initiatives'!N:N,'MoDi Initiatives'!$E:$E,'Gap Analysis update'!$B8,'MoDi Initiatives'!$A:$A,'Gap Analysis update'!$A8,'MoDi Initiatives'!$C:$C,'Gap Analysis update'!$B$7,'MoDi Initiatives'!$B:$B,'Gap Analysis update'!P$2)</f>
        <v>0</v>
      </c>
      <c r="Q8" s="292">
        <f>SUMIFS('MoDi Initiatives'!O:O,'MoDi Initiatives'!$E:$E,'Gap Analysis update'!$B8,'MoDi Initiatives'!$A:$A,'Gap Analysis update'!$A8,'MoDi Initiatives'!$B:$B,'Gap Analysis update'!Q$2)-SUMIFS('MoDi Initiatives'!O:O,'MoDi Initiatives'!$E:$E,'Gap Analysis update'!$B8,'MoDi Initiatives'!$A:$A,'Gap Analysis update'!$A8,'MoDi Initiatives'!$C:$C,'Gap Analysis update'!$B$7,'MoDi Initiatives'!$B:$B,'Gap Analysis update'!Q$2)</f>
        <v>0</v>
      </c>
      <c r="R8" s="288">
        <f>SUMIFS('MoDi Initiatives'!P:P,'MoDi Initiatives'!$E:$E,'Gap Analysis update'!$B8,'MoDi Initiatives'!$A:$A,'Gap Analysis update'!$A8,'MoDi Initiatives'!$B:$B,'Gap Analysis update'!R$2)-SUMIFS('MoDi Initiatives'!P:P,'MoDi Initiatives'!$E:$E,'Gap Analysis update'!$B8,'MoDi Initiatives'!$A:$A,'Gap Analysis update'!$A8,'MoDi Initiatives'!$C:$C,'Gap Analysis update'!$B$7,'MoDi Initiatives'!$B:$B,'Gap Analysis update'!R$2)</f>
        <v>0</v>
      </c>
      <c r="S8" s="288">
        <f>SUMIFS('MoDi Initiatives'!Q:Q,'MoDi Initiatives'!$E:$E,'Gap Analysis update'!$B8,'MoDi Initiatives'!$A:$A,'Gap Analysis update'!$A8,'MoDi Initiatives'!$B:$B,'Gap Analysis update'!S$2)-SUMIFS('MoDi Initiatives'!Q:Q,'MoDi Initiatives'!$E:$E,'Gap Analysis update'!$B8,'MoDi Initiatives'!$A:$A,'Gap Analysis update'!$A8,'MoDi Initiatives'!$C:$C,'Gap Analysis update'!$B$7,'MoDi Initiatives'!$B:$B,'Gap Analysis update'!S$2)</f>
        <v>0</v>
      </c>
      <c r="T8" s="288">
        <f>SUMIFS('MoDi Initiatives'!R:R,'MoDi Initiatives'!$E:$E,'Gap Analysis update'!$B8,'MoDi Initiatives'!$A:$A,'Gap Analysis update'!$A8,'MoDi Initiatives'!$B:$B,'Gap Analysis update'!T$2)-SUMIFS('MoDi Initiatives'!R:R,'MoDi Initiatives'!$E:$E,'Gap Analysis update'!$B8,'MoDi Initiatives'!$A:$A,'Gap Analysis update'!$A8,'MoDi Initiatives'!$C:$C,'Gap Analysis update'!$B$7,'MoDi Initiatives'!$B:$B,'Gap Analysis update'!T$2)</f>
        <v>0</v>
      </c>
      <c r="U8" s="288">
        <f>SUMIFS('MoDi Initiatives'!S:S,'MoDi Initiatives'!$E:$E,'Gap Analysis update'!$B8,'MoDi Initiatives'!$A:$A,'Gap Analysis update'!$A8,'MoDi Initiatives'!$B:$B,'Gap Analysis update'!U$2)-SUMIFS('MoDi Initiatives'!S:S,'MoDi Initiatives'!$E:$E,'Gap Analysis update'!$B8,'MoDi Initiatives'!$A:$A,'Gap Analysis update'!$A8,'MoDi Initiatives'!$C:$C,'Gap Analysis update'!$B$7,'MoDi Initiatives'!$B:$B,'Gap Analysis update'!U$2)</f>
        <v>0</v>
      </c>
      <c r="V8" s="288">
        <f>SUMIFS('MoDi Initiatives'!T:T,'MoDi Initiatives'!$E:$E,'Gap Analysis update'!$B8,'MoDi Initiatives'!$A:$A,'Gap Analysis update'!$A8,'MoDi Initiatives'!$B:$B,'Gap Analysis update'!V$2)-SUMIFS('MoDi Initiatives'!T:T,'MoDi Initiatives'!$E:$E,'Gap Analysis update'!$B8,'MoDi Initiatives'!$A:$A,'Gap Analysis update'!$A8,'MoDi Initiatives'!$C:$C,'Gap Analysis update'!$B$7,'MoDi Initiatives'!$B:$B,'Gap Analysis update'!V$2)</f>
        <v>0</v>
      </c>
      <c r="W8" s="288">
        <f>SUMIFS('MoDi Initiatives'!U:U,'MoDi Initiatives'!$E:$E,'Gap Analysis update'!$B8,'MoDi Initiatives'!$A:$A,'Gap Analysis update'!$A8,'MoDi Initiatives'!$B:$B,'Gap Analysis update'!W$2)-SUMIFS('MoDi Initiatives'!U:U,'MoDi Initiatives'!$E:$E,'Gap Analysis update'!$B8,'MoDi Initiatives'!$A:$A,'Gap Analysis update'!$A8,'MoDi Initiatives'!$C:$C,'Gap Analysis update'!$B$7,'MoDi Initiatives'!$B:$B,'Gap Analysis update'!W$2)</f>
        <v>0</v>
      </c>
      <c r="X8" s="288">
        <f>SUMIFS('MoDi Initiatives'!V:V,'MoDi Initiatives'!$E:$E,'Gap Analysis update'!$B8,'MoDi Initiatives'!$A:$A,'Gap Analysis update'!$A8,'MoDi Initiatives'!$B:$B,'Gap Analysis update'!X$2)-SUMIFS('MoDi Initiatives'!V:V,'MoDi Initiatives'!$E:$E,'Gap Analysis update'!$B8,'MoDi Initiatives'!$A:$A,'Gap Analysis update'!$A8,'MoDi Initiatives'!$C:$C,'Gap Analysis update'!$B$7,'MoDi Initiatives'!$B:$B,'Gap Analysis update'!X$2)</f>
        <v>0</v>
      </c>
      <c r="Y8" s="288">
        <f>SUMIFS('MoDi Initiatives'!W:W,'MoDi Initiatives'!$E:$E,'Gap Analysis update'!$B8,'MoDi Initiatives'!$A:$A,'Gap Analysis update'!$A8,'MoDi Initiatives'!$B:$B,'Gap Analysis update'!Y$2)-SUMIFS('MoDi Initiatives'!W:W,'MoDi Initiatives'!$E:$E,'Gap Analysis update'!$B8,'MoDi Initiatives'!$A:$A,'Gap Analysis update'!$A8,'MoDi Initiatives'!$C:$C,'Gap Analysis update'!$B$7,'MoDi Initiatives'!$B:$B,'Gap Analysis update'!Y$2)</f>
        <v>0</v>
      </c>
      <c r="Z8" s="293"/>
      <c r="AB8" s="288">
        <f>SUMIFS('MoDi Initiatives'!H:H,'MoDi Initiatives'!$E:$E,'Gap Analysis update'!$B8,'MoDi Initiatives'!$A:$A,'Gap Analysis update'!$A8,'MoDi Initiatives'!$B:$B,'Gap Analysis update'!AB$2)-SUMIFS('MoDi Initiatives'!H:H,'MoDi Initiatives'!$E:$E,'Gap Analysis update'!$B8,'MoDi Initiatives'!$A:$A,'Gap Analysis update'!$A8,'MoDi Initiatives'!$B:$B,'Gap Analysis update'!AB$2,'MoDi Initiatives'!$C:$C,'Gap Analysis update'!$B$7)</f>
        <v>0</v>
      </c>
      <c r="AC8" s="288">
        <f>SUMIFS('MoDi Initiatives'!I:I,'MoDi Initiatives'!$E:$E,'Gap Analysis update'!$B8,'MoDi Initiatives'!$A:$A,'Gap Analysis update'!$A8,'MoDi Initiatives'!$B:$B,'Gap Analysis update'!AC$2)-SUMIFS('MoDi Initiatives'!I:I,'MoDi Initiatives'!$E:$E,'Gap Analysis update'!$B8,'MoDi Initiatives'!$A:$A,'Gap Analysis update'!$A8,'MoDi Initiatives'!$B:$B,'Gap Analysis update'!AC$2,'MoDi Initiatives'!$C:$C,'Gap Analysis update'!$B$7)</f>
        <v>0</v>
      </c>
      <c r="AD8" s="291">
        <f>SUMIFS('MoDi Initiatives'!J:J,'MoDi Initiatives'!$E:$E,'Gap Analysis update'!$B8,'MoDi Initiatives'!$A:$A,'Gap Analysis update'!$A8,'MoDi Initiatives'!$B:$B,'Gap Analysis update'!AD$2)-SUMIFS('MoDi Initiatives'!J:J,'MoDi Initiatives'!$E:$E,'Gap Analysis update'!$B8,'MoDi Initiatives'!$A:$A,'Gap Analysis update'!$A8,'MoDi Initiatives'!$B:$B,'Gap Analysis update'!AD$2,'MoDi Initiatives'!$C:$C,'Gap Analysis update'!$B$7)</f>
        <v>0</v>
      </c>
      <c r="AE8" s="288">
        <f>SUMIFS('MoDi Initiatives'!K:K,'MoDi Initiatives'!$E:$E,'Gap Analysis update'!$B8,'MoDi Initiatives'!$A:$A,'Gap Analysis update'!$A8,'MoDi Initiatives'!$B:$B,'Gap Analysis update'!AE$2)-SUMIFS('MoDi Initiatives'!K:K,'MoDi Initiatives'!$E:$E,'Gap Analysis update'!$B8,'MoDi Initiatives'!$A:$A,'Gap Analysis update'!$A8,'MoDi Initiatives'!$B:$B,'Gap Analysis update'!AE$2,'MoDi Initiatives'!$C:$C,'Gap Analysis update'!$B$7)</f>
        <v>0</v>
      </c>
      <c r="AF8" s="288">
        <f>SUMIFS('MoDi Initiatives'!L:L,'MoDi Initiatives'!$E:$E,'Gap Analysis update'!$B8,'MoDi Initiatives'!$A:$A,'Gap Analysis update'!$A8,'MoDi Initiatives'!$B:$B,'Gap Analysis update'!AF$2)-SUMIFS('MoDi Initiatives'!L:L,'MoDi Initiatives'!$E:$E,'Gap Analysis update'!$B8,'MoDi Initiatives'!$A:$A,'Gap Analysis update'!$A8,'MoDi Initiatives'!$B:$B,'Gap Analysis update'!AF$2,'MoDi Initiatives'!$C:$C,'Gap Analysis update'!$B$7)</f>
        <v>0</v>
      </c>
      <c r="AG8" s="288">
        <f>SUMIFS('MoDi Initiatives'!M:M,'MoDi Initiatives'!$E:$E,'Gap Analysis update'!$B8,'MoDi Initiatives'!$A:$A,'Gap Analysis update'!$A8,'MoDi Initiatives'!$B:$B,'Gap Analysis update'!AG$2)-SUMIFS('MoDi Initiatives'!M:M,'MoDi Initiatives'!$E:$E,'Gap Analysis update'!$B8,'MoDi Initiatives'!$A:$A,'Gap Analysis update'!$A8,'MoDi Initiatives'!$B:$B,'Gap Analysis update'!AG$2,'MoDi Initiatives'!$C:$C,'Gap Analysis update'!$B$7)</f>
        <v>0</v>
      </c>
      <c r="AH8" s="288">
        <f>SUMIFS('MoDi Initiatives'!N:N,'MoDi Initiatives'!$E:$E,'Gap Analysis update'!$B8,'MoDi Initiatives'!$A:$A,'Gap Analysis update'!$A8,'MoDi Initiatives'!$B:$B,'Gap Analysis update'!AH$2)-SUMIFS('MoDi Initiatives'!N:N,'MoDi Initiatives'!$E:$E,'Gap Analysis update'!$B8,'MoDi Initiatives'!$A:$A,'Gap Analysis update'!$A8,'MoDi Initiatives'!$B:$B,'Gap Analysis update'!AH$2,'MoDi Initiatives'!$C:$C,'Gap Analysis update'!$B$7)</f>
        <v>0</v>
      </c>
      <c r="AI8" s="288">
        <f>SUMIFS('MoDi Initiatives'!O:O,'MoDi Initiatives'!$E:$E,'Gap Analysis update'!$B8,'MoDi Initiatives'!$A:$A,'Gap Analysis update'!$A8,'MoDi Initiatives'!$B:$B,'Gap Analysis update'!AI$2)-SUMIFS('MoDi Initiatives'!O:O,'MoDi Initiatives'!$E:$E,'Gap Analysis update'!$B8,'MoDi Initiatives'!$A:$A,'Gap Analysis update'!$A8,'MoDi Initiatives'!$B:$B,'Gap Analysis update'!AI$2,'MoDi Initiatives'!$C:$C,'Gap Analysis update'!$B$7)</f>
        <v>0</v>
      </c>
      <c r="AJ8" s="288">
        <f>SUMIFS('MoDi Initiatives'!P:P,'MoDi Initiatives'!$E:$E,'Gap Analysis update'!$B8,'MoDi Initiatives'!$A:$A,'Gap Analysis update'!$A8,'MoDi Initiatives'!$B:$B,'Gap Analysis update'!AJ$2)-SUMIFS('MoDi Initiatives'!P:P,'MoDi Initiatives'!$E:$E,'Gap Analysis update'!$B8,'MoDi Initiatives'!$A:$A,'Gap Analysis update'!$A8,'MoDi Initiatives'!$B:$B,'Gap Analysis update'!AJ$2,'MoDi Initiatives'!$C:$C,'Gap Analysis update'!$B$7)</f>
        <v>0</v>
      </c>
      <c r="AK8" s="288">
        <f>SUMIFS('MoDi Initiatives'!Q:Q,'MoDi Initiatives'!$E:$E,'Gap Analysis update'!$B8,'MoDi Initiatives'!$A:$A,'Gap Analysis update'!$A8,'MoDi Initiatives'!$B:$B,'Gap Analysis update'!AK$2)-SUMIFS('MoDi Initiatives'!Q:Q,'MoDi Initiatives'!$E:$E,'Gap Analysis update'!$B8,'MoDi Initiatives'!$A:$A,'Gap Analysis update'!$A8,'MoDi Initiatives'!$B:$B,'Gap Analysis update'!AK$2,'MoDi Initiatives'!$C:$C,'Gap Analysis update'!$B$7)</f>
        <v>0</v>
      </c>
      <c r="AL8" s="288">
        <f>SUMIFS('MoDi Initiatives'!R:R,'MoDi Initiatives'!$E:$E,'Gap Analysis update'!$B8,'MoDi Initiatives'!$A:$A,'Gap Analysis update'!$A8,'MoDi Initiatives'!$B:$B,'Gap Analysis update'!AL$2)-SUMIFS('MoDi Initiatives'!R:R,'MoDi Initiatives'!$E:$E,'Gap Analysis update'!$B8,'MoDi Initiatives'!$A:$A,'Gap Analysis update'!$A8,'MoDi Initiatives'!$B:$B,'Gap Analysis update'!AL$2,'MoDi Initiatives'!$C:$C,'Gap Analysis update'!$B$7)</f>
        <v>0</v>
      </c>
      <c r="AM8" s="288">
        <f>SUMIFS('MoDi Initiatives'!S:S,'MoDi Initiatives'!$E:$E,'Gap Analysis update'!$B8,'MoDi Initiatives'!$A:$A,'Gap Analysis update'!$A8,'MoDi Initiatives'!$B:$B,'Gap Analysis update'!AM$2)-SUMIFS('MoDi Initiatives'!S:S,'MoDi Initiatives'!$E:$E,'Gap Analysis update'!$B8,'MoDi Initiatives'!$A:$A,'Gap Analysis update'!$A8,'MoDi Initiatives'!$B:$B,'Gap Analysis update'!AM$2,'MoDi Initiatives'!$C:$C,'Gap Analysis update'!$B$7)</f>
        <v>0</v>
      </c>
      <c r="AN8" s="288">
        <f>SUMIFS('MoDi Initiatives'!T:T,'MoDi Initiatives'!$E:$E,'Gap Analysis update'!$B8,'MoDi Initiatives'!$A:$A,'Gap Analysis update'!$A8,'MoDi Initiatives'!$B:$B,'Gap Analysis update'!AN$2)-SUMIFS('MoDi Initiatives'!T:T,'MoDi Initiatives'!$E:$E,'Gap Analysis update'!$B8,'MoDi Initiatives'!$A:$A,'Gap Analysis update'!$A8,'MoDi Initiatives'!$B:$B,'Gap Analysis update'!AN$2,'MoDi Initiatives'!$C:$C,'Gap Analysis update'!$B$7)</f>
        <v>0</v>
      </c>
      <c r="AO8" s="288">
        <f>SUMIFS('MoDi Initiatives'!U:U,'MoDi Initiatives'!$E:$E,'Gap Analysis update'!$B8,'MoDi Initiatives'!$A:$A,'Gap Analysis update'!$A8,'MoDi Initiatives'!$B:$B,'Gap Analysis update'!AO$2)-SUMIFS('MoDi Initiatives'!U:U,'MoDi Initiatives'!$E:$E,'Gap Analysis update'!$B8,'MoDi Initiatives'!$A:$A,'Gap Analysis update'!$A8,'MoDi Initiatives'!$B:$B,'Gap Analysis update'!AO$2,'MoDi Initiatives'!$C:$C,'Gap Analysis update'!$B$7)</f>
        <v>0</v>
      </c>
      <c r="AP8" s="288">
        <f>SUMIFS('MoDi Initiatives'!V:V,'MoDi Initiatives'!$E:$E,'Gap Analysis update'!$B8,'MoDi Initiatives'!$A:$A,'Gap Analysis update'!$A8,'MoDi Initiatives'!$B:$B,'Gap Analysis update'!AP$2)-SUMIFS('MoDi Initiatives'!V:V,'MoDi Initiatives'!$E:$E,'Gap Analysis update'!$B8,'MoDi Initiatives'!$A:$A,'Gap Analysis update'!$A8,'MoDi Initiatives'!$B:$B,'Gap Analysis update'!AP$2,'MoDi Initiatives'!$C:$C,'Gap Analysis update'!$B$7)</f>
        <v>0</v>
      </c>
      <c r="AQ8" s="288">
        <f>SUMIFS('MoDi Initiatives'!W:W,'MoDi Initiatives'!$E:$E,'Gap Analysis update'!$B8,'MoDi Initiatives'!$A:$A,'Gap Analysis update'!$A8,'MoDi Initiatives'!$B:$B,'Gap Analysis update'!AQ$2)-SUMIFS('MoDi Initiatives'!W:W,'MoDi Initiatives'!$E:$E,'Gap Analysis update'!$B8,'MoDi Initiatives'!$A:$A,'Gap Analysis update'!$A8,'MoDi Initiatives'!$B:$B,'Gap Analysis update'!AQ$2,'MoDi Initiatives'!$C:$C,'Gap Analysis update'!$B$7)</f>
        <v>0</v>
      </c>
      <c r="AR8" s="293" t="e">
        <f>SUMIFS('[1]MoDi Initiatives'!$G:$G,'[1]MoDi Initiatives'!$A:$A,'Gap Analysis update'!$A8,'[1]MoDi Initiatives'!$B:$B,"SOP1",'[1]MoDi Initiatives'!$E:$E,'Gap Analysis update'!$B8)</f>
        <v>#VALUE!</v>
      </c>
      <c r="AS8" s="289"/>
      <c r="AT8" s="289">
        <f>AB8-J8</f>
        <v>0</v>
      </c>
      <c r="AU8" s="294">
        <f t="shared" si="3"/>
        <v>0</v>
      </c>
      <c r="AV8" s="294">
        <f t="shared" si="3"/>
        <v>0</v>
      </c>
      <c r="AW8" s="289">
        <f t="shared" si="3"/>
        <v>0</v>
      </c>
      <c r="AX8" s="289">
        <f>AF8-N8</f>
        <v>0</v>
      </c>
      <c r="AY8" s="295">
        <f t="shared" si="3"/>
        <v>0</v>
      </c>
      <c r="AZ8" s="289">
        <f t="shared" si="3"/>
        <v>0</v>
      </c>
      <c r="BA8" s="295">
        <f t="shared" si="3"/>
        <v>0</v>
      </c>
      <c r="BB8" s="289">
        <f t="shared" si="3"/>
        <v>0</v>
      </c>
      <c r="BC8" s="289">
        <f t="shared" si="3"/>
        <v>0</v>
      </c>
      <c r="BD8" s="289">
        <f t="shared" si="3"/>
        <v>0</v>
      </c>
      <c r="BE8" s="289">
        <f t="shared" si="3"/>
        <v>0</v>
      </c>
      <c r="BF8" s="289">
        <f t="shared" si="3"/>
        <v>0</v>
      </c>
      <c r="BG8" s="289">
        <f t="shared" si="3"/>
        <v>0</v>
      </c>
      <c r="BH8" s="289">
        <f t="shared" si="3"/>
        <v>0</v>
      </c>
      <c r="BI8" s="289">
        <f t="shared" si="3"/>
        <v>0</v>
      </c>
      <c r="BJ8" s="293"/>
      <c r="BK8" s="286"/>
      <c r="BL8" s="286"/>
      <c r="BM8" s="286" t="s">
        <v>26</v>
      </c>
      <c r="BN8" s="286" t="s">
        <v>27</v>
      </c>
      <c r="BO8" s="286" t="s">
        <v>27</v>
      </c>
      <c r="BP8" s="286"/>
      <c r="BQ8" s="286" t="s">
        <v>28</v>
      </c>
      <c r="BR8" s="286" t="s">
        <v>29</v>
      </c>
      <c r="BS8" s="286" t="s">
        <v>30</v>
      </c>
      <c r="BT8" s="286" t="s">
        <v>31</v>
      </c>
      <c r="BU8" s="286" t="s">
        <v>32</v>
      </c>
      <c r="BV8" s="286"/>
      <c r="BW8" s="286"/>
      <c r="BX8" s="286"/>
      <c r="BY8" s="286"/>
      <c r="BZ8" s="286"/>
      <c r="CA8" s="286"/>
    </row>
    <row r="9" spans="1:79" s="288" customFormat="1" ht="213" customHeight="1" outlineLevel="1">
      <c r="A9" s="286" t="s">
        <v>19</v>
      </c>
      <c r="B9" s="287" t="s">
        <v>33</v>
      </c>
      <c r="C9" s="288">
        <f t="shared" si="6"/>
        <v>1.3012979275343697E-2</v>
      </c>
      <c r="D9" s="289">
        <f t="shared" si="7"/>
        <v>4.4576167623785849E-3</v>
      </c>
      <c r="E9" s="289">
        <f t="shared" ref="E9:E75" si="8">D9+C9</f>
        <v>1.7470596037722282E-2</v>
      </c>
      <c r="F9" s="286" t="s">
        <v>34</v>
      </c>
      <c r="G9" s="286" t="s">
        <v>35</v>
      </c>
      <c r="H9" s="290"/>
      <c r="J9" s="291">
        <f>SUMIFS('MoDi Initiatives'!H:H,'MoDi Initiatives'!$E:$E,'Gap Analysis update'!$B9,'MoDi Initiatives'!$A:$A,'Gap Analysis update'!$A9,'MoDi Initiatives'!$B:$B,'Gap Analysis update'!J$2)-SUMIFS('MoDi Initiatives'!H:H,'MoDi Initiatives'!$E:$E,'Gap Analysis update'!$B9,'MoDi Initiatives'!$A:$A,'Gap Analysis update'!$A9,'MoDi Initiatives'!$C:$C,'Gap Analysis update'!$B$7,'MoDi Initiatives'!$B:$B,'Gap Analysis update'!J$2)</f>
        <v>-8.1541770043510684E-3</v>
      </c>
      <c r="K9" s="291">
        <f>SUMIFS('MoDi Initiatives'!I:I,'MoDi Initiatives'!$E:$E,'Gap Analysis update'!$B9,'MoDi Initiatives'!$A:$A,'Gap Analysis update'!$A9,'MoDi Initiatives'!$B:$B,'Gap Analysis update'!K$2)-SUMIFS('MoDi Initiatives'!I:I,'MoDi Initiatives'!$E:$E,'Gap Analysis update'!$B9,'MoDi Initiatives'!$A:$A,'Gap Analysis update'!$A9,'MoDi Initiatives'!$C:$C,'Gap Analysis update'!$B$7,'MoDi Initiatives'!$B:$B,'Gap Analysis update'!K$2)</f>
        <v>-1.2611793766729653E-2</v>
      </c>
      <c r="L9" s="288">
        <f>SUMIFS('MoDi Initiatives'!J:J,'MoDi Initiatives'!$E:$E,'Gap Analysis update'!$B9,'MoDi Initiatives'!$A:$A,'Gap Analysis update'!$A9,'MoDi Initiatives'!$B:$B,'Gap Analysis update'!L$2)-SUMIFS('MoDi Initiatives'!J:J,'MoDi Initiatives'!$E:$E,'Gap Analysis update'!$B9,'MoDi Initiatives'!$A:$A,'Gap Analysis update'!$A9,'MoDi Initiatives'!$C:$C,'Gap Analysis update'!$B$7,'MoDi Initiatives'!$B:$B,'Gap Analysis update'!L$2)</f>
        <v>0</v>
      </c>
      <c r="M9" s="288">
        <f>SUMIFS('MoDi Initiatives'!K:K,'MoDi Initiatives'!$E:$E,'Gap Analysis update'!$B9,'MoDi Initiatives'!$A:$A,'Gap Analysis update'!$A9,'MoDi Initiatives'!$B:$B,'Gap Analysis update'!M$2)-SUMIFS('MoDi Initiatives'!K:K,'MoDi Initiatives'!$E:$E,'Gap Analysis update'!$B9,'MoDi Initiatives'!$A:$A,'Gap Analysis update'!$A9,'MoDi Initiatives'!$C:$C,'Gap Analysis update'!$B$7,'MoDi Initiatives'!$B:$B,'Gap Analysis update'!M$2)</f>
        <v>0</v>
      </c>
      <c r="N9" s="288">
        <f>SUMIFS('MoDi Initiatives'!L:L,'MoDi Initiatives'!$E:$E,'Gap Analysis update'!$B9,'MoDi Initiatives'!$A:$A,'Gap Analysis update'!$A9,'MoDi Initiatives'!$B:$B,'Gap Analysis update'!N$2)-SUMIFS('MoDi Initiatives'!L:L,'MoDi Initiatives'!$E:$E,'Gap Analysis update'!$B9,'MoDi Initiatives'!$A:$A,'Gap Analysis update'!$A9,'MoDi Initiatives'!$C:$C,'Gap Analysis update'!$B$7,'MoDi Initiatives'!$B:$B,'Gap Analysis update'!N$2)</f>
        <v>0</v>
      </c>
      <c r="O9" s="288">
        <f>SUMIFS('MoDi Initiatives'!M:M,'MoDi Initiatives'!$E:$E,'Gap Analysis update'!$B9,'MoDi Initiatives'!$A:$A,'Gap Analysis update'!$A9,'MoDi Initiatives'!$B:$B,'Gap Analysis update'!O$2)-SUMIFS('MoDi Initiatives'!M:M,'MoDi Initiatives'!$E:$E,'Gap Analysis update'!$B9,'MoDi Initiatives'!$A:$A,'Gap Analysis update'!$A9,'MoDi Initiatives'!$C:$C,'Gap Analysis update'!$B$7,'MoDi Initiatives'!$B:$B,'Gap Analysis update'!O$2)</f>
        <v>0</v>
      </c>
      <c r="P9" s="371">
        <f>SUMIFS('MoDi Initiatives'!N:N,'MoDi Initiatives'!$E:$E,'Gap Analysis update'!$B9,'MoDi Initiatives'!$A:$A,'Gap Analysis update'!$A9,'MoDi Initiatives'!$B:$B,'Gap Analysis update'!P$2)-SUMIFS('MoDi Initiatives'!N:N,'MoDi Initiatives'!$E:$E,'Gap Analysis update'!$B9,'MoDi Initiatives'!$A:$A,'Gap Analysis update'!$A9,'MoDi Initiatives'!$C:$C,'Gap Analysis update'!$B$7,'MoDi Initiatives'!$B:$B,'Gap Analysis update'!P$2)</f>
        <v>-2.7777475771222061E-2</v>
      </c>
      <c r="Q9" s="288">
        <f>SUMIFS('MoDi Initiatives'!O:O,'MoDi Initiatives'!$E:$E,'Gap Analysis update'!$B9,'MoDi Initiatives'!$A:$A,'Gap Analysis update'!$A9,'MoDi Initiatives'!$B:$B,'Gap Analysis update'!Q$2)-SUMIFS('MoDi Initiatives'!O:O,'MoDi Initiatives'!$E:$E,'Gap Analysis update'!$B9,'MoDi Initiatives'!$A:$A,'Gap Analysis update'!$A9,'MoDi Initiatives'!$C:$C,'Gap Analysis update'!$B$7,'MoDi Initiatives'!$B:$B,'Gap Analysis update'!Q$2)</f>
        <v>0</v>
      </c>
      <c r="R9" s="288">
        <f>SUMIFS('MoDi Initiatives'!P:P,'MoDi Initiatives'!$E:$E,'Gap Analysis update'!$B9,'MoDi Initiatives'!$A:$A,'Gap Analysis update'!$A9,'MoDi Initiatives'!$B:$B,'Gap Analysis update'!R$2)-SUMIFS('MoDi Initiatives'!P:P,'MoDi Initiatives'!$E:$E,'Gap Analysis update'!$B9,'MoDi Initiatives'!$A:$A,'Gap Analysis update'!$A9,'MoDi Initiatives'!$C:$C,'Gap Analysis update'!$B$7,'MoDi Initiatives'!$B:$B,'Gap Analysis update'!R$2)</f>
        <v>0</v>
      </c>
      <c r="S9" s="288">
        <f>SUMIFS('MoDi Initiatives'!Q:Q,'MoDi Initiatives'!$E:$E,'Gap Analysis update'!$B9,'MoDi Initiatives'!$A:$A,'Gap Analysis update'!$A9,'MoDi Initiatives'!$B:$B,'Gap Analysis update'!S$2)-SUMIFS('MoDi Initiatives'!Q:Q,'MoDi Initiatives'!$E:$E,'Gap Analysis update'!$B9,'MoDi Initiatives'!$A:$A,'Gap Analysis update'!$A9,'MoDi Initiatives'!$C:$C,'Gap Analysis update'!$B$7,'MoDi Initiatives'!$B:$B,'Gap Analysis update'!S$2)</f>
        <v>0</v>
      </c>
      <c r="T9" s="288">
        <f>SUMIFS('MoDi Initiatives'!R:R,'MoDi Initiatives'!$E:$E,'Gap Analysis update'!$B9,'MoDi Initiatives'!$A:$A,'Gap Analysis update'!$A9,'MoDi Initiatives'!$B:$B,'Gap Analysis update'!T$2)-SUMIFS('MoDi Initiatives'!R:R,'MoDi Initiatives'!$E:$E,'Gap Analysis update'!$B9,'MoDi Initiatives'!$A:$A,'Gap Analysis update'!$A9,'MoDi Initiatives'!$C:$C,'Gap Analysis update'!$B$7,'MoDi Initiatives'!$B:$B,'Gap Analysis update'!T$2)</f>
        <v>0</v>
      </c>
      <c r="U9" s="288">
        <f>SUMIFS('MoDi Initiatives'!S:S,'MoDi Initiatives'!$E:$E,'Gap Analysis update'!$B9,'MoDi Initiatives'!$A:$A,'Gap Analysis update'!$A9,'MoDi Initiatives'!$B:$B,'Gap Analysis update'!U$2)-SUMIFS('MoDi Initiatives'!S:S,'MoDi Initiatives'!$E:$E,'Gap Analysis update'!$B9,'MoDi Initiatives'!$A:$A,'Gap Analysis update'!$A9,'MoDi Initiatives'!$C:$C,'Gap Analysis update'!$B$7,'MoDi Initiatives'!$B:$B,'Gap Analysis update'!U$2)</f>
        <v>0</v>
      </c>
      <c r="V9" s="292">
        <f>SUMIFS('MoDi Initiatives'!T:T,'MoDi Initiatives'!$E:$E,'Gap Analysis update'!$B9,'MoDi Initiatives'!$A:$A,'Gap Analysis update'!$A9,'MoDi Initiatives'!$B:$B,'Gap Analysis update'!V$2)-SUMIFS('MoDi Initiatives'!T:T,'MoDi Initiatives'!$E:$E,'Gap Analysis update'!$B9,'MoDi Initiatives'!$A:$A,'Gap Analysis update'!$A9,'MoDi Initiatives'!$C:$C,'Gap Analysis update'!$B$7,'MoDi Initiatives'!$B:$B,'Gap Analysis update'!V$2)</f>
        <v>-6.8495086836548981E-3</v>
      </c>
      <c r="W9" s="288">
        <f>SUMIFS('MoDi Initiatives'!U:U,'MoDi Initiatives'!$E:$E,'Gap Analysis update'!$B9,'MoDi Initiatives'!$A:$A,'Gap Analysis update'!$A9,'MoDi Initiatives'!$B:$B,'Gap Analysis update'!W$2)-SUMIFS('MoDi Initiatives'!U:U,'MoDi Initiatives'!$E:$E,'Gap Analysis update'!$B9,'MoDi Initiatives'!$A:$A,'Gap Analysis update'!$A9,'MoDi Initiatives'!$C:$C,'Gap Analysis update'!$B$7,'MoDi Initiatives'!$B:$B,'Gap Analysis update'!W$2)</f>
        <v>0</v>
      </c>
      <c r="X9" s="288">
        <f>SUMIFS('MoDi Initiatives'!V:V,'MoDi Initiatives'!$E:$E,'Gap Analysis update'!$B9,'MoDi Initiatives'!$A:$A,'Gap Analysis update'!$A9,'MoDi Initiatives'!$B:$B,'Gap Analysis update'!X$2)-SUMIFS('MoDi Initiatives'!V:V,'MoDi Initiatives'!$E:$E,'Gap Analysis update'!$B9,'MoDi Initiatives'!$A:$A,'Gap Analysis update'!$A9,'MoDi Initiatives'!$C:$C,'Gap Analysis update'!$B$7,'MoDi Initiatives'!$B:$B,'Gap Analysis update'!X$2)</f>
        <v>0</v>
      </c>
      <c r="Y9" s="288">
        <f>SUMIFS('MoDi Initiatives'!W:W,'MoDi Initiatives'!$E:$E,'Gap Analysis update'!$B9,'MoDi Initiatives'!$A:$A,'Gap Analysis update'!$A9,'MoDi Initiatives'!$B:$B,'Gap Analysis update'!Y$2)-SUMIFS('MoDi Initiatives'!W:W,'MoDi Initiatives'!$E:$E,'Gap Analysis update'!$B9,'MoDi Initiatives'!$A:$A,'Gap Analysis update'!$A9,'MoDi Initiatives'!$C:$C,'Gap Analysis update'!$B$7,'MoDi Initiatives'!$B:$B,'Gap Analysis update'!Y$2)</f>
        <v>0</v>
      </c>
      <c r="Z9" s="293"/>
      <c r="AB9" s="291">
        <f>SUMIFS('MoDi Initiatives'!H:H,'MoDi Initiatives'!$E:$E,'Gap Analysis update'!$B9,'MoDi Initiatives'!$A:$A,'Gap Analysis update'!$A9,'MoDi Initiatives'!$B:$B,'Gap Analysis update'!AB$2)-SUMIFS('MoDi Initiatives'!H:H,'MoDi Initiatives'!$E:$E,'Gap Analysis update'!$B9,'MoDi Initiatives'!$A:$A,'Gap Analysis update'!$A9,'MoDi Initiatives'!$B:$B,'Gap Analysis update'!AB$2,'MoDi Initiatives'!$C:$C,'Gap Analysis update'!$B$7)</f>
        <v>-1.5003685688005981E-2</v>
      </c>
      <c r="AC9" s="291">
        <f>SUMIFS('MoDi Initiatives'!I:I,'MoDi Initiatives'!$E:$E,'Gap Analysis update'!$B9,'MoDi Initiatives'!$A:$A,'Gap Analysis update'!$A9,'MoDi Initiatives'!$B:$B,'Gap Analysis update'!AC$2)-SUMIFS('MoDi Initiatives'!I:I,'MoDi Initiatives'!$E:$E,'Gap Analysis update'!$B9,'MoDi Initiatives'!$A:$A,'Gap Analysis update'!$A9,'MoDi Initiatives'!$B:$B,'Gap Analysis update'!AC$2,'MoDi Initiatives'!$C:$C,'Gap Analysis update'!$B$7)</f>
        <v>-1.087223600580144E-3</v>
      </c>
      <c r="AD9" s="288">
        <f>SUMIFS('MoDi Initiatives'!J:J,'MoDi Initiatives'!$E:$E,'Gap Analysis update'!$B9,'MoDi Initiatives'!$A:$A,'Gap Analysis update'!$A9,'MoDi Initiatives'!$B:$B,'Gap Analysis update'!AD$2)-SUMIFS('MoDi Initiatives'!J:J,'MoDi Initiatives'!$E:$E,'Gap Analysis update'!$B9,'MoDi Initiatives'!$A:$A,'Gap Analysis update'!$A9,'MoDi Initiatives'!$B:$B,'Gap Analysis update'!AD$2,'MoDi Initiatives'!$C:$C,'Gap Analysis update'!$B$7)</f>
        <v>0</v>
      </c>
      <c r="AE9" s="288">
        <f>SUMIFS('MoDi Initiatives'!K:K,'MoDi Initiatives'!$E:$E,'Gap Analysis update'!$B9,'MoDi Initiatives'!$A:$A,'Gap Analysis update'!$A9,'MoDi Initiatives'!$B:$B,'Gap Analysis update'!AE$2)-SUMIFS('MoDi Initiatives'!K:K,'MoDi Initiatives'!$E:$E,'Gap Analysis update'!$B9,'MoDi Initiatives'!$A:$A,'Gap Analysis update'!$A9,'MoDi Initiatives'!$B:$B,'Gap Analysis update'!AE$2,'MoDi Initiatives'!$C:$C,'Gap Analysis update'!$B$7)</f>
        <v>0</v>
      </c>
      <c r="AF9" s="291">
        <f>SUMIFS('MoDi Initiatives'!L:L,'MoDi Initiatives'!$E:$E,'Gap Analysis update'!$B9,'MoDi Initiatives'!$A:$A,'Gap Analysis update'!$A9,'MoDi Initiatives'!$B:$B,'Gap Analysis update'!AF$2)-SUMIFS('MoDi Initiatives'!L:L,'MoDi Initiatives'!$E:$E,'Gap Analysis update'!$B9,'MoDi Initiatives'!$A:$A,'Gap Analysis update'!$A9,'MoDi Initiatives'!$B:$B,'Gap Analysis update'!AF$2,'MoDi Initiatives'!$C:$C,'Gap Analysis update'!$B$7)</f>
        <v>-2.9137592495547845E-3</v>
      </c>
      <c r="AG9" s="288">
        <f>SUMIFS('MoDi Initiatives'!M:M,'MoDi Initiatives'!$E:$E,'Gap Analysis update'!$B9,'MoDi Initiatives'!$A:$A,'Gap Analysis update'!$A9,'MoDi Initiatives'!$B:$B,'Gap Analysis update'!AG$2)-SUMIFS('MoDi Initiatives'!M:M,'MoDi Initiatives'!$E:$E,'Gap Analysis update'!$B9,'MoDi Initiatives'!$A:$A,'Gap Analysis update'!$A9,'MoDi Initiatives'!$B:$B,'Gap Analysis update'!AG$2,'MoDi Initiatives'!$C:$C,'Gap Analysis update'!$B$7)</f>
        <v>0</v>
      </c>
      <c r="AH9" s="288">
        <f>SUMIFS('MoDi Initiatives'!N:N,'MoDi Initiatives'!$E:$E,'Gap Analysis update'!$B9,'MoDi Initiatives'!$A:$A,'Gap Analysis update'!$A9,'MoDi Initiatives'!$B:$B,'Gap Analysis update'!AH$2)-SUMIFS('MoDi Initiatives'!N:N,'MoDi Initiatives'!$E:$E,'Gap Analysis update'!$B9,'MoDi Initiatives'!$A:$A,'Gap Analysis update'!$A9,'MoDi Initiatives'!$B:$B,'Gap Analysis update'!AH$2,'MoDi Initiatives'!$C:$C,'Gap Analysis update'!$B$7)</f>
        <v>-4.3488944023206526E-4</v>
      </c>
      <c r="AI9" s="288">
        <f>SUMIFS('MoDi Initiatives'!O:O,'MoDi Initiatives'!$E:$E,'Gap Analysis update'!$B9,'MoDi Initiatives'!$A:$A,'Gap Analysis update'!$A9,'MoDi Initiatives'!$B:$B,'Gap Analysis update'!AI$2)-SUMIFS('MoDi Initiatives'!O:O,'MoDi Initiatives'!$E:$E,'Gap Analysis update'!$B9,'MoDi Initiatives'!$A:$A,'Gap Analysis update'!$A9,'MoDi Initiatives'!$B:$B,'Gap Analysis update'!AI$2,'MoDi Initiatives'!$C:$C,'Gap Analysis update'!$B$7)</f>
        <v>-1.609090928858611E-2</v>
      </c>
      <c r="AJ9" s="288">
        <f>SUMIFS('MoDi Initiatives'!P:P,'MoDi Initiatives'!$E:$E,'Gap Analysis update'!$B9,'MoDi Initiatives'!$A:$A,'Gap Analysis update'!$A9,'MoDi Initiatives'!$B:$B,'Gap Analysis update'!AJ$2)-SUMIFS('MoDi Initiatives'!P:P,'MoDi Initiatives'!$E:$E,'Gap Analysis update'!$B9,'MoDi Initiatives'!$A:$A,'Gap Analysis update'!$A9,'MoDi Initiatives'!$B:$B,'Gap Analysis update'!AJ$2,'MoDi Initiatives'!$C:$C,'Gap Analysis update'!$B$7)</f>
        <v>0</v>
      </c>
      <c r="AK9" s="288">
        <f>SUMIFS('MoDi Initiatives'!Q:Q,'MoDi Initiatives'!$E:$E,'Gap Analysis update'!$B9,'MoDi Initiatives'!$A:$A,'Gap Analysis update'!$A9,'MoDi Initiatives'!$B:$B,'Gap Analysis update'!AK$2)-SUMIFS('MoDi Initiatives'!Q:Q,'MoDi Initiatives'!$E:$E,'Gap Analysis update'!$B9,'MoDi Initiatives'!$A:$A,'Gap Analysis update'!$A9,'MoDi Initiatives'!$B:$B,'Gap Analysis update'!AK$2,'MoDi Initiatives'!$C:$C,'Gap Analysis update'!$B$7)</f>
        <v>0</v>
      </c>
      <c r="AL9" s="288">
        <f>SUMIFS('MoDi Initiatives'!R:R,'MoDi Initiatives'!$E:$E,'Gap Analysis update'!$B9,'MoDi Initiatives'!$A:$A,'Gap Analysis update'!$A9,'MoDi Initiatives'!$B:$B,'Gap Analysis update'!AL$2)-SUMIFS('MoDi Initiatives'!R:R,'MoDi Initiatives'!$E:$E,'Gap Analysis update'!$B9,'MoDi Initiatives'!$A:$A,'Gap Analysis update'!$A9,'MoDi Initiatives'!$B:$B,'Gap Analysis update'!AL$2,'MoDi Initiatives'!$C:$C,'Gap Analysis update'!$B$7)</f>
        <v>0</v>
      </c>
      <c r="AM9" s="288">
        <f>SUMIFS('MoDi Initiatives'!S:S,'MoDi Initiatives'!$E:$E,'Gap Analysis update'!$B9,'MoDi Initiatives'!$A:$A,'Gap Analysis update'!$A9,'MoDi Initiatives'!$B:$B,'Gap Analysis update'!AM$2)-SUMIFS('MoDi Initiatives'!S:S,'MoDi Initiatives'!$E:$E,'Gap Analysis update'!$B9,'MoDi Initiatives'!$A:$A,'Gap Analysis update'!$A9,'MoDi Initiatives'!$B:$B,'Gap Analysis update'!AM$2,'MoDi Initiatives'!$C:$C,'Gap Analysis update'!$B$7)</f>
        <v>0</v>
      </c>
      <c r="AN9" s="288">
        <f>SUMIFS('MoDi Initiatives'!T:T,'MoDi Initiatives'!$E:$E,'Gap Analysis update'!$B9,'MoDi Initiatives'!$A:$A,'Gap Analysis update'!$A9,'MoDi Initiatives'!$B:$B,'Gap Analysis update'!AN$2)-SUMIFS('MoDi Initiatives'!T:T,'MoDi Initiatives'!$E:$E,'Gap Analysis update'!$B9,'MoDi Initiatives'!$A:$A,'Gap Analysis update'!$A9,'MoDi Initiatives'!$B:$B,'Gap Analysis update'!AN$2,'MoDi Initiatives'!$C:$C,'Gap Analysis update'!$B$7)</f>
        <v>-2.3918919212763136E-3</v>
      </c>
      <c r="AO9" s="288">
        <f>SUMIFS('MoDi Initiatives'!U:U,'MoDi Initiatives'!$E:$E,'Gap Analysis update'!$B9,'MoDi Initiatives'!$A:$A,'Gap Analysis update'!$A9,'MoDi Initiatives'!$B:$B,'Gap Analysis update'!AO$2)-SUMIFS('MoDi Initiatives'!U:U,'MoDi Initiatives'!$E:$E,'Gap Analysis update'!$B9,'MoDi Initiatives'!$A:$A,'Gap Analysis update'!$A9,'MoDi Initiatives'!$B:$B,'Gap Analysis update'!AO$2,'MoDi Initiatives'!$C:$C,'Gap Analysis update'!$B$7)</f>
        <v>0</v>
      </c>
      <c r="AP9" s="288">
        <f>SUMIFS('MoDi Initiatives'!V:V,'MoDi Initiatives'!$E:$E,'Gap Analysis update'!$B9,'MoDi Initiatives'!$A:$A,'Gap Analysis update'!$A9,'MoDi Initiatives'!$B:$B,'Gap Analysis update'!AP$2)-SUMIFS('MoDi Initiatives'!V:V,'MoDi Initiatives'!$E:$E,'Gap Analysis update'!$B9,'MoDi Initiatives'!$A:$A,'Gap Analysis update'!$A9,'MoDi Initiatives'!$B:$B,'Gap Analysis update'!AP$2,'MoDi Initiatives'!$C:$C,'Gap Analysis update'!$B$7)</f>
        <v>0</v>
      </c>
      <c r="AQ9" s="288">
        <f>SUMIFS('MoDi Initiatives'!W:W,'MoDi Initiatives'!$E:$E,'Gap Analysis update'!$B9,'MoDi Initiatives'!$A:$A,'Gap Analysis update'!$A9,'MoDi Initiatives'!$B:$B,'Gap Analysis update'!AQ$2)-SUMIFS('MoDi Initiatives'!W:W,'MoDi Initiatives'!$E:$E,'Gap Analysis update'!$B9,'MoDi Initiatives'!$A:$A,'Gap Analysis update'!$A9,'MoDi Initiatives'!$B:$B,'Gap Analysis update'!AQ$2,'MoDi Initiatives'!$C:$C,'Gap Analysis update'!$B$7)</f>
        <v>0</v>
      </c>
      <c r="AR9" s="293"/>
      <c r="AS9" s="289"/>
      <c r="AT9" s="289">
        <f t="shared" ref="AT9:BI24" si="9">AB9-J9</f>
        <v>-6.8495086836549129E-3</v>
      </c>
      <c r="AU9" s="289">
        <f t="shared" si="3"/>
        <v>1.1524570166149509E-2</v>
      </c>
      <c r="AV9" s="289">
        <f t="shared" si="3"/>
        <v>0</v>
      </c>
      <c r="AW9" s="289">
        <f t="shared" si="3"/>
        <v>0</v>
      </c>
      <c r="AX9" s="289">
        <f t="shared" si="3"/>
        <v>-2.9137592495547845E-3</v>
      </c>
      <c r="AY9" s="289">
        <f t="shared" si="3"/>
        <v>0</v>
      </c>
      <c r="AZ9" s="289">
        <f t="shared" si="3"/>
        <v>2.7342586330989994E-2</v>
      </c>
      <c r="BA9" s="289">
        <f t="shared" si="3"/>
        <v>-1.609090928858611E-2</v>
      </c>
      <c r="BB9" s="289">
        <f t="shared" si="3"/>
        <v>0</v>
      </c>
      <c r="BC9" s="289">
        <f t="shared" si="3"/>
        <v>0</v>
      </c>
      <c r="BD9" s="289">
        <f t="shared" si="3"/>
        <v>0</v>
      </c>
      <c r="BE9" s="289">
        <f t="shared" si="3"/>
        <v>0</v>
      </c>
      <c r="BF9" s="289">
        <f t="shared" si="3"/>
        <v>4.4576167623785849E-3</v>
      </c>
      <c r="BG9" s="289">
        <f t="shared" si="3"/>
        <v>0</v>
      </c>
      <c r="BH9" s="289">
        <f t="shared" si="3"/>
        <v>0</v>
      </c>
      <c r="BI9" s="289">
        <f t="shared" si="3"/>
        <v>0</v>
      </c>
      <c r="BJ9" s="293"/>
      <c r="BK9" s="286"/>
      <c r="BL9" s="286"/>
      <c r="BM9" s="286" t="s">
        <v>36</v>
      </c>
      <c r="BN9" s="286" t="s">
        <v>37</v>
      </c>
      <c r="BO9" s="286"/>
      <c r="BP9" s="286"/>
      <c r="BQ9" s="286" t="s">
        <v>38</v>
      </c>
      <c r="BR9" s="286"/>
      <c r="BS9" s="286" t="s">
        <v>39</v>
      </c>
      <c r="BT9" s="286" t="s">
        <v>40</v>
      </c>
      <c r="BU9" s="286" t="s">
        <v>41</v>
      </c>
      <c r="BV9" s="286"/>
      <c r="BW9" s="286"/>
      <c r="BX9" s="286"/>
      <c r="BY9" s="286" t="s">
        <v>42</v>
      </c>
      <c r="BZ9" s="286"/>
      <c r="CA9" s="286"/>
    </row>
    <row r="10" spans="1:79" s="288" customFormat="1" ht="52" outlineLevel="1">
      <c r="A10" s="286" t="s">
        <v>19</v>
      </c>
      <c r="B10" s="287" t="s">
        <v>43</v>
      </c>
      <c r="C10" s="288">
        <f t="shared" si="6"/>
        <v>2.0822610771781659E-3</v>
      </c>
      <c r="D10" s="289">
        <f t="shared" si="7"/>
        <v>2.1077423367044518E-3</v>
      </c>
      <c r="E10" s="289">
        <f t="shared" si="8"/>
        <v>4.1900034138826177E-3</v>
      </c>
      <c r="F10" s="286" t="s">
        <v>44</v>
      </c>
      <c r="G10" s="286" t="s">
        <v>45</v>
      </c>
      <c r="H10" s="290"/>
      <c r="J10" s="288">
        <f>SUMIFS('MoDi Initiatives'!H:H,'MoDi Initiatives'!$E:$E,'Gap Analysis update'!$B10,'MoDi Initiatives'!$A:$A,'Gap Analysis update'!$A10,'MoDi Initiatives'!$B:$B,'Gap Analysis update'!J$2)-SUMIFS('MoDi Initiatives'!H:H,'MoDi Initiatives'!$E:$E,'Gap Analysis update'!$B10,'MoDi Initiatives'!$A:$A,'Gap Analysis update'!$A10,'MoDi Initiatives'!$C:$C,'Gap Analysis update'!$B$7,'MoDi Initiatives'!$B:$B,'Gap Analysis update'!J$2)</f>
        <v>0</v>
      </c>
      <c r="K10" s="288">
        <f>SUMIFS('MoDi Initiatives'!I:I,'MoDi Initiatives'!$E:$E,'Gap Analysis update'!$B10,'MoDi Initiatives'!$A:$A,'Gap Analysis update'!$A10,'MoDi Initiatives'!$B:$B,'Gap Analysis update'!K$2)-SUMIFS('MoDi Initiatives'!I:I,'MoDi Initiatives'!$E:$E,'Gap Analysis update'!$B10,'MoDi Initiatives'!$A:$A,'Gap Analysis update'!$A10,'MoDi Initiatives'!$C:$C,'Gap Analysis update'!$B$7,'MoDi Initiatives'!$B:$B,'Gap Analysis update'!K$2)</f>
        <v>0</v>
      </c>
      <c r="L10" s="288">
        <f>SUMIFS('MoDi Initiatives'!J:J,'MoDi Initiatives'!$E:$E,'Gap Analysis update'!$B10,'MoDi Initiatives'!$A:$A,'Gap Analysis update'!$A10,'MoDi Initiatives'!$B:$B,'Gap Analysis update'!L$2)-SUMIFS('MoDi Initiatives'!J:J,'MoDi Initiatives'!$E:$E,'Gap Analysis update'!$B10,'MoDi Initiatives'!$A:$A,'Gap Analysis update'!$A10,'MoDi Initiatives'!$C:$C,'Gap Analysis update'!$B$7,'MoDi Initiatives'!$B:$B,'Gap Analysis update'!L$2)</f>
        <v>0</v>
      </c>
      <c r="M10" s="288">
        <f>SUMIFS('MoDi Initiatives'!K:K,'MoDi Initiatives'!$E:$E,'Gap Analysis update'!$B10,'MoDi Initiatives'!$A:$A,'Gap Analysis update'!$A10,'MoDi Initiatives'!$B:$B,'Gap Analysis update'!M$2)-SUMIFS('MoDi Initiatives'!K:K,'MoDi Initiatives'!$E:$E,'Gap Analysis update'!$B10,'MoDi Initiatives'!$A:$A,'Gap Analysis update'!$A10,'MoDi Initiatives'!$C:$C,'Gap Analysis update'!$B$7,'MoDi Initiatives'!$B:$B,'Gap Analysis update'!M$2)</f>
        <v>0</v>
      </c>
      <c r="N10" s="288">
        <f>SUMIFS('MoDi Initiatives'!L:L,'MoDi Initiatives'!$E:$E,'Gap Analysis update'!$B10,'MoDi Initiatives'!$A:$A,'Gap Analysis update'!$A10,'MoDi Initiatives'!$B:$B,'Gap Analysis update'!N$2)-SUMIFS('MoDi Initiatives'!L:L,'MoDi Initiatives'!$E:$E,'Gap Analysis update'!$B10,'MoDi Initiatives'!$A:$A,'Gap Analysis update'!$A10,'MoDi Initiatives'!$C:$C,'Gap Analysis update'!$B$7,'MoDi Initiatives'!$B:$B,'Gap Analysis update'!N$2)</f>
        <v>0</v>
      </c>
      <c r="O10" s="288">
        <f>SUMIFS('MoDi Initiatives'!M:M,'MoDi Initiatives'!$E:$E,'Gap Analysis update'!$B10,'MoDi Initiatives'!$A:$A,'Gap Analysis update'!$A10,'MoDi Initiatives'!$B:$B,'Gap Analysis update'!O$2)-SUMIFS('MoDi Initiatives'!M:M,'MoDi Initiatives'!$E:$E,'Gap Analysis update'!$B10,'MoDi Initiatives'!$A:$A,'Gap Analysis update'!$A10,'MoDi Initiatives'!$C:$C,'Gap Analysis update'!$B$7,'MoDi Initiatives'!$B:$B,'Gap Analysis update'!O$2)</f>
        <v>0</v>
      </c>
      <c r="P10" s="288">
        <f>SUMIFS('MoDi Initiatives'!N:N,'MoDi Initiatives'!$E:$E,'Gap Analysis update'!$B10,'MoDi Initiatives'!$A:$A,'Gap Analysis update'!$A10,'MoDi Initiatives'!$B:$B,'Gap Analysis update'!P$2)-SUMIFS('MoDi Initiatives'!N:N,'MoDi Initiatives'!$E:$E,'Gap Analysis update'!$B10,'MoDi Initiatives'!$A:$A,'Gap Analysis update'!$A10,'MoDi Initiatives'!$C:$C,'Gap Analysis update'!$B$7,'MoDi Initiatives'!$B:$B,'Gap Analysis update'!P$2)</f>
        <v>0</v>
      </c>
      <c r="Q10" s="288">
        <f>SUMIFS('MoDi Initiatives'!O:O,'MoDi Initiatives'!$E:$E,'Gap Analysis update'!$B10,'MoDi Initiatives'!$A:$A,'Gap Analysis update'!$A10,'MoDi Initiatives'!$B:$B,'Gap Analysis update'!Q$2)-SUMIFS('MoDi Initiatives'!O:O,'MoDi Initiatives'!$E:$E,'Gap Analysis update'!$B10,'MoDi Initiatives'!$A:$A,'Gap Analysis update'!$A10,'MoDi Initiatives'!$C:$C,'Gap Analysis update'!$B$7,'MoDi Initiatives'!$B:$B,'Gap Analysis update'!Q$2)</f>
        <v>0</v>
      </c>
      <c r="R10" s="288">
        <f>SUMIFS('MoDi Initiatives'!P:P,'MoDi Initiatives'!$E:$E,'Gap Analysis update'!$B10,'MoDi Initiatives'!$A:$A,'Gap Analysis update'!$A10,'MoDi Initiatives'!$B:$B,'Gap Analysis update'!R$2)-SUMIFS('MoDi Initiatives'!P:P,'MoDi Initiatives'!$E:$E,'Gap Analysis update'!$B10,'MoDi Initiatives'!$A:$A,'Gap Analysis update'!$A10,'MoDi Initiatives'!$C:$C,'Gap Analysis update'!$B$7,'MoDi Initiatives'!$B:$B,'Gap Analysis update'!R$2)</f>
        <v>0</v>
      </c>
      <c r="S10" s="288">
        <f>SUMIFS('MoDi Initiatives'!Q:Q,'MoDi Initiatives'!$E:$E,'Gap Analysis update'!$B10,'MoDi Initiatives'!$A:$A,'Gap Analysis update'!$A10,'MoDi Initiatives'!$B:$B,'Gap Analysis update'!S$2)-SUMIFS('MoDi Initiatives'!Q:Q,'MoDi Initiatives'!$E:$E,'Gap Analysis update'!$B10,'MoDi Initiatives'!$A:$A,'Gap Analysis update'!$A10,'MoDi Initiatives'!$C:$C,'Gap Analysis update'!$B$7,'MoDi Initiatives'!$B:$B,'Gap Analysis update'!S$2)</f>
        <v>0</v>
      </c>
      <c r="T10" s="288">
        <f>SUMIFS('MoDi Initiatives'!R:R,'MoDi Initiatives'!$E:$E,'Gap Analysis update'!$B10,'MoDi Initiatives'!$A:$A,'Gap Analysis update'!$A10,'MoDi Initiatives'!$B:$B,'Gap Analysis update'!T$2)-SUMIFS('MoDi Initiatives'!R:R,'MoDi Initiatives'!$E:$E,'Gap Analysis update'!$B10,'MoDi Initiatives'!$A:$A,'Gap Analysis update'!$A10,'MoDi Initiatives'!$C:$C,'Gap Analysis update'!$B$7,'MoDi Initiatives'!$B:$B,'Gap Analysis update'!T$2)</f>
        <v>0</v>
      </c>
      <c r="U10" s="288">
        <f>SUMIFS('MoDi Initiatives'!S:S,'MoDi Initiatives'!$E:$E,'Gap Analysis update'!$B10,'MoDi Initiatives'!$A:$A,'Gap Analysis update'!$A10,'MoDi Initiatives'!$B:$B,'Gap Analysis update'!U$2)-SUMIFS('MoDi Initiatives'!S:S,'MoDi Initiatives'!$E:$E,'Gap Analysis update'!$B10,'MoDi Initiatives'!$A:$A,'Gap Analysis update'!$A10,'MoDi Initiatives'!$C:$C,'Gap Analysis update'!$B$7,'MoDi Initiatives'!$B:$B,'Gap Analysis update'!U$2)</f>
        <v>0</v>
      </c>
      <c r="V10" s="288">
        <f>SUMIFS('MoDi Initiatives'!T:T,'MoDi Initiatives'!$E:$E,'Gap Analysis update'!$B10,'MoDi Initiatives'!$A:$A,'Gap Analysis update'!$A10,'MoDi Initiatives'!$B:$B,'Gap Analysis update'!V$2)-SUMIFS('MoDi Initiatives'!T:T,'MoDi Initiatives'!$E:$E,'Gap Analysis update'!$B10,'MoDi Initiatives'!$A:$A,'Gap Analysis update'!$A10,'MoDi Initiatives'!$C:$C,'Gap Analysis update'!$B$7,'MoDi Initiatives'!$B:$B,'Gap Analysis update'!V$2)</f>
        <v>0</v>
      </c>
      <c r="W10" s="288">
        <f>SUMIFS('MoDi Initiatives'!U:U,'MoDi Initiatives'!$E:$E,'Gap Analysis update'!$B10,'MoDi Initiatives'!$A:$A,'Gap Analysis update'!$A10,'MoDi Initiatives'!$B:$B,'Gap Analysis update'!W$2)-SUMIFS('MoDi Initiatives'!U:U,'MoDi Initiatives'!$E:$E,'Gap Analysis update'!$B10,'MoDi Initiatives'!$A:$A,'Gap Analysis update'!$A10,'MoDi Initiatives'!$C:$C,'Gap Analysis update'!$B$7,'MoDi Initiatives'!$B:$B,'Gap Analysis update'!W$2)</f>
        <v>0</v>
      </c>
      <c r="X10" s="288">
        <f>SUMIFS('MoDi Initiatives'!V:V,'MoDi Initiatives'!$E:$E,'Gap Analysis update'!$B10,'MoDi Initiatives'!$A:$A,'Gap Analysis update'!$A10,'MoDi Initiatives'!$B:$B,'Gap Analysis update'!X$2)-SUMIFS('MoDi Initiatives'!V:V,'MoDi Initiatives'!$E:$E,'Gap Analysis update'!$B10,'MoDi Initiatives'!$A:$A,'Gap Analysis update'!$A10,'MoDi Initiatives'!$C:$C,'Gap Analysis update'!$B$7,'MoDi Initiatives'!$B:$B,'Gap Analysis update'!X$2)</f>
        <v>0</v>
      </c>
      <c r="Y10" s="288">
        <f>SUMIFS('MoDi Initiatives'!W:W,'MoDi Initiatives'!$E:$E,'Gap Analysis update'!$B10,'MoDi Initiatives'!$A:$A,'Gap Analysis update'!$A10,'MoDi Initiatives'!$B:$B,'Gap Analysis update'!Y$2)-SUMIFS('MoDi Initiatives'!W:W,'MoDi Initiatives'!$E:$E,'Gap Analysis update'!$B10,'MoDi Initiatives'!$A:$A,'Gap Analysis update'!$A10,'MoDi Initiatives'!$C:$C,'Gap Analysis update'!$B$7,'MoDi Initiatives'!$B:$B,'Gap Analysis update'!Y$2)</f>
        <v>0</v>
      </c>
      <c r="Z10" s="293"/>
      <c r="AB10" s="288">
        <f>SUMIFS('MoDi Initiatives'!H:H,'MoDi Initiatives'!$E:$E,'Gap Analysis update'!$B10,'MoDi Initiatives'!$A:$A,'Gap Analysis update'!$A10,'MoDi Initiatives'!$B:$B,'Gap Analysis update'!AB$2)-SUMIFS('MoDi Initiatives'!H:H,'MoDi Initiatives'!$E:$E,'Gap Analysis update'!$B10,'MoDi Initiatives'!$A:$A,'Gap Analysis update'!$A10,'MoDi Initiatives'!$B:$B,'Gap Analysis update'!AB$2,'MoDi Initiatives'!$C:$C,'Gap Analysis update'!$B$7)</f>
        <v>0</v>
      </c>
      <c r="AC10" s="288">
        <f>SUMIFS('MoDi Initiatives'!I:I,'MoDi Initiatives'!$E:$E,'Gap Analysis update'!$B10,'MoDi Initiatives'!$A:$A,'Gap Analysis update'!$A10,'MoDi Initiatives'!$B:$B,'Gap Analysis update'!AC$2)-SUMIFS('MoDi Initiatives'!I:I,'MoDi Initiatives'!$E:$E,'Gap Analysis update'!$B10,'MoDi Initiatives'!$A:$A,'Gap Analysis update'!$A10,'MoDi Initiatives'!$B:$B,'Gap Analysis update'!AC$2,'MoDi Initiatives'!$C:$C,'Gap Analysis update'!$B$7)</f>
        <v>0</v>
      </c>
      <c r="AD10" s="288">
        <f>SUMIFS('MoDi Initiatives'!J:J,'MoDi Initiatives'!$E:$E,'Gap Analysis update'!$B10,'MoDi Initiatives'!$A:$A,'Gap Analysis update'!$A10,'MoDi Initiatives'!$B:$B,'Gap Analysis update'!AD$2)-SUMIFS('MoDi Initiatives'!J:J,'MoDi Initiatives'!$E:$E,'Gap Analysis update'!$B10,'MoDi Initiatives'!$A:$A,'Gap Analysis update'!$A10,'MoDi Initiatives'!$B:$B,'Gap Analysis update'!AD$2,'MoDi Initiatives'!$C:$C,'Gap Analysis update'!$B$7)</f>
        <v>0</v>
      </c>
      <c r="AE10" s="288">
        <f>SUMIFS('MoDi Initiatives'!K:K,'MoDi Initiatives'!$E:$E,'Gap Analysis update'!$B10,'MoDi Initiatives'!$A:$A,'Gap Analysis update'!$A10,'MoDi Initiatives'!$B:$B,'Gap Analysis update'!AE$2)-SUMIFS('MoDi Initiatives'!K:K,'MoDi Initiatives'!$E:$E,'Gap Analysis update'!$B10,'MoDi Initiatives'!$A:$A,'Gap Analysis update'!$A10,'MoDi Initiatives'!$B:$B,'Gap Analysis update'!AE$2,'MoDi Initiatives'!$C:$C,'Gap Analysis update'!$B$7)</f>
        <v>0</v>
      </c>
      <c r="AF10" s="288">
        <f>SUMIFS('MoDi Initiatives'!L:L,'MoDi Initiatives'!$E:$E,'Gap Analysis update'!$B10,'MoDi Initiatives'!$A:$A,'Gap Analysis update'!$A10,'MoDi Initiatives'!$B:$B,'Gap Analysis update'!AF$2)-SUMIFS('MoDi Initiatives'!L:L,'MoDi Initiatives'!$E:$E,'Gap Analysis update'!$B10,'MoDi Initiatives'!$A:$A,'Gap Analysis update'!$A10,'MoDi Initiatives'!$B:$B,'Gap Analysis update'!AF$2,'MoDi Initiatives'!$C:$C,'Gap Analysis update'!$B$7)</f>
        <v>0</v>
      </c>
      <c r="AG10" s="288">
        <f>SUMIFS('MoDi Initiatives'!M:M,'MoDi Initiatives'!$E:$E,'Gap Analysis update'!$B10,'MoDi Initiatives'!$A:$A,'Gap Analysis update'!$A10,'MoDi Initiatives'!$B:$B,'Gap Analysis update'!AG$2)-SUMIFS('MoDi Initiatives'!M:M,'MoDi Initiatives'!$E:$E,'Gap Analysis update'!$B10,'MoDi Initiatives'!$A:$A,'Gap Analysis update'!$A10,'MoDi Initiatives'!$B:$B,'Gap Analysis update'!AG$2,'MoDi Initiatives'!$C:$C,'Gap Analysis update'!$B$7)</f>
        <v>2.0822610771781659E-3</v>
      </c>
      <c r="AH10" s="288">
        <f>SUMIFS('MoDi Initiatives'!N:N,'MoDi Initiatives'!$E:$E,'Gap Analysis update'!$B10,'MoDi Initiatives'!$A:$A,'Gap Analysis update'!$A10,'MoDi Initiatives'!$B:$B,'Gap Analysis update'!AH$2)-SUMIFS('MoDi Initiatives'!N:N,'MoDi Initiatives'!$E:$E,'Gap Analysis update'!$B10,'MoDi Initiatives'!$A:$A,'Gap Analysis update'!$A10,'MoDi Initiatives'!$B:$B,'Gap Analysis update'!AH$2,'MoDi Initiatives'!$C:$C,'Gap Analysis update'!$B$7)</f>
        <v>0</v>
      </c>
      <c r="AI10" s="288">
        <f>SUMIFS('MoDi Initiatives'!O:O,'MoDi Initiatives'!$E:$E,'Gap Analysis update'!$B10,'MoDi Initiatives'!$A:$A,'Gap Analysis update'!$A10,'MoDi Initiatives'!$B:$B,'Gap Analysis update'!AI$2)-SUMIFS('MoDi Initiatives'!O:O,'MoDi Initiatives'!$E:$E,'Gap Analysis update'!$B10,'MoDi Initiatives'!$A:$A,'Gap Analysis update'!$A10,'MoDi Initiatives'!$B:$B,'Gap Analysis update'!AI$2,'MoDi Initiatives'!$C:$C,'Gap Analysis update'!$B$7)</f>
        <v>0</v>
      </c>
      <c r="AJ10" s="288">
        <f>SUMIFS('MoDi Initiatives'!P:P,'MoDi Initiatives'!$E:$E,'Gap Analysis update'!$B10,'MoDi Initiatives'!$A:$A,'Gap Analysis update'!$A10,'MoDi Initiatives'!$B:$B,'Gap Analysis update'!AJ$2)-SUMIFS('MoDi Initiatives'!P:P,'MoDi Initiatives'!$E:$E,'Gap Analysis update'!$B10,'MoDi Initiatives'!$A:$A,'Gap Analysis update'!$A10,'MoDi Initiatives'!$B:$B,'Gap Analysis update'!AJ$2,'MoDi Initiatives'!$C:$C,'Gap Analysis update'!$B$7)</f>
        <v>0</v>
      </c>
      <c r="AK10" s="288">
        <f>SUMIFS('MoDi Initiatives'!Q:Q,'MoDi Initiatives'!$E:$E,'Gap Analysis update'!$B10,'MoDi Initiatives'!$A:$A,'Gap Analysis update'!$A10,'MoDi Initiatives'!$B:$B,'Gap Analysis update'!AK$2)-SUMIFS('MoDi Initiatives'!Q:Q,'MoDi Initiatives'!$E:$E,'Gap Analysis update'!$B10,'MoDi Initiatives'!$A:$A,'Gap Analysis update'!$A10,'MoDi Initiatives'!$B:$B,'Gap Analysis update'!AK$2,'MoDi Initiatives'!$C:$C,'Gap Analysis update'!$B$7)</f>
        <v>2.1077423367044518E-3</v>
      </c>
      <c r="AL10" s="288">
        <f>SUMIFS('MoDi Initiatives'!R:R,'MoDi Initiatives'!$E:$E,'Gap Analysis update'!$B10,'MoDi Initiatives'!$A:$A,'Gap Analysis update'!$A10,'MoDi Initiatives'!$B:$B,'Gap Analysis update'!AL$2)-SUMIFS('MoDi Initiatives'!R:R,'MoDi Initiatives'!$E:$E,'Gap Analysis update'!$B10,'MoDi Initiatives'!$A:$A,'Gap Analysis update'!$A10,'MoDi Initiatives'!$B:$B,'Gap Analysis update'!AL$2,'MoDi Initiatives'!$C:$C,'Gap Analysis update'!$B$7)</f>
        <v>0</v>
      </c>
      <c r="AM10" s="288">
        <f>SUMIFS('MoDi Initiatives'!S:S,'MoDi Initiatives'!$E:$E,'Gap Analysis update'!$B10,'MoDi Initiatives'!$A:$A,'Gap Analysis update'!$A10,'MoDi Initiatives'!$B:$B,'Gap Analysis update'!AM$2)-SUMIFS('MoDi Initiatives'!S:S,'MoDi Initiatives'!$E:$E,'Gap Analysis update'!$B10,'MoDi Initiatives'!$A:$A,'Gap Analysis update'!$A10,'MoDi Initiatives'!$B:$B,'Gap Analysis update'!AM$2,'MoDi Initiatives'!$C:$C,'Gap Analysis update'!$B$7)</f>
        <v>0</v>
      </c>
      <c r="AN10" s="288">
        <f>SUMIFS('MoDi Initiatives'!T:T,'MoDi Initiatives'!$E:$E,'Gap Analysis update'!$B10,'MoDi Initiatives'!$A:$A,'Gap Analysis update'!$A10,'MoDi Initiatives'!$B:$B,'Gap Analysis update'!AN$2)-SUMIFS('MoDi Initiatives'!T:T,'MoDi Initiatives'!$E:$E,'Gap Analysis update'!$B10,'MoDi Initiatives'!$A:$A,'Gap Analysis update'!$A10,'MoDi Initiatives'!$B:$B,'Gap Analysis update'!AN$2,'MoDi Initiatives'!$C:$C,'Gap Analysis update'!$B$7)</f>
        <v>0</v>
      </c>
      <c r="AO10" s="288">
        <f>SUMIFS('MoDi Initiatives'!U:U,'MoDi Initiatives'!$E:$E,'Gap Analysis update'!$B10,'MoDi Initiatives'!$A:$A,'Gap Analysis update'!$A10,'MoDi Initiatives'!$B:$B,'Gap Analysis update'!AO$2)-SUMIFS('MoDi Initiatives'!U:U,'MoDi Initiatives'!$E:$E,'Gap Analysis update'!$B10,'MoDi Initiatives'!$A:$A,'Gap Analysis update'!$A10,'MoDi Initiatives'!$B:$B,'Gap Analysis update'!AO$2,'MoDi Initiatives'!$C:$C,'Gap Analysis update'!$B$7)</f>
        <v>0</v>
      </c>
      <c r="AP10" s="288">
        <f>SUMIFS('MoDi Initiatives'!V:V,'MoDi Initiatives'!$E:$E,'Gap Analysis update'!$B10,'MoDi Initiatives'!$A:$A,'Gap Analysis update'!$A10,'MoDi Initiatives'!$B:$B,'Gap Analysis update'!AP$2)-SUMIFS('MoDi Initiatives'!V:V,'MoDi Initiatives'!$E:$E,'Gap Analysis update'!$B10,'MoDi Initiatives'!$A:$A,'Gap Analysis update'!$A10,'MoDi Initiatives'!$B:$B,'Gap Analysis update'!AP$2,'MoDi Initiatives'!$C:$C,'Gap Analysis update'!$B$7)</f>
        <v>0</v>
      </c>
      <c r="AQ10" s="288">
        <f>SUMIFS('MoDi Initiatives'!W:W,'MoDi Initiatives'!$E:$E,'Gap Analysis update'!$B10,'MoDi Initiatives'!$A:$A,'Gap Analysis update'!$A10,'MoDi Initiatives'!$B:$B,'Gap Analysis update'!AQ$2)-SUMIFS('MoDi Initiatives'!W:W,'MoDi Initiatives'!$E:$E,'Gap Analysis update'!$B10,'MoDi Initiatives'!$A:$A,'Gap Analysis update'!$A10,'MoDi Initiatives'!$B:$B,'Gap Analysis update'!AQ$2,'MoDi Initiatives'!$C:$C,'Gap Analysis update'!$B$7)</f>
        <v>0</v>
      </c>
      <c r="AR10" s="293"/>
      <c r="AS10" s="289"/>
      <c r="AT10" s="289">
        <f t="shared" si="9"/>
        <v>0</v>
      </c>
      <c r="AU10" s="289">
        <f t="shared" si="3"/>
        <v>0</v>
      </c>
      <c r="AV10" s="289">
        <f t="shared" si="3"/>
        <v>0</v>
      </c>
      <c r="AW10" s="289">
        <f t="shared" si="3"/>
        <v>0</v>
      </c>
      <c r="AX10" s="289">
        <f t="shared" si="3"/>
        <v>0</v>
      </c>
      <c r="AY10" s="289">
        <f t="shared" si="3"/>
        <v>2.0822610771781659E-3</v>
      </c>
      <c r="AZ10" s="289">
        <f t="shared" si="3"/>
        <v>0</v>
      </c>
      <c r="BA10" s="289">
        <f t="shared" si="3"/>
        <v>0</v>
      </c>
      <c r="BB10" s="289">
        <f t="shared" si="3"/>
        <v>0</v>
      </c>
      <c r="BC10" s="289">
        <f t="shared" si="3"/>
        <v>2.1077423367044518E-3</v>
      </c>
      <c r="BD10" s="289">
        <f t="shared" si="3"/>
        <v>0</v>
      </c>
      <c r="BE10" s="289">
        <f t="shared" si="3"/>
        <v>0</v>
      </c>
      <c r="BF10" s="289">
        <f t="shared" si="3"/>
        <v>0</v>
      </c>
      <c r="BG10" s="289">
        <f t="shared" si="3"/>
        <v>0</v>
      </c>
      <c r="BH10" s="289">
        <f t="shared" si="3"/>
        <v>0</v>
      </c>
      <c r="BI10" s="289">
        <f t="shared" si="3"/>
        <v>0</v>
      </c>
      <c r="BJ10" s="293"/>
      <c r="BK10" s="286"/>
      <c r="BL10" s="286"/>
      <c r="BM10" s="286"/>
      <c r="BN10" s="286"/>
      <c r="BO10" s="286"/>
      <c r="BP10" s="286"/>
      <c r="BQ10" s="286" t="s">
        <v>22</v>
      </c>
      <c r="BR10" s="286" t="s">
        <v>46</v>
      </c>
      <c r="BS10" s="286"/>
      <c r="BT10" s="286"/>
      <c r="BU10" s="286" t="s">
        <v>47</v>
      </c>
      <c r="BV10" s="286" t="s">
        <v>48</v>
      </c>
      <c r="BW10" s="286"/>
      <c r="BX10" s="286"/>
      <c r="BY10" s="286"/>
      <c r="BZ10" s="286"/>
      <c r="CA10" s="286"/>
    </row>
    <row r="11" spans="1:79" s="288" customFormat="1" ht="65" outlineLevel="1">
      <c r="A11" s="286" t="s">
        <v>19</v>
      </c>
      <c r="B11" s="287" t="s">
        <v>49</v>
      </c>
      <c r="C11" s="288">
        <f t="shared" si="6"/>
        <v>0</v>
      </c>
      <c r="D11" s="289">
        <f t="shared" si="7"/>
        <v>0</v>
      </c>
      <c r="E11" s="289">
        <f t="shared" si="8"/>
        <v>0</v>
      </c>
      <c r="F11" s="286" t="s">
        <v>50</v>
      </c>
      <c r="G11" s="286"/>
      <c r="H11" s="290"/>
      <c r="J11" s="288">
        <f>SUMIFS('MoDi Initiatives'!H:H,'MoDi Initiatives'!$E:$E,'Gap Analysis update'!$B11,'MoDi Initiatives'!$A:$A,'Gap Analysis update'!$A11,'MoDi Initiatives'!$B:$B,'Gap Analysis update'!J$2)-SUMIFS('MoDi Initiatives'!H:H,'MoDi Initiatives'!$E:$E,'Gap Analysis update'!$B11,'MoDi Initiatives'!$A:$A,'Gap Analysis update'!$A11,'MoDi Initiatives'!$C:$C,'Gap Analysis update'!$B$7,'MoDi Initiatives'!$B:$B,'Gap Analysis update'!J$2)</f>
        <v>0</v>
      </c>
      <c r="K11" s="288">
        <f>SUMIFS('MoDi Initiatives'!I:I,'MoDi Initiatives'!$E:$E,'Gap Analysis update'!$B11,'MoDi Initiatives'!$A:$A,'Gap Analysis update'!$A11,'MoDi Initiatives'!$B:$B,'Gap Analysis update'!K$2)-SUMIFS('MoDi Initiatives'!I:I,'MoDi Initiatives'!$E:$E,'Gap Analysis update'!$B11,'MoDi Initiatives'!$A:$A,'Gap Analysis update'!$A11,'MoDi Initiatives'!$C:$C,'Gap Analysis update'!$B$7,'MoDi Initiatives'!$B:$B,'Gap Analysis update'!K$2)</f>
        <v>0</v>
      </c>
      <c r="L11" s="288">
        <f>SUMIFS('MoDi Initiatives'!J:J,'MoDi Initiatives'!$E:$E,'Gap Analysis update'!$B11,'MoDi Initiatives'!$A:$A,'Gap Analysis update'!$A11,'MoDi Initiatives'!$B:$B,'Gap Analysis update'!L$2)-SUMIFS('MoDi Initiatives'!J:J,'MoDi Initiatives'!$E:$E,'Gap Analysis update'!$B11,'MoDi Initiatives'!$A:$A,'Gap Analysis update'!$A11,'MoDi Initiatives'!$C:$C,'Gap Analysis update'!$B$7,'MoDi Initiatives'!$B:$B,'Gap Analysis update'!L$2)</f>
        <v>0</v>
      </c>
      <c r="M11" s="288">
        <f>SUMIFS('MoDi Initiatives'!K:K,'MoDi Initiatives'!$E:$E,'Gap Analysis update'!$B11,'MoDi Initiatives'!$A:$A,'Gap Analysis update'!$A11,'MoDi Initiatives'!$B:$B,'Gap Analysis update'!M$2)-SUMIFS('MoDi Initiatives'!K:K,'MoDi Initiatives'!$E:$E,'Gap Analysis update'!$B11,'MoDi Initiatives'!$A:$A,'Gap Analysis update'!$A11,'MoDi Initiatives'!$C:$C,'Gap Analysis update'!$B$7,'MoDi Initiatives'!$B:$B,'Gap Analysis update'!M$2)</f>
        <v>0</v>
      </c>
      <c r="N11" s="288">
        <f>SUMIFS('MoDi Initiatives'!L:L,'MoDi Initiatives'!$E:$E,'Gap Analysis update'!$B11,'MoDi Initiatives'!$A:$A,'Gap Analysis update'!$A11,'MoDi Initiatives'!$B:$B,'Gap Analysis update'!N$2)-SUMIFS('MoDi Initiatives'!L:L,'MoDi Initiatives'!$E:$E,'Gap Analysis update'!$B11,'MoDi Initiatives'!$A:$A,'Gap Analysis update'!$A11,'MoDi Initiatives'!$C:$C,'Gap Analysis update'!$B$7,'MoDi Initiatives'!$B:$B,'Gap Analysis update'!N$2)</f>
        <v>0</v>
      </c>
      <c r="O11" s="288">
        <f>SUMIFS('MoDi Initiatives'!M:M,'MoDi Initiatives'!$E:$E,'Gap Analysis update'!$B11,'MoDi Initiatives'!$A:$A,'Gap Analysis update'!$A11,'MoDi Initiatives'!$B:$B,'Gap Analysis update'!O$2)-SUMIFS('MoDi Initiatives'!M:M,'MoDi Initiatives'!$E:$E,'Gap Analysis update'!$B11,'MoDi Initiatives'!$A:$A,'Gap Analysis update'!$A11,'MoDi Initiatives'!$C:$C,'Gap Analysis update'!$B$7,'MoDi Initiatives'!$B:$B,'Gap Analysis update'!O$2)</f>
        <v>0</v>
      </c>
      <c r="P11" s="288">
        <f>SUMIFS('MoDi Initiatives'!N:N,'MoDi Initiatives'!$E:$E,'Gap Analysis update'!$B11,'MoDi Initiatives'!$A:$A,'Gap Analysis update'!$A11,'MoDi Initiatives'!$B:$B,'Gap Analysis update'!P$2)-SUMIFS('MoDi Initiatives'!N:N,'MoDi Initiatives'!$E:$E,'Gap Analysis update'!$B11,'MoDi Initiatives'!$A:$A,'Gap Analysis update'!$A11,'MoDi Initiatives'!$C:$C,'Gap Analysis update'!$B$7,'MoDi Initiatives'!$B:$B,'Gap Analysis update'!P$2)</f>
        <v>0</v>
      </c>
      <c r="Q11" s="288">
        <f>SUMIFS('MoDi Initiatives'!O:O,'MoDi Initiatives'!$E:$E,'Gap Analysis update'!$B11,'MoDi Initiatives'!$A:$A,'Gap Analysis update'!$A11,'MoDi Initiatives'!$B:$B,'Gap Analysis update'!Q$2)-SUMIFS('MoDi Initiatives'!O:O,'MoDi Initiatives'!$E:$E,'Gap Analysis update'!$B11,'MoDi Initiatives'!$A:$A,'Gap Analysis update'!$A11,'MoDi Initiatives'!$C:$C,'Gap Analysis update'!$B$7,'MoDi Initiatives'!$B:$B,'Gap Analysis update'!Q$2)</f>
        <v>0</v>
      </c>
      <c r="R11" s="288">
        <f>SUMIFS('MoDi Initiatives'!P:P,'MoDi Initiatives'!$E:$E,'Gap Analysis update'!$B11,'MoDi Initiatives'!$A:$A,'Gap Analysis update'!$A11,'MoDi Initiatives'!$B:$B,'Gap Analysis update'!R$2)-SUMIFS('MoDi Initiatives'!P:P,'MoDi Initiatives'!$E:$E,'Gap Analysis update'!$B11,'MoDi Initiatives'!$A:$A,'Gap Analysis update'!$A11,'MoDi Initiatives'!$C:$C,'Gap Analysis update'!$B$7,'MoDi Initiatives'!$B:$B,'Gap Analysis update'!R$2)</f>
        <v>0</v>
      </c>
      <c r="S11" s="288">
        <f>SUMIFS('MoDi Initiatives'!Q:Q,'MoDi Initiatives'!$E:$E,'Gap Analysis update'!$B11,'MoDi Initiatives'!$A:$A,'Gap Analysis update'!$A11,'MoDi Initiatives'!$B:$B,'Gap Analysis update'!S$2)-SUMIFS('MoDi Initiatives'!Q:Q,'MoDi Initiatives'!$E:$E,'Gap Analysis update'!$B11,'MoDi Initiatives'!$A:$A,'Gap Analysis update'!$A11,'MoDi Initiatives'!$C:$C,'Gap Analysis update'!$B$7,'MoDi Initiatives'!$B:$B,'Gap Analysis update'!S$2)</f>
        <v>0</v>
      </c>
      <c r="T11" s="288">
        <f>SUMIFS('MoDi Initiatives'!R:R,'MoDi Initiatives'!$E:$E,'Gap Analysis update'!$B11,'MoDi Initiatives'!$A:$A,'Gap Analysis update'!$A11,'MoDi Initiatives'!$B:$B,'Gap Analysis update'!T$2)-SUMIFS('MoDi Initiatives'!R:R,'MoDi Initiatives'!$E:$E,'Gap Analysis update'!$B11,'MoDi Initiatives'!$A:$A,'Gap Analysis update'!$A11,'MoDi Initiatives'!$C:$C,'Gap Analysis update'!$B$7,'MoDi Initiatives'!$B:$B,'Gap Analysis update'!T$2)</f>
        <v>0</v>
      </c>
      <c r="U11" s="288">
        <f>SUMIFS('MoDi Initiatives'!S:S,'MoDi Initiatives'!$E:$E,'Gap Analysis update'!$B11,'MoDi Initiatives'!$A:$A,'Gap Analysis update'!$A11,'MoDi Initiatives'!$B:$B,'Gap Analysis update'!U$2)-SUMIFS('MoDi Initiatives'!S:S,'MoDi Initiatives'!$E:$E,'Gap Analysis update'!$B11,'MoDi Initiatives'!$A:$A,'Gap Analysis update'!$A11,'MoDi Initiatives'!$C:$C,'Gap Analysis update'!$B$7,'MoDi Initiatives'!$B:$B,'Gap Analysis update'!U$2)</f>
        <v>0</v>
      </c>
      <c r="V11" s="288">
        <f>SUMIFS('MoDi Initiatives'!T:T,'MoDi Initiatives'!$E:$E,'Gap Analysis update'!$B11,'MoDi Initiatives'!$A:$A,'Gap Analysis update'!$A11,'MoDi Initiatives'!$B:$B,'Gap Analysis update'!V$2)-SUMIFS('MoDi Initiatives'!T:T,'MoDi Initiatives'!$E:$E,'Gap Analysis update'!$B11,'MoDi Initiatives'!$A:$A,'Gap Analysis update'!$A11,'MoDi Initiatives'!$C:$C,'Gap Analysis update'!$B$7,'MoDi Initiatives'!$B:$B,'Gap Analysis update'!V$2)</f>
        <v>0</v>
      </c>
      <c r="W11" s="288">
        <f>SUMIFS('MoDi Initiatives'!U:U,'MoDi Initiatives'!$E:$E,'Gap Analysis update'!$B11,'MoDi Initiatives'!$A:$A,'Gap Analysis update'!$A11,'MoDi Initiatives'!$B:$B,'Gap Analysis update'!W$2)-SUMIFS('MoDi Initiatives'!U:U,'MoDi Initiatives'!$E:$E,'Gap Analysis update'!$B11,'MoDi Initiatives'!$A:$A,'Gap Analysis update'!$A11,'MoDi Initiatives'!$C:$C,'Gap Analysis update'!$B$7,'MoDi Initiatives'!$B:$B,'Gap Analysis update'!W$2)</f>
        <v>0</v>
      </c>
      <c r="X11" s="288">
        <f>SUMIFS('MoDi Initiatives'!V:V,'MoDi Initiatives'!$E:$E,'Gap Analysis update'!$B11,'MoDi Initiatives'!$A:$A,'Gap Analysis update'!$A11,'MoDi Initiatives'!$B:$B,'Gap Analysis update'!X$2)-SUMIFS('MoDi Initiatives'!V:V,'MoDi Initiatives'!$E:$E,'Gap Analysis update'!$B11,'MoDi Initiatives'!$A:$A,'Gap Analysis update'!$A11,'MoDi Initiatives'!$C:$C,'Gap Analysis update'!$B$7,'MoDi Initiatives'!$B:$B,'Gap Analysis update'!X$2)</f>
        <v>0</v>
      </c>
      <c r="Y11" s="288">
        <f>SUMIFS('MoDi Initiatives'!W:W,'MoDi Initiatives'!$E:$E,'Gap Analysis update'!$B11,'MoDi Initiatives'!$A:$A,'Gap Analysis update'!$A11,'MoDi Initiatives'!$B:$B,'Gap Analysis update'!Y$2)-SUMIFS('MoDi Initiatives'!W:W,'MoDi Initiatives'!$E:$E,'Gap Analysis update'!$B11,'MoDi Initiatives'!$A:$A,'Gap Analysis update'!$A11,'MoDi Initiatives'!$C:$C,'Gap Analysis update'!$B$7,'MoDi Initiatives'!$B:$B,'Gap Analysis update'!Y$2)</f>
        <v>0</v>
      </c>
      <c r="Z11" s="293"/>
      <c r="AB11" s="288">
        <f>SUMIFS('MoDi Initiatives'!H:H,'MoDi Initiatives'!$E:$E,'Gap Analysis update'!$B11,'MoDi Initiatives'!$A:$A,'Gap Analysis update'!$A11,'MoDi Initiatives'!$B:$B,'Gap Analysis update'!AB$2)-SUMIFS('MoDi Initiatives'!H:H,'MoDi Initiatives'!$E:$E,'Gap Analysis update'!$B11,'MoDi Initiatives'!$A:$A,'Gap Analysis update'!$A11,'MoDi Initiatives'!$B:$B,'Gap Analysis update'!AB$2,'MoDi Initiatives'!$C:$C,'Gap Analysis update'!$B$7)</f>
        <v>0</v>
      </c>
      <c r="AC11" s="288">
        <f>SUMIFS('MoDi Initiatives'!I:I,'MoDi Initiatives'!$E:$E,'Gap Analysis update'!$B11,'MoDi Initiatives'!$A:$A,'Gap Analysis update'!$A11,'MoDi Initiatives'!$B:$B,'Gap Analysis update'!AC$2)-SUMIFS('MoDi Initiatives'!I:I,'MoDi Initiatives'!$E:$E,'Gap Analysis update'!$B11,'MoDi Initiatives'!$A:$A,'Gap Analysis update'!$A11,'MoDi Initiatives'!$B:$B,'Gap Analysis update'!AC$2,'MoDi Initiatives'!$C:$C,'Gap Analysis update'!$B$7)</f>
        <v>0</v>
      </c>
      <c r="AD11" s="288">
        <f>SUMIFS('MoDi Initiatives'!J:J,'MoDi Initiatives'!$E:$E,'Gap Analysis update'!$B11,'MoDi Initiatives'!$A:$A,'Gap Analysis update'!$A11,'MoDi Initiatives'!$B:$B,'Gap Analysis update'!AD$2)-SUMIFS('MoDi Initiatives'!J:J,'MoDi Initiatives'!$E:$E,'Gap Analysis update'!$B11,'MoDi Initiatives'!$A:$A,'Gap Analysis update'!$A11,'MoDi Initiatives'!$B:$B,'Gap Analysis update'!AD$2,'MoDi Initiatives'!$C:$C,'Gap Analysis update'!$B$7)</f>
        <v>0</v>
      </c>
      <c r="AE11" s="288">
        <f>SUMIFS('MoDi Initiatives'!K:K,'MoDi Initiatives'!$E:$E,'Gap Analysis update'!$B11,'MoDi Initiatives'!$A:$A,'Gap Analysis update'!$A11,'MoDi Initiatives'!$B:$B,'Gap Analysis update'!AE$2)-SUMIFS('MoDi Initiatives'!K:K,'MoDi Initiatives'!$E:$E,'Gap Analysis update'!$B11,'MoDi Initiatives'!$A:$A,'Gap Analysis update'!$A11,'MoDi Initiatives'!$B:$B,'Gap Analysis update'!AE$2,'MoDi Initiatives'!$C:$C,'Gap Analysis update'!$B$7)</f>
        <v>0</v>
      </c>
      <c r="AF11" s="288">
        <f>SUMIFS('MoDi Initiatives'!L:L,'MoDi Initiatives'!$E:$E,'Gap Analysis update'!$B11,'MoDi Initiatives'!$A:$A,'Gap Analysis update'!$A11,'MoDi Initiatives'!$B:$B,'Gap Analysis update'!AF$2)-SUMIFS('MoDi Initiatives'!L:L,'MoDi Initiatives'!$E:$E,'Gap Analysis update'!$B11,'MoDi Initiatives'!$A:$A,'Gap Analysis update'!$A11,'MoDi Initiatives'!$B:$B,'Gap Analysis update'!AF$2,'MoDi Initiatives'!$C:$C,'Gap Analysis update'!$B$7)</f>
        <v>0</v>
      </c>
      <c r="AG11" s="288">
        <f>SUMIFS('MoDi Initiatives'!M:M,'MoDi Initiatives'!$E:$E,'Gap Analysis update'!$B11,'MoDi Initiatives'!$A:$A,'Gap Analysis update'!$A11,'MoDi Initiatives'!$B:$B,'Gap Analysis update'!AG$2)-SUMIFS('MoDi Initiatives'!M:M,'MoDi Initiatives'!$E:$E,'Gap Analysis update'!$B11,'MoDi Initiatives'!$A:$A,'Gap Analysis update'!$A11,'MoDi Initiatives'!$B:$B,'Gap Analysis update'!AG$2,'MoDi Initiatives'!$C:$C,'Gap Analysis update'!$B$7)</f>
        <v>0</v>
      </c>
      <c r="AH11" s="288">
        <f>SUMIFS('MoDi Initiatives'!N:N,'MoDi Initiatives'!$E:$E,'Gap Analysis update'!$B11,'MoDi Initiatives'!$A:$A,'Gap Analysis update'!$A11,'MoDi Initiatives'!$B:$B,'Gap Analysis update'!AH$2)-SUMIFS('MoDi Initiatives'!N:N,'MoDi Initiatives'!$E:$E,'Gap Analysis update'!$B11,'MoDi Initiatives'!$A:$A,'Gap Analysis update'!$A11,'MoDi Initiatives'!$B:$B,'Gap Analysis update'!AH$2,'MoDi Initiatives'!$C:$C,'Gap Analysis update'!$B$7)</f>
        <v>0</v>
      </c>
      <c r="AI11" s="288">
        <f>SUMIFS('MoDi Initiatives'!O:O,'MoDi Initiatives'!$E:$E,'Gap Analysis update'!$B11,'MoDi Initiatives'!$A:$A,'Gap Analysis update'!$A11,'MoDi Initiatives'!$B:$B,'Gap Analysis update'!AI$2)-SUMIFS('MoDi Initiatives'!O:O,'MoDi Initiatives'!$E:$E,'Gap Analysis update'!$B11,'MoDi Initiatives'!$A:$A,'Gap Analysis update'!$A11,'MoDi Initiatives'!$B:$B,'Gap Analysis update'!AI$2,'MoDi Initiatives'!$C:$C,'Gap Analysis update'!$B$7)</f>
        <v>0</v>
      </c>
      <c r="AJ11" s="288">
        <f>SUMIFS('MoDi Initiatives'!P:P,'MoDi Initiatives'!$E:$E,'Gap Analysis update'!$B11,'MoDi Initiatives'!$A:$A,'Gap Analysis update'!$A11,'MoDi Initiatives'!$B:$B,'Gap Analysis update'!AJ$2)-SUMIFS('MoDi Initiatives'!P:P,'MoDi Initiatives'!$E:$E,'Gap Analysis update'!$B11,'MoDi Initiatives'!$A:$A,'Gap Analysis update'!$A11,'MoDi Initiatives'!$B:$B,'Gap Analysis update'!AJ$2,'MoDi Initiatives'!$C:$C,'Gap Analysis update'!$B$7)</f>
        <v>0</v>
      </c>
      <c r="AK11" s="288">
        <f>SUMIFS('MoDi Initiatives'!Q:Q,'MoDi Initiatives'!$E:$E,'Gap Analysis update'!$B11,'MoDi Initiatives'!$A:$A,'Gap Analysis update'!$A11,'MoDi Initiatives'!$B:$B,'Gap Analysis update'!AK$2)-SUMIFS('MoDi Initiatives'!Q:Q,'MoDi Initiatives'!$E:$E,'Gap Analysis update'!$B11,'MoDi Initiatives'!$A:$A,'Gap Analysis update'!$A11,'MoDi Initiatives'!$B:$B,'Gap Analysis update'!AK$2,'MoDi Initiatives'!$C:$C,'Gap Analysis update'!$B$7)</f>
        <v>0</v>
      </c>
      <c r="AL11" s="288">
        <f>SUMIFS('MoDi Initiatives'!R:R,'MoDi Initiatives'!$E:$E,'Gap Analysis update'!$B11,'MoDi Initiatives'!$A:$A,'Gap Analysis update'!$A11,'MoDi Initiatives'!$B:$B,'Gap Analysis update'!AL$2)-SUMIFS('MoDi Initiatives'!R:R,'MoDi Initiatives'!$E:$E,'Gap Analysis update'!$B11,'MoDi Initiatives'!$A:$A,'Gap Analysis update'!$A11,'MoDi Initiatives'!$B:$B,'Gap Analysis update'!AL$2,'MoDi Initiatives'!$C:$C,'Gap Analysis update'!$B$7)</f>
        <v>0</v>
      </c>
      <c r="AM11" s="288">
        <f>SUMIFS('MoDi Initiatives'!S:S,'MoDi Initiatives'!$E:$E,'Gap Analysis update'!$B11,'MoDi Initiatives'!$A:$A,'Gap Analysis update'!$A11,'MoDi Initiatives'!$B:$B,'Gap Analysis update'!AM$2)-SUMIFS('MoDi Initiatives'!S:S,'MoDi Initiatives'!$E:$E,'Gap Analysis update'!$B11,'MoDi Initiatives'!$A:$A,'Gap Analysis update'!$A11,'MoDi Initiatives'!$B:$B,'Gap Analysis update'!AM$2,'MoDi Initiatives'!$C:$C,'Gap Analysis update'!$B$7)</f>
        <v>0</v>
      </c>
      <c r="AN11" s="288">
        <f>SUMIFS('MoDi Initiatives'!T:T,'MoDi Initiatives'!$E:$E,'Gap Analysis update'!$B11,'MoDi Initiatives'!$A:$A,'Gap Analysis update'!$A11,'MoDi Initiatives'!$B:$B,'Gap Analysis update'!AN$2)-SUMIFS('MoDi Initiatives'!T:T,'MoDi Initiatives'!$E:$E,'Gap Analysis update'!$B11,'MoDi Initiatives'!$A:$A,'Gap Analysis update'!$A11,'MoDi Initiatives'!$B:$B,'Gap Analysis update'!AN$2,'MoDi Initiatives'!$C:$C,'Gap Analysis update'!$B$7)</f>
        <v>0</v>
      </c>
      <c r="AO11" s="288">
        <f>SUMIFS('MoDi Initiatives'!U:U,'MoDi Initiatives'!$E:$E,'Gap Analysis update'!$B11,'MoDi Initiatives'!$A:$A,'Gap Analysis update'!$A11,'MoDi Initiatives'!$B:$B,'Gap Analysis update'!AO$2)-SUMIFS('MoDi Initiatives'!U:U,'MoDi Initiatives'!$E:$E,'Gap Analysis update'!$B11,'MoDi Initiatives'!$A:$A,'Gap Analysis update'!$A11,'MoDi Initiatives'!$B:$B,'Gap Analysis update'!AO$2,'MoDi Initiatives'!$C:$C,'Gap Analysis update'!$B$7)</f>
        <v>0</v>
      </c>
      <c r="AP11" s="288">
        <f>SUMIFS('MoDi Initiatives'!V:V,'MoDi Initiatives'!$E:$E,'Gap Analysis update'!$B11,'MoDi Initiatives'!$A:$A,'Gap Analysis update'!$A11,'MoDi Initiatives'!$B:$B,'Gap Analysis update'!AP$2)-SUMIFS('MoDi Initiatives'!V:V,'MoDi Initiatives'!$E:$E,'Gap Analysis update'!$B11,'MoDi Initiatives'!$A:$A,'Gap Analysis update'!$A11,'MoDi Initiatives'!$B:$B,'Gap Analysis update'!AP$2,'MoDi Initiatives'!$C:$C,'Gap Analysis update'!$B$7)</f>
        <v>0</v>
      </c>
      <c r="AQ11" s="288">
        <f>SUMIFS('MoDi Initiatives'!W:W,'MoDi Initiatives'!$E:$E,'Gap Analysis update'!$B11,'MoDi Initiatives'!$A:$A,'Gap Analysis update'!$A11,'MoDi Initiatives'!$B:$B,'Gap Analysis update'!AQ$2)-SUMIFS('MoDi Initiatives'!W:W,'MoDi Initiatives'!$E:$E,'Gap Analysis update'!$B11,'MoDi Initiatives'!$A:$A,'Gap Analysis update'!$A11,'MoDi Initiatives'!$B:$B,'Gap Analysis update'!AQ$2,'MoDi Initiatives'!$C:$C,'Gap Analysis update'!$B$7)</f>
        <v>0</v>
      </c>
      <c r="AR11" s="293"/>
      <c r="AS11" s="289"/>
      <c r="AT11" s="289">
        <f t="shared" si="9"/>
        <v>0</v>
      </c>
      <c r="AU11" s="289">
        <f t="shared" si="3"/>
        <v>0</v>
      </c>
      <c r="AV11" s="289">
        <f t="shared" si="3"/>
        <v>0</v>
      </c>
      <c r="AW11" s="289">
        <f t="shared" si="3"/>
        <v>0</v>
      </c>
      <c r="AX11" s="289">
        <f t="shared" si="3"/>
        <v>0</v>
      </c>
      <c r="AY11" s="289">
        <f t="shared" si="3"/>
        <v>0</v>
      </c>
      <c r="AZ11" s="289">
        <f t="shared" si="3"/>
        <v>0</v>
      </c>
      <c r="BA11" s="289">
        <f t="shared" si="3"/>
        <v>0</v>
      </c>
      <c r="BB11" s="289">
        <f t="shared" si="3"/>
        <v>0</v>
      </c>
      <c r="BC11" s="289">
        <f t="shared" si="3"/>
        <v>0</v>
      </c>
      <c r="BD11" s="289">
        <f t="shared" si="3"/>
        <v>0</v>
      </c>
      <c r="BE11" s="289">
        <f t="shared" si="3"/>
        <v>0</v>
      </c>
      <c r="BF11" s="289">
        <f t="shared" si="3"/>
        <v>0</v>
      </c>
      <c r="BG11" s="289">
        <f t="shared" si="3"/>
        <v>0</v>
      </c>
      <c r="BH11" s="289">
        <f t="shared" si="3"/>
        <v>0</v>
      </c>
      <c r="BI11" s="289">
        <f t="shared" si="3"/>
        <v>0</v>
      </c>
      <c r="BJ11" s="293"/>
      <c r="BK11" s="286"/>
      <c r="BL11" s="286"/>
      <c r="BM11" s="286"/>
      <c r="BN11" s="286"/>
      <c r="BO11" s="286" t="s">
        <v>51</v>
      </c>
      <c r="BP11" s="286"/>
      <c r="BQ11" s="286" t="s">
        <v>22</v>
      </c>
      <c r="BR11" s="286"/>
      <c r="BS11" s="286" t="s">
        <v>52</v>
      </c>
      <c r="BT11" s="286" t="s">
        <v>51</v>
      </c>
      <c r="BU11" s="286" t="s">
        <v>22</v>
      </c>
      <c r="BV11" s="286"/>
      <c r="BW11" s="286"/>
      <c r="BX11" s="286"/>
      <c r="BY11" s="286"/>
      <c r="BZ11" s="286"/>
      <c r="CA11" s="286"/>
    </row>
    <row r="12" spans="1:79" s="288" customFormat="1" ht="39" outlineLevel="1">
      <c r="A12" s="286" t="s">
        <v>19</v>
      </c>
      <c r="B12" s="287" t="s">
        <v>53</v>
      </c>
      <c r="C12" s="288">
        <f t="shared" si="6"/>
        <v>5.3952383955208245E-5</v>
      </c>
      <c r="D12" s="289">
        <f t="shared" si="7"/>
        <v>0</v>
      </c>
      <c r="E12" s="289">
        <f t="shared" si="8"/>
        <v>5.3952383955208245E-5</v>
      </c>
      <c r="F12" s="286" t="s">
        <v>54</v>
      </c>
      <c r="G12" s="286" t="s">
        <v>55</v>
      </c>
      <c r="H12" s="290"/>
      <c r="J12" s="288">
        <f>SUMIFS('MoDi Initiatives'!H:H,'MoDi Initiatives'!$E:$E,'Gap Analysis update'!$B12,'MoDi Initiatives'!$A:$A,'Gap Analysis update'!$A12,'MoDi Initiatives'!$B:$B,'Gap Analysis update'!J$2)-SUMIFS('MoDi Initiatives'!H:H,'MoDi Initiatives'!$E:$E,'Gap Analysis update'!$B12,'MoDi Initiatives'!$A:$A,'Gap Analysis update'!$A12,'MoDi Initiatives'!$C:$C,'Gap Analysis update'!$B$7,'MoDi Initiatives'!$B:$B,'Gap Analysis update'!J$2)</f>
        <v>0</v>
      </c>
      <c r="K12" s="288">
        <f>SUMIFS('MoDi Initiatives'!I:I,'MoDi Initiatives'!$E:$E,'Gap Analysis update'!$B12,'MoDi Initiatives'!$A:$A,'Gap Analysis update'!$A12,'MoDi Initiatives'!$B:$B,'Gap Analysis update'!K$2)-SUMIFS('MoDi Initiatives'!I:I,'MoDi Initiatives'!$E:$E,'Gap Analysis update'!$B12,'MoDi Initiatives'!$A:$A,'Gap Analysis update'!$A12,'MoDi Initiatives'!$C:$C,'Gap Analysis update'!$B$7,'MoDi Initiatives'!$B:$B,'Gap Analysis update'!K$2)</f>
        <v>0</v>
      </c>
      <c r="L12" s="288">
        <f>SUMIFS('MoDi Initiatives'!J:J,'MoDi Initiatives'!$E:$E,'Gap Analysis update'!$B12,'MoDi Initiatives'!$A:$A,'Gap Analysis update'!$A12,'MoDi Initiatives'!$B:$B,'Gap Analysis update'!L$2)-SUMIFS('MoDi Initiatives'!J:J,'MoDi Initiatives'!$E:$E,'Gap Analysis update'!$B12,'MoDi Initiatives'!$A:$A,'Gap Analysis update'!$A12,'MoDi Initiatives'!$C:$C,'Gap Analysis update'!$B$7,'MoDi Initiatives'!$B:$B,'Gap Analysis update'!L$2)</f>
        <v>0</v>
      </c>
      <c r="M12" s="288">
        <f>SUMIFS('MoDi Initiatives'!K:K,'MoDi Initiatives'!$E:$E,'Gap Analysis update'!$B12,'MoDi Initiatives'!$A:$A,'Gap Analysis update'!$A12,'MoDi Initiatives'!$B:$B,'Gap Analysis update'!M$2)-SUMIFS('MoDi Initiatives'!K:K,'MoDi Initiatives'!$E:$E,'Gap Analysis update'!$B12,'MoDi Initiatives'!$A:$A,'Gap Analysis update'!$A12,'MoDi Initiatives'!$C:$C,'Gap Analysis update'!$B$7,'MoDi Initiatives'!$B:$B,'Gap Analysis update'!M$2)</f>
        <v>-7.664517588016187E-3</v>
      </c>
      <c r="N12" s="288">
        <f>SUMIFS('MoDi Initiatives'!L:L,'MoDi Initiatives'!$E:$E,'Gap Analysis update'!$B12,'MoDi Initiatives'!$A:$A,'Gap Analysis update'!$A12,'MoDi Initiatives'!$B:$B,'Gap Analysis update'!N$2)-SUMIFS('MoDi Initiatives'!L:L,'MoDi Initiatives'!$E:$E,'Gap Analysis update'!$B12,'MoDi Initiatives'!$A:$A,'Gap Analysis update'!$A12,'MoDi Initiatives'!$C:$C,'Gap Analysis update'!$B$7,'MoDi Initiatives'!$B:$B,'Gap Analysis update'!N$2)</f>
        <v>0</v>
      </c>
      <c r="O12" s="288">
        <f>SUMIFS('MoDi Initiatives'!M:M,'MoDi Initiatives'!$E:$E,'Gap Analysis update'!$B12,'MoDi Initiatives'!$A:$A,'Gap Analysis update'!$A12,'MoDi Initiatives'!$B:$B,'Gap Analysis update'!O$2)-SUMIFS('MoDi Initiatives'!M:M,'MoDi Initiatives'!$E:$E,'Gap Analysis update'!$B12,'MoDi Initiatives'!$A:$A,'Gap Analysis update'!$A12,'MoDi Initiatives'!$C:$C,'Gap Analysis update'!$B$7,'MoDi Initiatives'!$B:$B,'Gap Analysis update'!O$2)</f>
        <v>0</v>
      </c>
      <c r="P12" s="288">
        <f>SUMIFS('MoDi Initiatives'!N:N,'MoDi Initiatives'!$E:$E,'Gap Analysis update'!$B12,'MoDi Initiatives'!$A:$A,'Gap Analysis update'!$A12,'MoDi Initiatives'!$B:$B,'Gap Analysis update'!P$2)-SUMIFS('MoDi Initiatives'!N:N,'MoDi Initiatives'!$E:$E,'Gap Analysis update'!$B12,'MoDi Initiatives'!$A:$A,'Gap Analysis update'!$A12,'MoDi Initiatives'!$C:$C,'Gap Analysis update'!$B$7,'MoDi Initiatives'!$B:$B,'Gap Analysis update'!P$2)</f>
        <v>0</v>
      </c>
      <c r="Q12" s="288">
        <f>SUMIFS('MoDi Initiatives'!O:O,'MoDi Initiatives'!$E:$E,'Gap Analysis update'!$B12,'MoDi Initiatives'!$A:$A,'Gap Analysis update'!$A12,'MoDi Initiatives'!$B:$B,'Gap Analysis update'!Q$2)-SUMIFS('MoDi Initiatives'!O:O,'MoDi Initiatives'!$E:$E,'Gap Analysis update'!$B12,'MoDi Initiatives'!$A:$A,'Gap Analysis update'!$A12,'MoDi Initiatives'!$C:$C,'Gap Analysis update'!$B$7,'MoDi Initiatives'!$B:$B,'Gap Analysis update'!Q$2)</f>
        <v>0</v>
      </c>
      <c r="R12" s="288">
        <f>SUMIFS('MoDi Initiatives'!P:P,'MoDi Initiatives'!$E:$E,'Gap Analysis update'!$B12,'MoDi Initiatives'!$A:$A,'Gap Analysis update'!$A12,'MoDi Initiatives'!$B:$B,'Gap Analysis update'!R$2)-SUMIFS('MoDi Initiatives'!P:P,'MoDi Initiatives'!$E:$E,'Gap Analysis update'!$B12,'MoDi Initiatives'!$A:$A,'Gap Analysis update'!$A12,'MoDi Initiatives'!$C:$C,'Gap Analysis update'!$B$7,'MoDi Initiatives'!$B:$B,'Gap Analysis update'!R$2)</f>
        <v>0</v>
      </c>
      <c r="S12" s="288">
        <f>SUMIFS('MoDi Initiatives'!Q:Q,'MoDi Initiatives'!$E:$E,'Gap Analysis update'!$B12,'MoDi Initiatives'!$A:$A,'Gap Analysis update'!$A12,'MoDi Initiatives'!$B:$B,'Gap Analysis update'!S$2)-SUMIFS('MoDi Initiatives'!Q:Q,'MoDi Initiatives'!$E:$E,'Gap Analysis update'!$B12,'MoDi Initiatives'!$A:$A,'Gap Analysis update'!$A12,'MoDi Initiatives'!$C:$C,'Gap Analysis update'!$B$7,'MoDi Initiatives'!$B:$B,'Gap Analysis update'!S$2)</f>
        <v>0</v>
      </c>
      <c r="T12" s="288">
        <f>SUMIFS('MoDi Initiatives'!R:R,'MoDi Initiatives'!$E:$E,'Gap Analysis update'!$B12,'MoDi Initiatives'!$A:$A,'Gap Analysis update'!$A12,'MoDi Initiatives'!$B:$B,'Gap Analysis update'!T$2)-SUMIFS('MoDi Initiatives'!R:R,'MoDi Initiatives'!$E:$E,'Gap Analysis update'!$B12,'MoDi Initiatives'!$A:$A,'Gap Analysis update'!$A12,'MoDi Initiatives'!$C:$C,'Gap Analysis update'!$B$7,'MoDi Initiatives'!$B:$B,'Gap Analysis update'!T$2)</f>
        <v>-7.664517588016187E-3</v>
      </c>
      <c r="U12" s="288">
        <f>SUMIFS('MoDi Initiatives'!S:S,'MoDi Initiatives'!$E:$E,'Gap Analysis update'!$B12,'MoDi Initiatives'!$A:$A,'Gap Analysis update'!$A12,'MoDi Initiatives'!$B:$B,'Gap Analysis update'!U$2)-SUMIFS('MoDi Initiatives'!S:S,'MoDi Initiatives'!$E:$E,'Gap Analysis update'!$B12,'MoDi Initiatives'!$A:$A,'Gap Analysis update'!$A12,'MoDi Initiatives'!$C:$C,'Gap Analysis update'!$B$7,'MoDi Initiatives'!$B:$B,'Gap Analysis update'!U$2)</f>
        <v>0</v>
      </c>
      <c r="V12" s="288">
        <f>SUMIFS('MoDi Initiatives'!T:T,'MoDi Initiatives'!$E:$E,'Gap Analysis update'!$B12,'MoDi Initiatives'!$A:$A,'Gap Analysis update'!$A12,'MoDi Initiatives'!$B:$B,'Gap Analysis update'!V$2)-SUMIFS('MoDi Initiatives'!T:T,'MoDi Initiatives'!$E:$E,'Gap Analysis update'!$B12,'MoDi Initiatives'!$A:$A,'Gap Analysis update'!$A12,'MoDi Initiatives'!$C:$C,'Gap Analysis update'!$B$7,'MoDi Initiatives'!$B:$B,'Gap Analysis update'!V$2)</f>
        <v>0</v>
      </c>
      <c r="W12" s="288">
        <f>SUMIFS('MoDi Initiatives'!U:U,'MoDi Initiatives'!$E:$E,'Gap Analysis update'!$B12,'MoDi Initiatives'!$A:$A,'Gap Analysis update'!$A12,'MoDi Initiatives'!$B:$B,'Gap Analysis update'!W$2)-SUMIFS('MoDi Initiatives'!U:U,'MoDi Initiatives'!$E:$E,'Gap Analysis update'!$B12,'MoDi Initiatives'!$A:$A,'Gap Analysis update'!$A12,'MoDi Initiatives'!$C:$C,'Gap Analysis update'!$B$7,'MoDi Initiatives'!$B:$B,'Gap Analysis update'!W$2)</f>
        <v>0</v>
      </c>
      <c r="X12" s="288">
        <f>SUMIFS('MoDi Initiatives'!V:V,'MoDi Initiatives'!$E:$E,'Gap Analysis update'!$B12,'MoDi Initiatives'!$A:$A,'Gap Analysis update'!$A12,'MoDi Initiatives'!$B:$B,'Gap Analysis update'!X$2)-SUMIFS('MoDi Initiatives'!V:V,'MoDi Initiatives'!$E:$E,'Gap Analysis update'!$B12,'MoDi Initiatives'!$A:$A,'Gap Analysis update'!$A12,'MoDi Initiatives'!$C:$C,'Gap Analysis update'!$B$7,'MoDi Initiatives'!$B:$B,'Gap Analysis update'!X$2)</f>
        <v>0</v>
      </c>
      <c r="Y12" s="288">
        <f>SUMIFS('MoDi Initiatives'!W:W,'MoDi Initiatives'!$E:$E,'Gap Analysis update'!$B12,'MoDi Initiatives'!$A:$A,'Gap Analysis update'!$A12,'MoDi Initiatives'!$B:$B,'Gap Analysis update'!Y$2)-SUMIFS('MoDi Initiatives'!W:W,'MoDi Initiatives'!$E:$E,'Gap Analysis update'!$B12,'MoDi Initiatives'!$A:$A,'Gap Analysis update'!$A12,'MoDi Initiatives'!$C:$C,'Gap Analysis update'!$B$7,'MoDi Initiatives'!$B:$B,'Gap Analysis update'!Y$2)</f>
        <v>0</v>
      </c>
      <c r="Z12" s="293"/>
      <c r="AB12" s="288">
        <f>SUMIFS('MoDi Initiatives'!H:H,'MoDi Initiatives'!$E:$E,'Gap Analysis update'!$B12,'MoDi Initiatives'!$A:$A,'Gap Analysis update'!$A12,'MoDi Initiatives'!$B:$B,'Gap Analysis update'!AB$2)-SUMIFS('MoDi Initiatives'!H:H,'MoDi Initiatives'!$E:$E,'Gap Analysis update'!$B12,'MoDi Initiatives'!$A:$A,'Gap Analysis update'!$A12,'MoDi Initiatives'!$B:$B,'Gap Analysis update'!AB$2,'MoDi Initiatives'!$C:$C,'Gap Analysis update'!$B$7)</f>
        <v>0</v>
      </c>
      <c r="AC12" s="288">
        <f>SUMIFS('MoDi Initiatives'!I:I,'MoDi Initiatives'!$E:$E,'Gap Analysis update'!$B12,'MoDi Initiatives'!$A:$A,'Gap Analysis update'!$A12,'MoDi Initiatives'!$B:$B,'Gap Analysis update'!AC$2)-SUMIFS('MoDi Initiatives'!I:I,'MoDi Initiatives'!$E:$E,'Gap Analysis update'!$B12,'MoDi Initiatives'!$A:$A,'Gap Analysis update'!$A12,'MoDi Initiatives'!$B:$B,'Gap Analysis update'!AC$2,'MoDi Initiatives'!$C:$C,'Gap Analysis update'!$B$7)</f>
        <v>0</v>
      </c>
      <c r="AD12" s="288">
        <f>SUMIFS('MoDi Initiatives'!J:J,'MoDi Initiatives'!$E:$E,'Gap Analysis update'!$B12,'MoDi Initiatives'!$A:$A,'Gap Analysis update'!$A12,'MoDi Initiatives'!$B:$B,'Gap Analysis update'!AD$2)-SUMIFS('MoDi Initiatives'!J:J,'MoDi Initiatives'!$E:$E,'Gap Analysis update'!$B12,'MoDi Initiatives'!$A:$A,'Gap Analysis update'!$A12,'MoDi Initiatives'!$B:$B,'Gap Analysis update'!AD$2,'MoDi Initiatives'!$C:$C,'Gap Analysis update'!$B$7)</f>
        <v>-7.6105652040609787E-3</v>
      </c>
      <c r="AE12" s="288">
        <f>SUMIFS('MoDi Initiatives'!K:K,'MoDi Initiatives'!$E:$E,'Gap Analysis update'!$B12,'MoDi Initiatives'!$A:$A,'Gap Analysis update'!$A12,'MoDi Initiatives'!$B:$B,'Gap Analysis update'!AE$2)-SUMIFS('MoDi Initiatives'!K:K,'MoDi Initiatives'!$E:$E,'Gap Analysis update'!$B12,'MoDi Initiatives'!$A:$A,'Gap Analysis update'!$A12,'MoDi Initiatives'!$B:$B,'Gap Analysis update'!AE$2,'MoDi Initiatives'!$C:$C,'Gap Analysis update'!$B$7)</f>
        <v>0</v>
      </c>
      <c r="AF12" s="288">
        <f>SUMIFS('MoDi Initiatives'!L:L,'MoDi Initiatives'!$E:$E,'Gap Analysis update'!$B12,'MoDi Initiatives'!$A:$A,'Gap Analysis update'!$A12,'MoDi Initiatives'!$B:$B,'Gap Analysis update'!AF$2)-SUMIFS('MoDi Initiatives'!L:L,'MoDi Initiatives'!$E:$E,'Gap Analysis update'!$B12,'MoDi Initiatives'!$A:$A,'Gap Analysis update'!$A12,'MoDi Initiatives'!$B:$B,'Gap Analysis update'!AF$2,'MoDi Initiatives'!$C:$C,'Gap Analysis update'!$B$7)</f>
        <v>0</v>
      </c>
      <c r="AG12" s="288">
        <f>SUMIFS('MoDi Initiatives'!M:M,'MoDi Initiatives'!$E:$E,'Gap Analysis update'!$B12,'MoDi Initiatives'!$A:$A,'Gap Analysis update'!$A12,'MoDi Initiatives'!$B:$B,'Gap Analysis update'!AG$2)-SUMIFS('MoDi Initiatives'!M:M,'MoDi Initiatives'!$E:$E,'Gap Analysis update'!$B12,'MoDi Initiatives'!$A:$A,'Gap Analysis update'!$A12,'MoDi Initiatives'!$B:$B,'Gap Analysis update'!AG$2,'MoDi Initiatives'!$C:$C,'Gap Analysis update'!$B$7)</f>
        <v>0</v>
      </c>
      <c r="AH12" s="288">
        <f>SUMIFS('MoDi Initiatives'!N:N,'MoDi Initiatives'!$E:$E,'Gap Analysis update'!$B12,'MoDi Initiatives'!$A:$A,'Gap Analysis update'!$A12,'MoDi Initiatives'!$B:$B,'Gap Analysis update'!AH$2)-SUMIFS('MoDi Initiatives'!N:N,'MoDi Initiatives'!$E:$E,'Gap Analysis update'!$B12,'MoDi Initiatives'!$A:$A,'Gap Analysis update'!$A12,'MoDi Initiatives'!$B:$B,'Gap Analysis update'!AH$2,'MoDi Initiatives'!$C:$C,'Gap Analysis update'!$B$7)</f>
        <v>0</v>
      </c>
      <c r="AI12" s="288">
        <f>SUMIFS('MoDi Initiatives'!O:O,'MoDi Initiatives'!$E:$E,'Gap Analysis update'!$B12,'MoDi Initiatives'!$A:$A,'Gap Analysis update'!$A12,'MoDi Initiatives'!$B:$B,'Gap Analysis update'!AI$2)-SUMIFS('MoDi Initiatives'!O:O,'MoDi Initiatives'!$E:$E,'Gap Analysis update'!$B12,'MoDi Initiatives'!$A:$A,'Gap Analysis update'!$A12,'MoDi Initiatives'!$B:$B,'Gap Analysis update'!AI$2,'MoDi Initiatives'!$C:$C,'Gap Analysis update'!$B$7)</f>
        <v>0</v>
      </c>
      <c r="AJ12" s="288">
        <f>SUMIFS('MoDi Initiatives'!P:P,'MoDi Initiatives'!$E:$E,'Gap Analysis update'!$B12,'MoDi Initiatives'!$A:$A,'Gap Analysis update'!$A12,'MoDi Initiatives'!$B:$B,'Gap Analysis update'!AJ$2)-SUMIFS('MoDi Initiatives'!P:P,'MoDi Initiatives'!$E:$E,'Gap Analysis update'!$B12,'MoDi Initiatives'!$A:$A,'Gap Analysis update'!$A12,'MoDi Initiatives'!$B:$B,'Gap Analysis update'!AJ$2,'MoDi Initiatives'!$C:$C,'Gap Analysis update'!$B$7)</f>
        <v>0</v>
      </c>
      <c r="AK12" s="288">
        <f>SUMIFS('MoDi Initiatives'!Q:Q,'MoDi Initiatives'!$E:$E,'Gap Analysis update'!$B12,'MoDi Initiatives'!$A:$A,'Gap Analysis update'!$A12,'MoDi Initiatives'!$B:$B,'Gap Analysis update'!AK$2)-SUMIFS('MoDi Initiatives'!Q:Q,'MoDi Initiatives'!$E:$E,'Gap Analysis update'!$B12,'MoDi Initiatives'!$A:$A,'Gap Analysis update'!$A12,'MoDi Initiatives'!$B:$B,'Gap Analysis update'!AK$2,'MoDi Initiatives'!$C:$C,'Gap Analysis update'!$B$7)</f>
        <v>0</v>
      </c>
      <c r="AL12" s="288">
        <f>SUMIFS('MoDi Initiatives'!R:R,'MoDi Initiatives'!$E:$E,'Gap Analysis update'!$B12,'MoDi Initiatives'!$A:$A,'Gap Analysis update'!$A12,'MoDi Initiatives'!$B:$B,'Gap Analysis update'!AL$2)-SUMIFS('MoDi Initiatives'!R:R,'MoDi Initiatives'!$E:$E,'Gap Analysis update'!$B12,'MoDi Initiatives'!$A:$A,'Gap Analysis update'!$A12,'MoDi Initiatives'!$B:$B,'Gap Analysis update'!AL$2,'MoDi Initiatives'!$C:$C,'Gap Analysis update'!$B$7)</f>
        <v>-7.664517588016187E-3</v>
      </c>
      <c r="AM12" s="288">
        <f>SUMIFS('MoDi Initiatives'!S:S,'MoDi Initiatives'!$E:$E,'Gap Analysis update'!$B12,'MoDi Initiatives'!$A:$A,'Gap Analysis update'!$A12,'MoDi Initiatives'!$B:$B,'Gap Analysis update'!AM$2)-SUMIFS('MoDi Initiatives'!S:S,'MoDi Initiatives'!$E:$E,'Gap Analysis update'!$B12,'MoDi Initiatives'!$A:$A,'Gap Analysis update'!$A12,'MoDi Initiatives'!$B:$B,'Gap Analysis update'!AM$2,'MoDi Initiatives'!$C:$C,'Gap Analysis update'!$B$7)</f>
        <v>0</v>
      </c>
      <c r="AN12" s="288">
        <f>SUMIFS('MoDi Initiatives'!T:T,'MoDi Initiatives'!$E:$E,'Gap Analysis update'!$B12,'MoDi Initiatives'!$A:$A,'Gap Analysis update'!$A12,'MoDi Initiatives'!$B:$B,'Gap Analysis update'!AN$2)-SUMIFS('MoDi Initiatives'!T:T,'MoDi Initiatives'!$E:$E,'Gap Analysis update'!$B12,'MoDi Initiatives'!$A:$A,'Gap Analysis update'!$A12,'MoDi Initiatives'!$B:$B,'Gap Analysis update'!AN$2,'MoDi Initiatives'!$C:$C,'Gap Analysis update'!$B$7)</f>
        <v>0</v>
      </c>
      <c r="AO12" s="288">
        <f>SUMIFS('MoDi Initiatives'!U:U,'MoDi Initiatives'!$E:$E,'Gap Analysis update'!$B12,'MoDi Initiatives'!$A:$A,'Gap Analysis update'!$A12,'MoDi Initiatives'!$B:$B,'Gap Analysis update'!AO$2)-SUMIFS('MoDi Initiatives'!U:U,'MoDi Initiatives'!$E:$E,'Gap Analysis update'!$B12,'MoDi Initiatives'!$A:$A,'Gap Analysis update'!$A12,'MoDi Initiatives'!$B:$B,'Gap Analysis update'!AO$2,'MoDi Initiatives'!$C:$C,'Gap Analysis update'!$B$7)</f>
        <v>0</v>
      </c>
      <c r="AP12" s="288">
        <f>SUMIFS('MoDi Initiatives'!V:V,'MoDi Initiatives'!$E:$E,'Gap Analysis update'!$B12,'MoDi Initiatives'!$A:$A,'Gap Analysis update'!$A12,'MoDi Initiatives'!$B:$B,'Gap Analysis update'!AP$2)-SUMIFS('MoDi Initiatives'!V:V,'MoDi Initiatives'!$E:$E,'Gap Analysis update'!$B12,'MoDi Initiatives'!$A:$A,'Gap Analysis update'!$A12,'MoDi Initiatives'!$B:$B,'Gap Analysis update'!AP$2,'MoDi Initiatives'!$C:$C,'Gap Analysis update'!$B$7)</f>
        <v>0</v>
      </c>
      <c r="AQ12" s="288">
        <f>SUMIFS('MoDi Initiatives'!W:W,'MoDi Initiatives'!$E:$E,'Gap Analysis update'!$B12,'MoDi Initiatives'!$A:$A,'Gap Analysis update'!$A12,'MoDi Initiatives'!$B:$B,'Gap Analysis update'!AQ$2)-SUMIFS('MoDi Initiatives'!W:W,'MoDi Initiatives'!$E:$E,'Gap Analysis update'!$B12,'MoDi Initiatives'!$A:$A,'Gap Analysis update'!$A12,'MoDi Initiatives'!$B:$B,'Gap Analysis update'!AQ$2,'MoDi Initiatives'!$C:$C,'Gap Analysis update'!$B$7)</f>
        <v>0</v>
      </c>
      <c r="AR12" s="293"/>
      <c r="AS12" s="289"/>
      <c r="AT12" s="289">
        <f t="shared" si="9"/>
        <v>0</v>
      </c>
      <c r="AU12" s="289">
        <f t="shared" si="3"/>
        <v>0</v>
      </c>
      <c r="AV12" s="289">
        <f t="shared" si="3"/>
        <v>-7.6105652040609787E-3</v>
      </c>
      <c r="AW12" s="289">
        <f t="shared" si="3"/>
        <v>7.664517588016187E-3</v>
      </c>
      <c r="AX12" s="289">
        <f t="shared" si="3"/>
        <v>0</v>
      </c>
      <c r="AY12" s="289">
        <f t="shared" si="3"/>
        <v>0</v>
      </c>
      <c r="AZ12" s="289">
        <f t="shared" si="3"/>
        <v>0</v>
      </c>
      <c r="BA12" s="289">
        <f t="shared" si="3"/>
        <v>0</v>
      </c>
      <c r="BB12" s="289">
        <f t="shared" si="3"/>
        <v>0</v>
      </c>
      <c r="BC12" s="289">
        <f t="shared" si="3"/>
        <v>0</v>
      </c>
      <c r="BD12" s="289">
        <f t="shared" si="3"/>
        <v>0</v>
      </c>
      <c r="BE12" s="289">
        <f t="shared" si="3"/>
        <v>0</v>
      </c>
      <c r="BF12" s="289">
        <f t="shared" si="3"/>
        <v>0</v>
      </c>
      <c r="BG12" s="289">
        <f t="shared" si="3"/>
        <v>0</v>
      </c>
      <c r="BH12" s="289">
        <f t="shared" si="3"/>
        <v>0</v>
      </c>
      <c r="BI12" s="289">
        <f t="shared" si="3"/>
        <v>0</v>
      </c>
      <c r="BJ12" s="293"/>
      <c r="BK12" s="286"/>
      <c r="BL12" s="286"/>
      <c r="BM12" s="286"/>
      <c r="BN12" s="286"/>
      <c r="BO12" s="286" t="s">
        <v>56</v>
      </c>
      <c r="BP12" s="286" t="s">
        <v>56</v>
      </c>
      <c r="BQ12" s="286"/>
      <c r="BR12" s="286"/>
      <c r="BS12" s="286"/>
      <c r="BT12" s="286"/>
      <c r="BU12" s="286"/>
      <c r="BV12" s="286"/>
      <c r="BW12" s="286" t="s">
        <v>57</v>
      </c>
      <c r="BX12" s="286" t="s">
        <v>57</v>
      </c>
      <c r="BY12" s="286"/>
      <c r="BZ12" s="286"/>
      <c r="CA12" s="286"/>
    </row>
    <row r="13" spans="1:79" s="288" customFormat="1" ht="65" outlineLevel="1">
      <c r="A13" s="286" t="s">
        <v>19</v>
      </c>
      <c r="B13" s="287" t="s">
        <v>58</v>
      </c>
      <c r="C13" s="288">
        <f t="shared" si="6"/>
        <v>6.2734789192128325E-3</v>
      </c>
      <c r="D13" s="289">
        <f t="shared" si="7"/>
        <v>9.6215953331208817E-3</v>
      </c>
      <c r="E13" s="289">
        <f t="shared" si="8"/>
        <v>1.5895074252333715E-2</v>
      </c>
      <c r="F13" s="286" t="s">
        <v>59</v>
      </c>
      <c r="G13" s="286" t="s">
        <v>60</v>
      </c>
      <c r="H13" s="290"/>
      <c r="J13" s="288">
        <f>SUMIFS('MoDi Initiatives'!H:H,'MoDi Initiatives'!$E:$E,'Gap Analysis update'!$B13,'MoDi Initiatives'!$A:$A,'Gap Analysis update'!$A13,'MoDi Initiatives'!$B:$B,'Gap Analysis update'!J$2)-SUMIFS('MoDi Initiatives'!H:H,'MoDi Initiatives'!$E:$E,'Gap Analysis update'!$B13,'MoDi Initiatives'!$A:$A,'Gap Analysis update'!$A13,'MoDi Initiatives'!$C:$C,'Gap Analysis update'!$B$7,'MoDi Initiatives'!$B:$B,'Gap Analysis update'!J$2)</f>
        <v>0</v>
      </c>
      <c r="K13" s="288">
        <f>SUMIFS('MoDi Initiatives'!I:I,'MoDi Initiatives'!$E:$E,'Gap Analysis update'!$B13,'MoDi Initiatives'!$A:$A,'Gap Analysis update'!$A13,'MoDi Initiatives'!$B:$B,'Gap Analysis update'!K$2)-SUMIFS('MoDi Initiatives'!I:I,'MoDi Initiatives'!$E:$E,'Gap Analysis update'!$B13,'MoDi Initiatives'!$A:$A,'Gap Analysis update'!$A13,'MoDi Initiatives'!$C:$C,'Gap Analysis update'!$B$7,'MoDi Initiatives'!$B:$B,'Gap Analysis update'!K$2)</f>
        <v>0</v>
      </c>
      <c r="L13" s="288">
        <f>SUMIFS('MoDi Initiatives'!J:J,'MoDi Initiatives'!$E:$E,'Gap Analysis update'!$B13,'MoDi Initiatives'!$A:$A,'Gap Analysis update'!$A13,'MoDi Initiatives'!$B:$B,'Gap Analysis update'!L$2)-SUMIFS('MoDi Initiatives'!J:J,'MoDi Initiatives'!$E:$E,'Gap Analysis update'!$B13,'MoDi Initiatives'!$A:$A,'Gap Analysis update'!$A13,'MoDi Initiatives'!$C:$C,'Gap Analysis update'!$B$7,'MoDi Initiatives'!$B:$B,'Gap Analysis update'!L$2)</f>
        <v>0</v>
      </c>
      <c r="M13" s="288">
        <f>SUMIFS('MoDi Initiatives'!K:K,'MoDi Initiatives'!$E:$E,'Gap Analysis update'!$B13,'MoDi Initiatives'!$A:$A,'Gap Analysis update'!$A13,'MoDi Initiatives'!$B:$B,'Gap Analysis update'!M$2)-SUMIFS('MoDi Initiatives'!K:K,'MoDi Initiatives'!$E:$E,'Gap Analysis update'!$B13,'MoDi Initiatives'!$A:$A,'Gap Analysis update'!$A13,'MoDi Initiatives'!$C:$C,'Gap Analysis update'!$B$7,'MoDi Initiatives'!$B:$B,'Gap Analysis update'!M$2)</f>
        <v>0</v>
      </c>
      <c r="N13" s="288">
        <f>SUMIFS('MoDi Initiatives'!L:L,'MoDi Initiatives'!$E:$E,'Gap Analysis update'!$B13,'MoDi Initiatives'!$A:$A,'Gap Analysis update'!$A13,'MoDi Initiatives'!$B:$B,'Gap Analysis update'!N$2)-SUMIFS('MoDi Initiatives'!L:L,'MoDi Initiatives'!$E:$E,'Gap Analysis update'!$B13,'MoDi Initiatives'!$A:$A,'Gap Analysis update'!$A13,'MoDi Initiatives'!$C:$C,'Gap Analysis update'!$B$7,'MoDi Initiatives'!$B:$B,'Gap Analysis update'!N$2)</f>
        <v>0</v>
      </c>
      <c r="O13" s="288">
        <f>SUMIFS('MoDi Initiatives'!M:M,'MoDi Initiatives'!$E:$E,'Gap Analysis update'!$B13,'MoDi Initiatives'!$A:$A,'Gap Analysis update'!$A13,'MoDi Initiatives'!$B:$B,'Gap Analysis update'!O$2)-SUMIFS('MoDi Initiatives'!M:M,'MoDi Initiatives'!$E:$E,'Gap Analysis update'!$B13,'MoDi Initiatives'!$A:$A,'Gap Analysis update'!$A13,'MoDi Initiatives'!$C:$C,'Gap Analysis update'!$B$7,'MoDi Initiatives'!$B:$B,'Gap Analysis update'!O$2)</f>
        <v>0</v>
      </c>
      <c r="P13" s="288">
        <f>SUMIFS('MoDi Initiatives'!N:N,'MoDi Initiatives'!$E:$E,'Gap Analysis update'!$B13,'MoDi Initiatives'!$A:$A,'Gap Analysis update'!$A13,'MoDi Initiatives'!$B:$B,'Gap Analysis update'!P$2)-SUMIFS('MoDi Initiatives'!N:N,'MoDi Initiatives'!$E:$E,'Gap Analysis update'!$B13,'MoDi Initiatives'!$A:$A,'Gap Analysis update'!$A13,'MoDi Initiatives'!$C:$C,'Gap Analysis update'!$B$7,'MoDi Initiatives'!$B:$B,'Gap Analysis update'!P$2)</f>
        <v>0</v>
      </c>
      <c r="Q13" s="288">
        <f>SUMIFS('MoDi Initiatives'!O:O,'MoDi Initiatives'!$E:$E,'Gap Analysis update'!$B13,'MoDi Initiatives'!$A:$A,'Gap Analysis update'!$A13,'MoDi Initiatives'!$B:$B,'Gap Analysis update'!Q$2)-SUMIFS('MoDi Initiatives'!O:O,'MoDi Initiatives'!$E:$E,'Gap Analysis update'!$B13,'MoDi Initiatives'!$A:$A,'Gap Analysis update'!$A13,'MoDi Initiatives'!$C:$C,'Gap Analysis update'!$B$7,'MoDi Initiatives'!$B:$B,'Gap Analysis update'!Q$2)</f>
        <v>0</v>
      </c>
      <c r="R13" s="371">
        <f>SUMIFS('MoDi Initiatives'!P:P,'MoDi Initiatives'!$E:$E,'Gap Analysis update'!$B13,'MoDi Initiatives'!$A:$A,'Gap Analysis update'!$A13,'MoDi Initiatives'!$B:$B,'Gap Analysis update'!R$2)-SUMIFS('MoDi Initiatives'!P:P,'MoDi Initiatives'!$E:$E,'Gap Analysis update'!$B13,'MoDi Initiatives'!$A:$A,'Gap Analysis update'!$A13,'MoDi Initiatives'!$C:$C,'Gap Analysis update'!$B$7,'MoDi Initiatives'!$B:$B,'Gap Analysis update'!R$2)</f>
        <v>-9.5806469850202337E-3</v>
      </c>
      <c r="S13" s="288">
        <f>SUMIFS('MoDi Initiatives'!Q:Q,'MoDi Initiatives'!$E:$E,'Gap Analysis update'!$B13,'MoDi Initiatives'!$A:$A,'Gap Analysis update'!$A13,'MoDi Initiatives'!$B:$B,'Gap Analysis update'!S$2)-SUMIFS('MoDi Initiatives'!Q:Q,'MoDi Initiatives'!$E:$E,'Gap Analysis update'!$B13,'MoDi Initiatives'!$A:$A,'Gap Analysis update'!$A13,'MoDi Initiatives'!$C:$C,'Gap Analysis update'!$B$7,'MoDi Initiatives'!$B:$B,'Gap Analysis update'!S$2)</f>
        <v>0</v>
      </c>
      <c r="T13" s="288">
        <f>SUMIFS('MoDi Initiatives'!R:R,'MoDi Initiatives'!$E:$E,'Gap Analysis update'!$B13,'MoDi Initiatives'!$A:$A,'Gap Analysis update'!$A13,'MoDi Initiatives'!$B:$B,'Gap Analysis update'!T$2)-SUMIFS('MoDi Initiatives'!R:R,'MoDi Initiatives'!$E:$E,'Gap Analysis update'!$B13,'MoDi Initiatives'!$A:$A,'Gap Analysis update'!$A13,'MoDi Initiatives'!$C:$C,'Gap Analysis update'!$B$7,'MoDi Initiatives'!$B:$B,'Gap Analysis update'!T$2)</f>
        <v>0</v>
      </c>
      <c r="U13" s="288">
        <f>SUMIFS('MoDi Initiatives'!S:S,'MoDi Initiatives'!$E:$E,'Gap Analysis update'!$B13,'MoDi Initiatives'!$A:$A,'Gap Analysis update'!$A13,'MoDi Initiatives'!$B:$B,'Gap Analysis update'!U$2)-SUMIFS('MoDi Initiatives'!S:S,'MoDi Initiatives'!$E:$E,'Gap Analysis update'!$B13,'MoDi Initiatives'!$A:$A,'Gap Analysis update'!$A13,'MoDi Initiatives'!$C:$C,'Gap Analysis update'!$B$7,'MoDi Initiatives'!$B:$B,'Gap Analysis update'!U$2)</f>
        <v>0</v>
      </c>
      <c r="V13" s="288">
        <f>SUMIFS('MoDi Initiatives'!T:T,'MoDi Initiatives'!$E:$E,'Gap Analysis update'!$B13,'MoDi Initiatives'!$A:$A,'Gap Analysis update'!$A13,'MoDi Initiatives'!$B:$B,'Gap Analysis update'!V$2)-SUMIFS('MoDi Initiatives'!T:T,'MoDi Initiatives'!$E:$E,'Gap Analysis update'!$B13,'MoDi Initiatives'!$A:$A,'Gap Analysis update'!$A13,'MoDi Initiatives'!$C:$C,'Gap Analysis update'!$B$7,'MoDi Initiatives'!$B:$B,'Gap Analysis update'!V$2)</f>
        <v>0</v>
      </c>
      <c r="W13" s="288">
        <f>SUMIFS('MoDi Initiatives'!U:U,'MoDi Initiatives'!$E:$E,'Gap Analysis update'!$B13,'MoDi Initiatives'!$A:$A,'Gap Analysis update'!$A13,'MoDi Initiatives'!$B:$B,'Gap Analysis update'!W$2)-SUMIFS('MoDi Initiatives'!U:U,'MoDi Initiatives'!$E:$E,'Gap Analysis update'!$B13,'MoDi Initiatives'!$A:$A,'Gap Analysis update'!$A13,'MoDi Initiatives'!$C:$C,'Gap Analysis update'!$B$7,'MoDi Initiatives'!$B:$B,'Gap Analysis update'!W$2)</f>
        <v>0</v>
      </c>
      <c r="X13" s="288">
        <f>SUMIFS('MoDi Initiatives'!V:V,'MoDi Initiatives'!$E:$E,'Gap Analysis update'!$B13,'MoDi Initiatives'!$A:$A,'Gap Analysis update'!$A13,'MoDi Initiatives'!$B:$B,'Gap Analysis update'!X$2)-SUMIFS('MoDi Initiatives'!V:V,'MoDi Initiatives'!$E:$E,'Gap Analysis update'!$B13,'MoDi Initiatives'!$A:$A,'Gap Analysis update'!$A13,'MoDi Initiatives'!$C:$C,'Gap Analysis update'!$B$7,'MoDi Initiatives'!$B:$B,'Gap Analysis update'!X$2)</f>
        <v>0</v>
      </c>
      <c r="Y13" s="288">
        <f>SUMIFS('MoDi Initiatives'!W:W,'MoDi Initiatives'!$E:$E,'Gap Analysis update'!$B13,'MoDi Initiatives'!$A:$A,'Gap Analysis update'!$A13,'MoDi Initiatives'!$B:$B,'Gap Analysis update'!Y$2)-SUMIFS('MoDi Initiatives'!W:W,'MoDi Initiatives'!$E:$E,'Gap Analysis update'!$B13,'MoDi Initiatives'!$A:$A,'Gap Analysis update'!$A13,'MoDi Initiatives'!$C:$C,'Gap Analysis update'!$B$7,'MoDi Initiatives'!$B:$B,'Gap Analysis update'!Y$2)</f>
        <v>0</v>
      </c>
      <c r="Z13" s="293"/>
      <c r="AB13" s="291">
        <f>SUMIFS('MoDi Initiatives'!H:H,'MoDi Initiatives'!$E:$E,'Gap Analysis update'!$B13,'MoDi Initiatives'!$A:$A,'Gap Analysis update'!$A13,'MoDi Initiatives'!$B:$B,'Gap Analysis update'!AB$2)-SUMIFS('MoDi Initiatives'!H:H,'MoDi Initiatives'!$E:$E,'Gap Analysis update'!$B13,'MoDi Initiatives'!$A:$A,'Gap Analysis update'!$A13,'MoDi Initiatives'!$B:$B,'Gap Analysis update'!AB$2,'MoDi Initiatives'!$C:$C,'Gap Analysis update'!$B$7)</f>
        <v>-1.2002948550404783E-4</v>
      </c>
      <c r="AC13" s="288">
        <f>SUMIFS('MoDi Initiatives'!I:I,'MoDi Initiatives'!$E:$E,'Gap Analysis update'!$B13,'MoDi Initiatives'!$A:$A,'Gap Analysis update'!$A13,'MoDi Initiatives'!$B:$B,'Gap Analysis update'!AC$2)-SUMIFS('MoDi Initiatives'!I:I,'MoDi Initiatives'!$E:$E,'Gap Analysis update'!$B13,'MoDi Initiatives'!$A:$A,'Gap Analysis update'!$A13,'MoDi Initiatives'!$B:$B,'Gap Analysis update'!AC$2,'MoDi Initiatives'!$C:$C,'Gap Analysis update'!$B$7)</f>
        <v>6.697755100709522E-3</v>
      </c>
      <c r="AD13" s="291">
        <f>SUMIFS('MoDi Initiatives'!J:J,'MoDi Initiatives'!$E:$E,'Gap Analysis update'!$B13,'MoDi Initiatives'!$A:$A,'Gap Analysis update'!$A13,'MoDi Initiatives'!$B:$B,'Gap Analysis update'!AD$2)-SUMIFS('MoDi Initiatives'!J:J,'MoDi Initiatives'!$E:$E,'Gap Analysis update'!$B13,'MoDi Initiatives'!$A:$A,'Gap Analysis update'!$A13,'MoDi Initiatives'!$B:$B,'Gap Analysis update'!AD$2,'MoDi Initiatives'!$C:$C,'Gap Analysis update'!$B$7)</f>
        <v>-1.4019282997886981E-4</v>
      </c>
      <c r="AE13" s="288">
        <f>SUMIFS('MoDi Initiatives'!K:K,'MoDi Initiatives'!$E:$E,'Gap Analysis update'!$B13,'MoDi Initiatives'!$A:$A,'Gap Analysis update'!$A13,'MoDi Initiatives'!$B:$B,'Gap Analysis update'!AE$2)-SUMIFS('MoDi Initiatives'!K:K,'MoDi Initiatives'!$E:$E,'Gap Analysis update'!$B13,'MoDi Initiatives'!$A:$A,'Gap Analysis update'!$A13,'MoDi Initiatives'!$B:$B,'Gap Analysis update'!AE$2,'MoDi Initiatives'!$C:$C,'Gap Analysis update'!$B$7)</f>
        <v>0</v>
      </c>
      <c r="AF13" s="291">
        <f>SUMIFS('MoDi Initiatives'!L:L,'MoDi Initiatives'!$E:$E,'Gap Analysis update'!$B13,'MoDi Initiatives'!$A:$A,'Gap Analysis update'!$A13,'MoDi Initiatives'!$B:$B,'Gap Analysis update'!AF$2)-SUMIFS('MoDi Initiatives'!L:L,'MoDi Initiatives'!$E:$E,'Gap Analysis update'!$B13,'MoDi Initiatives'!$A:$A,'Gap Analysis update'!$A13,'MoDi Initiatives'!$B:$B,'Gap Analysis update'!AF$2,'MoDi Initiatives'!$C:$C,'Gap Analysis update'!$B$7)</f>
        <v>-2.3310073996438621E-5</v>
      </c>
      <c r="AG13" s="288">
        <f>SUMIFS('MoDi Initiatives'!M:M,'MoDi Initiatives'!$E:$E,'Gap Analysis update'!$B13,'MoDi Initiatives'!$A:$A,'Gap Analysis update'!$A13,'MoDi Initiatives'!$B:$B,'Gap Analysis update'!AG$2)-SUMIFS('MoDi Initiatives'!M:M,'MoDi Initiatives'!$E:$E,'Gap Analysis update'!$B13,'MoDi Initiatives'!$A:$A,'Gap Analysis update'!$A13,'MoDi Initiatives'!$B:$B,'Gap Analysis update'!AG$2,'MoDi Initiatives'!$C:$C,'Gap Analysis update'!$B$7)</f>
        <v>0</v>
      </c>
      <c r="AH13" s="291">
        <f>SUMIFS('MoDi Initiatives'!N:N,'MoDi Initiatives'!$E:$E,'Gap Analysis update'!$B13,'MoDi Initiatives'!$A:$A,'Gap Analysis update'!$A13,'MoDi Initiatives'!$B:$B,'Gap Analysis update'!AH$2)-SUMIFS('MoDi Initiatives'!N:N,'MoDi Initiatives'!$E:$E,'Gap Analysis update'!$B13,'MoDi Initiatives'!$A:$A,'Gap Analysis update'!$A13,'MoDi Initiatives'!$B:$B,'Gap Analysis update'!AH$2,'MoDi Initiatives'!$C:$C,'Gap Analysis update'!$B$7)</f>
        <v>-6.9582310437128754E-6</v>
      </c>
      <c r="AI13" s="291">
        <f>SUMIFS('MoDi Initiatives'!O:O,'MoDi Initiatives'!$E:$E,'Gap Analysis update'!$B13,'MoDi Initiatives'!$A:$A,'Gap Analysis update'!$A13,'MoDi Initiatives'!$B:$B,'Gap Analysis update'!AI$2)-SUMIFS('MoDi Initiatives'!O:O,'MoDi Initiatives'!$E:$E,'Gap Analysis update'!$B13,'MoDi Initiatives'!$A:$A,'Gap Analysis update'!$A13,'MoDi Initiatives'!$B:$B,'Gap Analysis update'!AI$2,'MoDi Initiatives'!$C:$C,'Gap Analysis update'!$B$7)</f>
        <v>-1.3378556097361961E-4</v>
      </c>
      <c r="AJ13" s="288">
        <f>SUMIFS('MoDi Initiatives'!P:P,'MoDi Initiatives'!$E:$E,'Gap Analysis update'!$B13,'MoDi Initiatives'!$A:$A,'Gap Analysis update'!$A13,'MoDi Initiatives'!$B:$B,'Gap Analysis update'!AJ$2)-SUMIFS('MoDi Initiatives'!P:P,'MoDi Initiatives'!$E:$E,'Gap Analysis update'!$B13,'MoDi Initiatives'!$A:$A,'Gap Analysis update'!$A13,'MoDi Initiatives'!$B:$B,'Gap Analysis update'!AJ$2,'MoDi Initiatives'!$C:$C,'Gap Analysis update'!$B$7)</f>
        <v>4.0948348100648853E-5</v>
      </c>
      <c r="AK13" s="288">
        <f>SUMIFS('MoDi Initiatives'!Q:Q,'MoDi Initiatives'!$E:$E,'Gap Analysis update'!$B13,'MoDi Initiatives'!$A:$A,'Gap Analysis update'!$A13,'MoDi Initiatives'!$B:$B,'Gap Analysis update'!AK$2)-SUMIFS('MoDi Initiatives'!Q:Q,'MoDi Initiatives'!$E:$E,'Gap Analysis update'!$B13,'MoDi Initiatives'!$A:$A,'Gap Analysis update'!$A13,'MoDi Initiatives'!$B:$B,'Gap Analysis update'!AK$2,'MoDi Initiatives'!$C:$C,'Gap Analysis update'!$B$7)</f>
        <v>0</v>
      </c>
      <c r="AL13" s="288">
        <f>SUMIFS('MoDi Initiatives'!R:R,'MoDi Initiatives'!$E:$E,'Gap Analysis update'!$B13,'MoDi Initiatives'!$A:$A,'Gap Analysis update'!$A13,'MoDi Initiatives'!$B:$B,'Gap Analysis update'!AL$2)-SUMIFS('MoDi Initiatives'!R:R,'MoDi Initiatives'!$E:$E,'Gap Analysis update'!$B13,'MoDi Initiatives'!$A:$A,'Gap Analysis update'!$A13,'MoDi Initiatives'!$B:$B,'Gap Analysis update'!AL$2,'MoDi Initiatives'!$C:$C,'Gap Analysis update'!$B$7)</f>
        <v>0</v>
      </c>
      <c r="AM13" s="288">
        <f>SUMIFS('MoDi Initiatives'!S:S,'MoDi Initiatives'!$E:$E,'Gap Analysis update'!$B13,'MoDi Initiatives'!$A:$A,'Gap Analysis update'!$A13,'MoDi Initiatives'!$B:$B,'Gap Analysis update'!AM$2)-SUMIFS('MoDi Initiatives'!S:S,'MoDi Initiatives'!$E:$E,'Gap Analysis update'!$B13,'MoDi Initiatives'!$A:$A,'Gap Analysis update'!$A13,'MoDi Initiatives'!$B:$B,'Gap Analysis update'!AM$2,'MoDi Initiatives'!$C:$C,'Gap Analysis update'!$B$7)</f>
        <v>0</v>
      </c>
      <c r="AN13" s="288">
        <f>SUMIFS('MoDi Initiatives'!T:T,'MoDi Initiatives'!$E:$E,'Gap Analysis update'!$B13,'MoDi Initiatives'!$A:$A,'Gap Analysis update'!$A13,'MoDi Initiatives'!$B:$B,'Gap Analysis update'!AN$2)-SUMIFS('MoDi Initiatives'!T:T,'MoDi Initiatives'!$E:$E,'Gap Analysis update'!$B13,'MoDi Initiatives'!$A:$A,'Gap Analysis update'!$A13,'MoDi Initiatives'!$B:$B,'Gap Analysis update'!AN$2,'MoDi Initiatives'!$C:$C,'Gap Analysis update'!$B$7)</f>
        <v>0</v>
      </c>
      <c r="AO13" s="288">
        <f>SUMIFS('MoDi Initiatives'!U:U,'MoDi Initiatives'!$E:$E,'Gap Analysis update'!$B13,'MoDi Initiatives'!$A:$A,'Gap Analysis update'!$A13,'MoDi Initiatives'!$B:$B,'Gap Analysis update'!AO$2)-SUMIFS('MoDi Initiatives'!U:U,'MoDi Initiatives'!$E:$E,'Gap Analysis update'!$B13,'MoDi Initiatives'!$A:$A,'Gap Analysis update'!$A13,'MoDi Initiatives'!$B:$B,'Gap Analysis update'!AO$2,'MoDi Initiatives'!$C:$C,'Gap Analysis update'!$B$7)</f>
        <v>0</v>
      </c>
      <c r="AP13" s="288">
        <f>SUMIFS('MoDi Initiatives'!V:V,'MoDi Initiatives'!$E:$E,'Gap Analysis update'!$B13,'MoDi Initiatives'!$A:$A,'Gap Analysis update'!$A13,'MoDi Initiatives'!$B:$B,'Gap Analysis update'!AP$2)-SUMIFS('MoDi Initiatives'!V:V,'MoDi Initiatives'!$E:$E,'Gap Analysis update'!$B13,'MoDi Initiatives'!$A:$A,'Gap Analysis update'!$A13,'MoDi Initiatives'!$B:$B,'Gap Analysis update'!AP$2,'MoDi Initiatives'!$C:$C,'Gap Analysis update'!$B$7)</f>
        <v>0</v>
      </c>
      <c r="AQ13" s="288">
        <f>SUMIFS('MoDi Initiatives'!W:W,'MoDi Initiatives'!$E:$E,'Gap Analysis update'!$B13,'MoDi Initiatives'!$A:$A,'Gap Analysis update'!$A13,'MoDi Initiatives'!$B:$B,'Gap Analysis update'!AQ$2)-SUMIFS('MoDi Initiatives'!W:W,'MoDi Initiatives'!$E:$E,'Gap Analysis update'!$B13,'MoDi Initiatives'!$A:$A,'Gap Analysis update'!$A13,'MoDi Initiatives'!$B:$B,'Gap Analysis update'!AQ$2,'MoDi Initiatives'!$C:$C,'Gap Analysis update'!$B$7)</f>
        <v>0</v>
      </c>
      <c r="AR13" s="293"/>
      <c r="AS13" s="289"/>
      <c r="AT13" s="289">
        <f t="shared" si="9"/>
        <v>-1.2002948550404783E-4</v>
      </c>
      <c r="AU13" s="289">
        <f t="shared" si="3"/>
        <v>6.697755100709522E-3</v>
      </c>
      <c r="AV13" s="289">
        <f t="shared" si="3"/>
        <v>-1.4019282997886981E-4</v>
      </c>
      <c r="AW13" s="289">
        <f t="shared" si="3"/>
        <v>0</v>
      </c>
      <c r="AX13" s="289">
        <f t="shared" si="3"/>
        <v>-2.3310073996438621E-5</v>
      </c>
      <c r="AY13" s="289">
        <f t="shared" si="3"/>
        <v>0</v>
      </c>
      <c r="AZ13" s="289">
        <f t="shared" si="3"/>
        <v>-6.9582310437128754E-6</v>
      </c>
      <c r="BA13" s="289">
        <f t="shared" si="3"/>
        <v>-1.3378556097361961E-4</v>
      </c>
      <c r="BB13" s="289">
        <f t="shared" si="3"/>
        <v>9.6215953331208817E-3</v>
      </c>
      <c r="BC13" s="289">
        <f t="shared" si="3"/>
        <v>0</v>
      </c>
      <c r="BD13" s="289">
        <f t="shared" si="3"/>
        <v>0</v>
      </c>
      <c r="BE13" s="289">
        <f t="shared" si="3"/>
        <v>0</v>
      </c>
      <c r="BF13" s="289">
        <f t="shared" si="3"/>
        <v>0</v>
      </c>
      <c r="BG13" s="289">
        <f t="shared" si="3"/>
        <v>0</v>
      </c>
      <c r="BH13" s="289">
        <f t="shared" si="3"/>
        <v>0</v>
      </c>
      <c r="BI13" s="289">
        <f t="shared" si="3"/>
        <v>0</v>
      </c>
      <c r="BJ13" s="293"/>
      <c r="BK13" s="286"/>
      <c r="BL13" s="286"/>
      <c r="BM13" s="286" t="s">
        <v>61</v>
      </c>
      <c r="BN13" s="286" t="s">
        <v>62</v>
      </c>
      <c r="BO13" s="286" t="s">
        <v>62</v>
      </c>
      <c r="BP13" s="286"/>
      <c r="BQ13" s="286" t="s">
        <v>22</v>
      </c>
      <c r="BR13" s="286"/>
      <c r="BS13" s="286" t="s">
        <v>62</v>
      </c>
      <c r="BT13" s="286" t="s">
        <v>62</v>
      </c>
      <c r="BU13" s="286" t="s">
        <v>63</v>
      </c>
      <c r="BV13" s="286"/>
      <c r="BW13" s="286"/>
      <c r="BX13" s="286"/>
      <c r="BY13" s="286"/>
      <c r="BZ13" s="286"/>
      <c r="CA13" s="286"/>
    </row>
    <row r="14" spans="1:79" s="285" customFormat="1" ht="12" customHeight="1" outlineLevel="1">
      <c r="A14" s="275" t="s">
        <v>64</v>
      </c>
      <c r="B14" s="275" t="s">
        <v>20</v>
      </c>
      <c r="C14" s="276">
        <f>AI14-Q14</f>
        <v>-2.665577892711446E-2</v>
      </c>
      <c r="D14" s="277">
        <f>AQ14-Y14-C14</f>
        <v>5.5331314096134232E-3</v>
      </c>
      <c r="E14" s="277">
        <f t="shared" si="8"/>
        <v>-2.1122647517501036E-2</v>
      </c>
      <c r="F14" s="278"/>
      <c r="G14" s="278"/>
      <c r="H14" s="279"/>
      <c r="I14" s="276">
        <v>1.2813039350758084</v>
      </c>
      <c r="J14" s="280">
        <f>+I14+J15+J16</f>
        <v>1.2731497580714572</v>
      </c>
      <c r="K14" s="280">
        <f t="shared" ref="K14:Y14" si="10">+J14+K15+K16</f>
        <v>1.2731497580714572</v>
      </c>
      <c r="L14" s="280">
        <f t="shared" si="10"/>
        <v>1.2731497580714572</v>
      </c>
      <c r="M14" s="280">
        <f t="shared" si="10"/>
        <v>1.2654852404834411</v>
      </c>
      <c r="N14" s="280">
        <f t="shared" si="10"/>
        <v>1.2886565714912182</v>
      </c>
      <c r="O14" s="280">
        <f t="shared" si="10"/>
        <v>1.2886565714912182</v>
      </c>
      <c r="P14" s="280">
        <f t="shared" si="10"/>
        <v>1.260879095719996</v>
      </c>
      <c r="Q14" s="280">
        <f t="shared" si="10"/>
        <v>1.260879095719996</v>
      </c>
      <c r="R14" s="280">
        <f t="shared" si="10"/>
        <v>1.260879095719996</v>
      </c>
      <c r="S14" s="280">
        <f t="shared" si="10"/>
        <v>1.260879095719996</v>
      </c>
      <c r="T14" s="280">
        <f t="shared" si="10"/>
        <v>1.260879095719996</v>
      </c>
      <c r="U14" s="280">
        <f t="shared" si="10"/>
        <v>1.2532145781319799</v>
      </c>
      <c r="V14" s="280">
        <f t="shared" si="10"/>
        <v>1.246365069448325</v>
      </c>
      <c r="W14" s="280">
        <f t="shared" si="10"/>
        <v>1.246365069448325</v>
      </c>
      <c r="X14" s="280">
        <f t="shared" si="10"/>
        <v>1.246365069448325</v>
      </c>
      <c r="Y14" s="280">
        <f t="shared" si="10"/>
        <v>1.246365069448325</v>
      </c>
      <c r="Z14" s="279"/>
      <c r="AA14" s="276">
        <f>'[1]MoDi Initiatives'!F393</f>
        <v>1.2813039350758084</v>
      </c>
      <c r="AB14" s="280">
        <f>+AA14+AB15+AB16</f>
        <v>1.273652290215223</v>
      </c>
      <c r="AC14" s="280">
        <f t="shared" ref="AC14:AR14" si="11">+AB14+AC15+AC16</f>
        <v>1.2736508927849828</v>
      </c>
      <c r="AD14" s="280">
        <f t="shared" si="11"/>
        <v>1.2659015321811824</v>
      </c>
      <c r="AE14" s="280">
        <f t="shared" si="11"/>
        <v>1.2659015321811824</v>
      </c>
      <c r="AF14" s="280">
        <f t="shared" si="11"/>
        <v>1.2659015321811824</v>
      </c>
      <c r="AG14" s="280">
        <f t="shared" si="11"/>
        <v>1.263600107700821</v>
      </c>
      <c r="AH14" s="280">
        <f t="shared" si="11"/>
        <v>1.2504486204876577</v>
      </c>
      <c r="AI14" s="280">
        <f t="shared" si="11"/>
        <v>1.2342233167928816</v>
      </c>
      <c r="AJ14" s="280">
        <f t="shared" si="11"/>
        <v>1.2342445993032192</v>
      </c>
      <c r="AK14" s="280">
        <f t="shared" si="11"/>
        <v>1.2567223838507737</v>
      </c>
      <c r="AL14" s="280">
        <f t="shared" si="11"/>
        <v>1.2490578662627576</v>
      </c>
      <c r="AM14" s="280">
        <f t="shared" si="11"/>
        <v>1.2276343138521004</v>
      </c>
      <c r="AN14" s="280">
        <f t="shared" si="11"/>
        <v>1.225242421930824</v>
      </c>
      <c r="AO14" s="280">
        <f t="shared" si="11"/>
        <v>1.225242421930824</v>
      </c>
      <c r="AP14" s="280">
        <f t="shared" si="11"/>
        <v>1.225242421930824</v>
      </c>
      <c r="AQ14" s="282">
        <f t="shared" si="11"/>
        <v>1.225242421930824</v>
      </c>
      <c r="AR14" s="283" t="e">
        <f t="shared" si="11"/>
        <v>#VALUE!</v>
      </c>
      <c r="AS14" s="284">
        <f>I14-AA14</f>
        <v>0</v>
      </c>
      <c r="AT14" s="284">
        <f t="shared" si="9"/>
        <v>5.0253214376572153E-4</v>
      </c>
      <c r="AU14" s="284">
        <f t="shared" si="3"/>
        <v>5.0113471352553063E-4</v>
      </c>
      <c r="AV14" s="284">
        <f t="shared" si="3"/>
        <v>-7.2482258902748509E-3</v>
      </c>
      <c r="AW14" s="284">
        <f t="shared" si="3"/>
        <v>4.1629169774126673E-4</v>
      </c>
      <c r="AX14" s="284">
        <f t="shared" si="3"/>
        <v>-2.2755039310035752E-2</v>
      </c>
      <c r="AY14" s="284">
        <f t="shared" si="3"/>
        <v>-2.5056463790397165E-2</v>
      </c>
      <c r="AZ14" s="284">
        <f t="shared" si="3"/>
        <v>-1.043047523233831E-2</v>
      </c>
      <c r="BA14" s="284">
        <f t="shared" si="3"/>
        <v>-2.665577892711446E-2</v>
      </c>
      <c r="BB14" s="284">
        <f>AJ14-R14</f>
        <v>-2.6634496416776843E-2</v>
      </c>
      <c r="BC14" s="284">
        <f t="shared" si="3"/>
        <v>-4.1567118692222849E-3</v>
      </c>
      <c r="BD14" s="284">
        <f t="shared" si="3"/>
        <v>-1.1821229457238402E-2</v>
      </c>
      <c r="BE14" s="284">
        <f t="shared" si="3"/>
        <v>-2.5580264279879472E-2</v>
      </c>
      <c r="BF14" s="284">
        <f t="shared" si="3"/>
        <v>-2.1122647517501036E-2</v>
      </c>
      <c r="BG14" s="284">
        <f t="shared" si="3"/>
        <v>-2.1122647517501036E-2</v>
      </c>
      <c r="BH14" s="284">
        <f t="shared" si="3"/>
        <v>-2.1122647517501036E-2</v>
      </c>
      <c r="BI14" s="284">
        <f t="shared" si="3"/>
        <v>-2.1122647517501036E-2</v>
      </c>
      <c r="BJ14" s="279"/>
    </row>
    <row r="15" spans="1:79" s="285" customFormat="1" ht="12" customHeight="1" outlineLevel="1">
      <c r="A15" s="275" t="s">
        <v>64</v>
      </c>
      <c r="B15" s="275" t="s">
        <v>21</v>
      </c>
      <c r="C15" s="276">
        <f>SUM(AT15:BA15)</f>
        <v>-3.4844479193374498E-3</v>
      </c>
      <c r="D15" s="277">
        <f>SUM(BB15:BI15)</f>
        <v>-1.9648000124663313E-2</v>
      </c>
      <c r="E15" s="277">
        <f t="shared" si="8"/>
        <v>-2.3132448044000761E-2</v>
      </c>
      <c r="F15" s="278"/>
      <c r="G15" s="278"/>
      <c r="H15" s="279"/>
      <c r="I15" s="280"/>
      <c r="J15" s="280">
        <f t="shared" ref="J15:Y15" si="12">SUBTOTAL(9,J17:J22)</f>
        <v>-8.1541770043510684E-3</v>
      </c>
      <c r="K15" s="280">
        <f t="shared" si="12"/>
        <v>0</v>
      </c>
      <c r="L15" s="280">
        <f t="shared" si="12"/>
        <v>0</v>
      </c>
      <c r="M15" s="280">
        <f t="shared" si="12"/>
        <v>-7.664517588016187E-3</v>
      </c>
      <c r="N15" s="280">
        <f t="shared" si="12"/>
        <v>0</v>
      </c>
      <c r="O15" s="280">
        <f t="shared" si="12"/>
        <v>0</v>
      </c>
      <c r="P15" s="280">
        <f t="shared" si="12"/>
        <v>-2.7777475771222061E-2</v>
      </c>
      <c r="Q15" s="280">
        <f t="shared" si="12"/>
        <v>0</v>
      </c>
      <c r="R15" s="280">
        <f t="shared" si="12"/>
        <v>0</v>
      </c>
      <c r="S15" s="280">
        <f t="shared" si="12"/>
        <v>0</v>
      </c>
      <c r="T15" s="280">
        <f t="shared" si="12"/>
        <v>0</v>
      </c>
      <c r="U15" s="280">
        <f t="shared" si="12"/>
        <v>-7.664517588016187E-3</v>
      </c>
      <c r="V15" s="280">
        <f t="shared" si="12"/>
        <v>-6.8495086836548981E-3</v>
      </c>
      <c r="W15" s="280">
        <f t="shared" si="12"/>
        <v>0</v>
      </c>
      <c r="X15" s="280">
        <f t="shared" si="12"/>
        <v>0</v>
      </c>
      <c r="Y15" s="280">
        <f t="shared" si="12"/>
        <v>0</v>
      </c>
      <c r="Z15" s="279"/>
      <c r="AB15" s="280">
        <f>SUBTOTAL(9,AB17:AB22)</f>
        <v>-7.6516448605853478E-3</v>
      </c>
      <c r="AC15" s="280">
        <f t="shared" ref="AC15:AM15" si="13">SUBTOTAL(9,AC17:AC22)</f>
        <v>-1.3974302402873667E-6</v>
      </c>
      <c r="AD15" s="280">
        <f t="shared" si="13"/>
        <v>-7.7493606038004769E-3</v>
      </c>
      <c r="AE15" s="280">
        <f t="shared" si="13"/>
        <v>0</v>
      </c>
      <c r="AF15" s="280">
        <f t="shared" si="13"/>
        <v>0</v>
      </c>
      <c r="AG15" s="280">
        <f t="shared" si="13"/>
        <v>-2.3014244803613686E-3</v>
      </c>
      <c r="AH15" s="280">
        <f t="shared" si="13"/>
        <v>-1.3151487213163233E-2</v>
      </c>
      <c r="AI15" s="280">
        <f t="shared" si="13"/>
        <v>-1.6225303694776053E-2</v>
      </c>
      <c r="AJ15" s="280">
        <f t="shared" si="13"/>
        <v>2.1282510337647213E-5</v>
      </c>
      <c r="AK15" s="280">
        <f t="shared" si="13"/>
        <v>2.1077423367044518E-3</v>
      </c>
      <c r="AL15" s="280">
        <f t="shared" si="13"/>
        <v>-7.664517588016187E-3</v>
      </c>
      <c r="AM15" s="280">
        <f t="shared" si="13"/>
        <v>-2.6234641734083998E-2</v>
      </c>
      <c r="AN15" s="280">
        <f>SUBTOTAL(9,AN17:AN22)</f>
        <v>-2.3918919212763136E-3</v>
      </c>
      <c r="AO15" s="280">
        <f t="shared" ref="AO15:AQ15" si="14">SUBTOTAL(9,AO17:AO22)</f>
        <v>0</v>
      </c>
      <c r="AP15" s="280">
        <f t="shared" si="14"/>
        <v>0</v>
      </c>
      <c r="AQ15" s="280">
        <f t="shared" si="14"/>
        <v>0</v>
      </c>
      <c r="AR15" s="279"/>
      <c r="AS15" s="284">
        <f>I15-AA15</f>
        <v>0</v>
      </c>
      <c r="AT15" s="284">
        <f t="shared" si="9"/>
        <v>5.0253214376572066E-4</v>
      </c>
      <c r="AU15" s="284">
        <f t="shared" si="3"/>
        <v>-1.3974302402873667E-6</v>
      </c>
      <c r="AV15" s="284">
        <f t="shared" si="3"/>
        <v>-7.7493606038004769E-3</v>
      </c>
      <c r="AW15" s="284">
        <f t="shared" si="3"/>
        <v>7.664517588016187E-3</v>
      </c>
      <c r="AX15" s="284">
        <f t="shared" si="3"/>
        <v>0</v>
      </c>
      <c r="AY15" s="284">
        <f t="shared" si="3"/>
        <v>-2.3014244803613686E-3</v>
      </c>
      <c r="AZ15" s="284">
        <f t="shared" si="3"/>
        <v>1.4625988558058828E-2</v>
      </c>
      <c r="BA15" s="284">
        <f t="shared" si="3"/>
        <v>-1.6225303694776053E-2</v>
      </c>
      <c r="BB15" s="284">
        <f t="shared" si="3"/>
        <v>2.1282510337647213E-5</v>
      </c>
      <c r="BC15" s="284">
        <f t="shared" si="3"/>
        <v>2.1077423367044518E-3</v>
      </c>
      <c r="BD15" s="284">
        <f t="shared" si="3"/>
        <v>-7.664517588016187E-3</v>
      </c>
      <c r="BE15" s="284">
        <f t="shared" si="3"/>
        <v>-1.8570124146067811E-2</v>
      </c>
      <c r="BF15" s="284">
        <f t="shared" si="3"/>
        <v>4.4576167623785849E-3</v>
      </c>
      <c r="BG15" s="284">
        <f t="shared" si="3"/>
        <v>0</v>
      </c>
      <c r="BH15" s="284">
        <f t="shared" si="3"/>
        <v>0</v>
      </c>
      <c r="BI15" s="284">
        <f t="shared" si="3"/>
        <v>0</v>
      </c>
      <c r="BJ15" s="279"/>
    </row>
    <row r="16" spans="1:79" s="285" customFormat="1" ht="52" outlineLevel="1">
      <c r="A16" s="275" t="s">
        <v>64</v>
      </c>
      <c r="B16" s="275" t="s">
        <v>22</v>
      </c>
      <c r="C16" s="276">
        <f>SUM(AT16:BA16)</f>
        <v>-2.3171331007776939E-2</v>
      </c>
      <c r="D16" s="277">
        <f>SUM(BB16:BI16)</f>
        <v>2.5181131534276896E-2</v>
      </c>
      <c r="E16" s="277">
        <f t="shared" si="8"/>
        <v>2.0098005264999573E-3</v>
      </c>
      <c r="F16" s="278"/>
      <c r="G16" s="275" t="s">
        <v>23</v>
      </c>
      <c r="H16" s="279"/>
      <c r="I16" s="280"/>
      <c r="J16" s="280">
        <f>SUMIFS('MoDi Initiatives'!H:H,'MoDi Initiatives'!$C:$C,'Gap Analysis update'!$B16,'MoDi Initiatives'!$A:$A,'Gap Analysis update'!$A16,'MoDi Initiatives'!$B:$B,'Gap Analysis update'!J$2)</f>
        <v>0</v>
      </c>
      <c r="K16" s="280">
        <f>SUMIFS('MoDi Initiatives'!I:I,'MoDi Initiatives'!$C:$C,'Gap Analysis update'!$B16,'MoDi Initiatives'!$A:$A,'Gap Analysis update'!$A16,'MoDi Initiatives'!$B:$B,'Gap Analysis update'!K$2)</f>
        <v>0</v>
      </c>
      <c r="L16" s="280">
        <f>SUMIFS('MoDi Initiatives'!J:J,'MoDi Initiatives'!$C:$C,'Gap Analysis update'!$B16,'MoDi Initiatives'!$A:$A,'Gap Analysis update'!$A16,'MoDi Initiatives'!$B:$B,'Gap Analysis update'!L$2)</f>
        <v>0</v>
      </c>
      <c r="M16" s="280">
        <f>SUMIFS('MoDi Initiatives'!K:K,'MoDi Initiatives'!$C:$C,'Gap Analysis update'!$B16,'MoDi Initiatives'!$A:$A,'Gap Analysis update'!$A16,'MoDi Initiatives'!$B:$B,'Gap Analysis update'!M$2)</f>
        <v>0</v>
      </c>
      <c r="N16" s="280">
        <f>SUMIFS('MoDi Initiatives'!L:L,'MoDi Initiatives'!$C:$C,'Gap Analysis update'!$B16,'MoDi Initiatives'!$A:$A,'Gap Analysis update'!$A16,'MoDi Initiatives'!$B:$B,'Gap Analysis update'!N$2)</f>
        <v>2.3171331007776939E-2</v>
      </c>
      <c r="O16" s="280">
        <f>SUMIFS('MoDi Initiatives'!M:M,'MoDi Initiatives'!$C:$C,'Gap Analysis update'!$B16,'MoDi Initiatives'!$A:$A,'Gap Analysis update'!$A16,'MoDi Initiatives'!$B:$B,'Gap Analysis update'!O$2)</f>
        <v>0</v>
      </c>
      <c r="P16" s="280">
        <f>SUMIFS('MoDi Initiatives'!N:N,'MoDi Initiatives'!$C:$C,'Gap Analysis update'!$B16,'MoDi Initiatives'!$A:$A,'Gap Analysis update'!$A16,'MoDi Initiatives'!$B:$B,'Gap Analysis update'!P$2)</f>
        <v>0</v>
      </c>
      <c r="Q16" s="280">
        <f>SUMIFS('MoDi Initiatives'!O:O,'MoDi Initiatives'!$C:$C,'Gap Analysis update'!$B16,'MoDi Initiatives'!$A:$A,'Gap Analysis update'!$A16,'MoDi Initiatives'!$B:$B,'Gap Analysis update'!Q$2)</f>
        <v>0</v>
      </c>
      <c r="R16" s="280">
        <f>SUMIFS('MoDi Initiatives'!P:P,'MoDi Initiatives'!$C:$C,'Gap Analysis update'!$B16,'MoDi Initiatives'!$A:$A,'Gap Analysis update'!$A16,'MoDi Initiatives'!$B:$B,'Gap Analysis update'!R$2)</f>
        <v>0</v>
      </c>
      <c r="S16" s="280">
        <f>SUMIFS('MoDi Initiatives'!Q:Q,'MoDi Initiatives'!$C:$C,'Gap Analysis update'!$B16,'MoDi Initiatives'!$A:$A,'Gap Analysis update'!$A16,'MoDi Initiatives'!$B:$B,'Gap Analysis update'!S$2)</f>
        <v>0</v>
      </c>
      <c r="T16" s="280">
        <f>SUMIFS('MoDi Initiatives'!R:R,'MoDi Initiatives'!$C:$C,'Gap Analysis update'!$B16,'MoDi Initiatives'!$A:$A,'Gap Analysis update'!$A16,'MoDi Initiatives'!$B:$B,'Gap Analysis update'!T$2)</f>
        <v>0</v>
      </c>
      <c r="U16" s="280">
        <f>SUMIFS('MoDi Initiatives'!S:S,'MoDi Initiatives'!$C:$C,'Gap Analysis update'!$B16,'MoDi Initiatives'!$A:$A,'Gap Analysis update'!$A16,'MoDi Initiatives'!$B:$B,'Gap Analysis update'!U$2)</f>
        <v>0</v>
      </c>
      <c r="V16" s="280">
        <f>SUMIFS('MoDi Initiatives'!T:T,'MoDi Initiatives'!$C:$C,'Gap Analysis update'!$B16,'MoDi Initiatives'!$A:$A,'Gap Analysis update'!$A16,'MoDi Initiatives'!$B:$B,'Gap Analysis update'!V$2)</f>
        <v>0</v>
      </c>
      <c r="W16" s="280">
        <f>SUMIFS('MoDi Initiatives'!U:U,'MoDi Initiatives'!$C:$C,'Gap Analysis update'!$B16,'MoDi Initiatives'!$A:$A,'Gap Analysis update'!$A16,'MoDi Initiatives'!$B:$B,'Gap Analysis update'!W$2)</f>
        <v>0</v>
      </c>
      <c r="X16" s="280">
        <f>SUMIFS('MoDi Initiatives'!V:V,'MoDi Initiatives'!$C:$C,'Gap Analysis update'!$B16,'MoDi Initiatives'!$A:$A,'Gap Analysis update'!$A16,'MoDi Initiatives'!$B:$B,'Gap Analysis update'!X$2)</f>
        <v>0</v>
      </c>
      <c r="Y16" s="280">
        <f>SUMIFS('MoDi Initiatives'!W:W,'MoDi Initiatives'!$C:$C,'Gap Analysis update'!$B16,'MoDi Initiatives'!$A:$A,'Gap Analysis update'!$A16,'MoDi Initiatives'!$B:$B,'Gap Analysis update'!Y$2)</f>
        <v>0</v>
      </c>
      <c r="Z16" s="279"/>
      <c r="AA16" s="280"/>
      <c r="AB16" s="280">
        <f>SUMIFS('MoDi Initiatives'!H:H,'MoDi Initiatives'!$C:$C,'Gap Analysis update'!$B16,'MoDi Initiatives'!$A:$A,'Gap Analysis update'!$A16,'MoDi Initiatives'!$B:$B,'Gap Analysis update'!AB$2)</f>
        <v>0</v>
      </c>
      <c r="AC16" s="280">
        <f>SUMIFS('MoDi Initiatives'!I:I,'MoDi Initiatives'!$C:$C,'Gap Analysis update'!$B16,'MoDi Initiatives'!$A:$A,'Gap Analysis update'!$A16,'MoDi Initiatives'!$B:$B,'Gap Analysis update'!AC$2)</f>
        <v>0</v>
      </c>
      <c r="AD16" s="280">
        <f>SUMIFS('MoDi Initiatives'!J:J,'MoDi Initiatives'!$C:$C,'Gap Analysis update'!$B16,'MoDi Initiatives'!$A:$A,'Gap Analysis update'!$A16,'MoDi Initiatives'!$B:$B,'Gap Analysis update'!AD$2)</f>
        <v>0</v>
      </c>
      <c r="AE16" s="280">
        <f>SUMIFS('MoDi Initiatives'!K:K,'MoDi Initiatives'!$C:$C,'Gap Analysis update'!$B16,'MoDi Initiatives'!$A:$A,'Gap Analysis update'!$A16,'MoDi Initiatives'!$B:$B,'Gap Analysis update'!AE$2)</f>
        <v>0</v>
      </c>
      <c r="AF16" s="280">
        <f>SUMIFS('MoDi Initiatives'!L:L,'MoDi Initiatives'!$C:$C,'Gap Analysis update'!$B16,'MoDi Initiatives'!$A:$A,'Gap Analysis update'!$A16,'MoDi Initiatives'!$B:$B,'Gap Analysis update'!AF$2)</f>
        <v>0</v>
      </c>
      <c r="AG16" s="280">
        <f>SUMIFS('MoDi Initiatives'!M:M,'MoDi Initiatives'!$C:$C,'Gap Analysis update'!$B16,'MoDi Initiatives'!$A:$A,'Gap Analysis update'!$A16,'MoDi Initiatives'!$B:$B,'Gap Analysis update'!AG$2)</f>
        <v>0</v>
      </c>
      <c r="AH16" s="280">
        <f>SUMIFS('MoDi Initiatives'!N:N,'MoDi Initiatives'!$C:$C,'Gap Analysis update'!$B16,'MoDi Initiatives'!$A:$A,'Gap Analysis update'!$A16,'MoDi Initiatives'!$B:$B,'Gap Analysis update'!AH$2)</f>
        <v>0</v>
      </c>
      <c r="AI16" s="280">
        <f>SUMIFS('MoDi Initiatives'!O:O,'MoDi Initiatives'!$C:$C,'Gap Analysis update'!$B16,'MoDi Initiatives'!$A:$A,'Gap Analysis update'!$A16,'MoDi Initiatives'!$B:$B,'Gap Analysis update'!AI$2)</f>
        <v>0</v>
      </c>
      <c r="AJ16" s="280">
        <f>SUMIFS('MoDi Initiatives'!P:P,'MoDi Initiatives'!$C:$C,'Gap Analysis update'!$B16,'MoDi Initiatives'!$A:$A,'Gap Analysis update'!$A16,'MoDi Initiatives'!$B:$B,'Gap Analysis update'!AJ$2)</f>
        <v>0</v>
      </c>
      <c r="AK16" s="280">
        <f>SUMIFS('MoDi Initiatives'!Q:Q,'MoDi Initiatives'!$C:$C,'Gap Analysis update'!$B16,'MoDi Initiatives'!$A:$A,'Gap Analysis update'!$A16,'MoDi Initiatives'!$B:$B,'Gap Analysis update'!AK$2)</f>
        <v>2.0370042210850203E-2</v>
      </c>
      <c r="AL16" s="280">
        <f>SUMIFS('MoDi Initiatives'!R:R,'MoDi Initiatives'!$C:$C,'Gap Analysis update'!$B16,'MoDi Initiatives'!$A:$A,'Gap Analysis update'!$A16,'MoDi Initiatives'!$B:$B,'Gap Analysis update'!AL$2)</f>
        <v>0</v>
      </c>
      <c r="AM16" s="280">
        <f>SUMIFS('MoDi Initiatives'!S:S,'MoDi Initiatives'!$C:$C,'Gap Analysis update'!$B16,'MoDi Initiatives'!$A:$A,'Gap Analysis update'!$A16,'MoDi Initiatives'!$B:$B,'Gap Analysis update'!AM$2)</f>
        <v>4.8110893234266918E-3</v>
      </c>
      <c r="AN16" s="280">
        <f>SUMIFS('MoDi Initiatives'!T:T,'MoDi Initiatives'!$C:$C,'Gap Analysis update'!$B16,'MoDi Initiatives'!$A:$A,'Gap Analysis update'!$A16,'MoDi Initiatives'!$B:$B,'Gap Analysis update'!AN$2)</f>
        <v>0</v>
      </c>
      <c r="AO16" s="280">
        <f>SUMIFS('MoDi Initiatives'!U:U,'MoDi Initiatives'!$C:$C,'Gap Analysis update'!$B16,'MoDi Initiatives'!$A:$A,'Gap Analysis update'!$A16,'MoDi Initiatives'!$B:$B,'Gap Analysis update'!AO$2)</f>
        <v>0</v>
      </c>
      <c r="AP16" s="280">
        <f>SUMIFS('MoDi Initiatives'!V:V,'MoDi Initiatives'!$C:$C,'Gap Analysis update'!$B16,'MoDi Initiatives'!$A:$A,'Gap Analysis update'!$A16,'MoDi Initiatives'!$B:$B,'Gap Analysis update'!AP$2)</f>
        <v>0</v>
      </c>
      <c r="AQ16" s="280">
        <f>SUMIFS('MoDi Initiatives'!W:W,'MoDi Initiatives'!$C:$C,'Gap Analysis update'!$B16,'MoDi Initiatives'!$A:$A,'Gap Analysis update'!$A16,'MoDi Initiatives'!$B:$B,'Gap Analysis update'!AQ$2)</f>
        <v>0</v>
      </c>
      <c r="AR16" s="283" t="e">
        <f>SUMIFS('[1]MoDi Initiatives'!W:W,'[1]MoDi Initiatives'!$B:$B,'Gap Analysis update'!AR$2,'[1]MoDi Initiatives'!$A:$A,'Gap Analysis update'!$A16,'[1]MoDi Initiatives'!$C:$C,"Inflation")</f>
        <v>#VALUE!</v>
      </c>
      <c r="AS16" s="284">
        <f>I16-AA16</f>
        <v>0</v>
      </c>
      <c r="AT16" s="284">
        <f t="shared" si="9"/>
        <v>0</v>
      </c>
      <c r="AU16" s="284">
        <f t="shared" si="3"/>
        <v>0</v>
      </c>
      <c r="AV16" s="284">
        <f t="shared" si="3"/>
        <v>0</v>
      </c>
      <c r="AW16" s="284">
        <f t="shared" si="3"/>
        <v>0</v>
      </c>
      <c r="AX16" s="284">
        <f t="shared" si="3"/>
        <v>-2.3171331007776939E-2</v>
      </c>
      <c r="AY16" s="284">
        <f t="shared" si="3"/>
        <v>0</v>
      </c>
      <c r="AZ16" s="284">
        <f t="shared" si="3"/>
        <v>0</v>
      </c>
      <c r="BA16" s="284">
        <f t="shared" si="3"/>
        <v>0</v>
      </c>
      <c r="BB16" s="284">
        <f t="shared" si="3"/>
        <v>0</v>
      </c>
      <c r="BC16" s="284">
        <f t="shared" si="3"/>
        <v>2.0370042210850203E-2</v>
      </c>
      <c r="BD16" s="284">
        <f t="shared" si="3"/>
        <v>0</v>
      </c>
      <c r="BE16" s="284">
        <f t="shared" si="3"/>
        <v>4.8110893234266918E-3</v>
      </c>
      <c r="BF16" s="284">
        <f t="shared" si="3"/>
        <v>0</v>
      </c>
      <c r="BG16" s="284">
        <f t="shared" si="3"/>
        <v>0</v>
      </c>
      <c r="BH16" s="284">
        <f t="shared" si="3"/>
        <v>0</v>
      </c>
      <c r="BI16" s="284">
        <f t="shared" si="3"/>
        <v>0</v>
      </c>
      <c r="BJ16" s="279"/>
    </row>
    <row r="17" spans="1:80" s="298" customFormat="1" ht="170.25" customHeight="1">
      <c r="A17" s="296" t="s">
        <v>64</v>
      </c>
      <c r="B17" s="287" t="s">
        <v>24</v>
      </c>
      <c r="C17" s="288">
        <f t="shared" ref="C17:C22" si="15">SUM(AS17:BA17)</f>
        <v>0</v>
      </c>
      <c r="D17" s="289">
        <f t="shared" ref="D17:D22" si="16">SUM(BB17:BI17)</f>
        <v>0</v>
      </c>
      <c r="E17" s="289">
        <f t="shared" si="8"/>
        <v>0</v>
      </c>
      <c r="F17" s="286" t="s">
        <v>65</v>
      </c>
      <c r="G17" s="286"/>
      <c r="H17" s="297"/>
      <c r="J17" s="288">
        <f>SUMIFS('MoDi Initiatives'!H:H,'MoDi Initiatives'!$E:$E,'Gap Analysis update'!$B17,'MoDi Initiatives'!$A:$A,'Gap Analysis update'!$A17,'MoDi Initiatives'!$B:$B,'Gap Analysis update'!J$2)-SUMIFS('MoDi Initiatives'!H:H,'MoDi Initiatives'!$E:$E,'Gap Analysis update'!$B17,'MoDi Initiatives'!$A:$A,'Gap Analysis update'!$A17,'MoDi Initiatives'!$C:$C,'Gap Analysis update'!$B$7,'MoDi Initiatives'!$B:$B,'Gap Analysis update'!J$2)</f>
        <v>0</v>
      </c>
      <c r="K17" s="288">
        <f>SUMIFS('MoDi Initiatives'!I:I,'MoDi Initiatives'!$E:$E,'Gap Analysis update'!$B17,'MoDi Initiatives'!$A:$A,'Gap Analysis update'!$A17,'MoDi Initiatives'!$B:$B,'Gap Analysis update'!K$2)-SUMIFS('MoDi Initiatives'!I:I,'MoDi Initiatives'!$E:$E,'Gap Analysis update'!$B17,'MoDi Initiatives'!$A:$A,'Gap Analysis update'!$A17,'MoDi Initiatives'!$C:$C,'Gap Analysis update'!$B$7,'MoDi Initiatives'!$B:$B,'Gap Analysis update'!K$2)</f>
        <v>0</v>
      </c>
      <c r="L17" s="288">
        <f>SUMIFS('MoDi Initiatives'!J:J,'MoDi Initiatives'!$E:$E,'Gap Analysis update'!$B17,'MoDi Initiatives'!$A:$A,'Gap Analysis update'!$A17,'MoDi Initiatives'!$B:$B,'Gap Analysis update'!L$2)-SUMIFS('MoDi Initiatives'!J:J,'MoDi Initiatives'!$E:$E,'Gap Analysis update'!$B17,'MoDi Initiatives'!$A:$A,'Gap Analysis update'!$A17,'MoDi Initiatives'!$C:$C,'Gap Analysis update'!$B$7,'MoDi Initiatives'!$B:$B,'Gap Analysis update'!L$2)</f>
        <v>0</v>
      </c>
      <c r="M17" s="288">
        <f>SUMIFS('MoDi Initiatives'!K:K,'MoDi Initiatives'!$E:$E,'Gap Analysis update'!$B17,'MoDi Initiatives'!$A:$A,'Gap Analysis update'!$A17,'MoDi Initiatives'!$B:$B,'Gap Analysis update'!M$2)-SUMIFS('MoDi Initiatives'!K:K,'MoDi Initiatives'!$E:$E,'Gap Analysis update'!$B17,'MoDi Initiatives'!$A:$A,'Gap Analysis update'!$A17,'MoDi Initiatives'!$C:$C,'Gap Analysis update'!$B$7,'MoDi Initiatives'!$B:$B,'Gap Analysis update'!M$2)</f>
        <v>0</v>
      </c>
      <c r="N17" s="288">
        <f>SUMIFS('MoDi Initiatives'!L:L,'MoDi Initiatives'!$E:$E,'Gap Analysis update'!$B17,'MoDi Initiatives'!$A:$A,'Gap Analysis update'!$A17,'MoDi Initiatives'!$B:$B,'Gap Analysis update'!N$2)-SUMIFS('MoDi Initiatives'!L:L,'MoDi Initiatives'!$E:$E,'Gap Analysis update'!$B17,'MoDi Initiatives'!$A:$A,'Gap Analysis update'!$A17,'MoDi Initiatives'!$C:$C,'Gap Analysis update'!$B$7,'MoDi Initiatives'!$B:$B,'Gap Analysis update'!N$2)</f>
        <v>0</v>
      </c>
      <c r="O17" s="288">
        <f>SUMIFS('MoDi Initiatives'!M:M,'MoDi Initiatives'!$E:$E,'Gap Analysis update'!$B17,'MoDi Initiatives'!$A:$A,'Gap Analysis update'!$A17,'MoDi Initiatives'!$B:$B,'Gap Analysis update'!O$2)-SUMIFS('MoDi Initiatives'!M:M,'MoDi Initiatives'!$E:$E,'Gap Analysis update'!$B17,'MoDi Initiatives'!$A:$A,'Gap Analysis update'!$A17,'MoDi Initiatives'!$C:$C,'Gap Analysis update'!$B$7,'MoDi Initiatives'!$B:$B,'Gap Analysis update'!O$2)</f>
        <v>0</v>
      </c>
      <c r="P17" s="288">
        <f>SUMIFS('MoDi Initiatives'!N:N,'MoDi Initiatives'!$E:$E,'Gap Analysis update'!$B17,'MoDi Initiatives'!$A:$A,'Gap Analysis update'!$A17,'MoDi Initiatives'!$B:$B,'Gap Analysis update'!P$2)-SUMIFS('MoDi Initiatives'!N:N,'MoDi Initiatives'!$E:$E,'Gap Analysis update'!$B17,'MoDi Initiatives'!$A:$A,'Gap Analysis update'!$A17,'MoDi Initiatives'!$C:$C,'Gap Analysis update'!$B$7,'MoDi Initiatives'!$B:$B,'Gap Analysis update'!P$2)</f>
        <v>0</v>
      </c>
      <c r="Q17" s="288">
        <f>SUMIFS('MoDi Initiatives'!O:O,'MoDi Initiatives'!$E:$E,'Gap Analysis update'!$B17,'MoDi Initiatives'!$A:$A,'Gap Analysis update'!$A17,'MoDi Initiatives'!$B:$B,'Gap Analysis update'!Q$2)-SUMIFS('MoDi Initiatives'!O:O,'MoDi Initiatives'!$E:$E,'Gap Analysis update'!$B17,'MoDi Initiatives'!$A:$A,'Gap Analysis update'!$A17,'MoDi Initiatives'!$C:$C,'Gap Analysis update'!$B$7,'MoDi Initiatives'!$B:$B,'Gap Analysis update'!Q$2)</f>
        <v>0</v>
      </c>
      <c r="R17" s="288">
        <f>SUMIFS('MoDi Initiatives'!P:P,'MoDi Initiatives'!$E:$E,'Gap Analysis update'!$B17,'MoDi Initiatives'!$A:$A,'Gap Analysis update'!$A17,'MoDi Initiatives'!$B:$B,'Gap Analysis update'!R$2)-SUMIFS('MoDi Initiatives'!P:P,'MoDi Initiatives'!$E:$E,'Gap Analysis update'!$B17,'MoDi Initiatives'!$A:$A,'Gap Analysis update'!$A17,'MoDi Initiatives'!$C:$C,'Gap Analysis update'!$B$7,'MoDi Initiatives'!$B:$B,'Gap Analysis update'!R$2)</f>
        <v>0</v>
      </c>
      <c r="S17" s="288">
        <f>SUMIFS('MoDi Initiatives'!Q:Q,'MoDi Initiatives'!$E:$E,'Gap Analysis update'!$B17,'MoDi Initiatives'!$A:$A,'Gap Analysis update'!$A17,'MoDi Initiatives'!$B:$B,'Gap Analysis update'!S$2)-SUMIFS('MoDi Initiatives'!Q:Q,'MoDi Initiatives'!$E:$E,'Gap Analysis update'!$B17,'MoDi Initiatives'!$A:$A,'Gap Analysis update'!$A17,'MoDi Initiatives'!$C:$C,'Gap Analysis update'!$B$7,'MoDi Initiatives'!$B:$B,'Gap Analysis update'!S$2)</f>
        <v>0</v>
      </c>
      <c r="T17" s="288">
        <f>SUMIFS('MoDi Initiatives'!R:R,'MoDi Initiatives'!$E:$E,'Gap Analysis update'!$B17,'MoDi Initiatives'!$A:$A,'Gap Analysis update'!$A17,'MoDi Initiatives'!$B:$B,'Gap Analysis update'!T$2)-SUMIFS('MoDi Initiatives'!R:R,'MoDi Initiatives'!$E:$E,'Gap Analysis update'!$B17,'MoDi Initiatives'!$A:$A,'Gap Analysis update'!$A17,'MoDi Initiatives'!$C:$C,'Gap Analysis update'!$B$7,'MoDi Initiatives'!$B:$B,'Gap Analysis update'!T$2)</f>
        <v>0</v>
      </c>
      <c r="U17" s="288">
        <f>SUMIFS('MoDi Initiatives'!S:S,'MoDi Initiatives'!$E:$E,'Gap Analysis update'!$B17,'MoDi Initiatives'!$A:$A,'Gap Analysis update'!$A17,'MoDi Initiatives'!$B:$B,'Gap Analysis update'!U$2)-SUMIFS('MoDi Initiatives'!S:S,'MoDi Initiatives'!$E:$E,'Gap Analysis update'!$B17,'MoDi Initiatives'!$A:$A,'Gap Analysis update'!$A17,'MoDi Initiatives'!$C:$C,'Gap Analysis update'!$B$7,'MoDi Initiatives'!$B:$B,'Gap Analysis update'!U$2)</f>
        <v>0</v>
      </c>
      <c r="V17" s="288">
        <f>SUMIFS('MoDi Initiatives'!T:T,'MoDi Initiatives'!$E:$E,'Gap Analysis update'!$B17,'MoDi Initiatives'!$A:$A,'Gap Analysis update'!$A17,'MoDi Initiatives'!$B:$B,'Gap Analysis update'!V$2)-SUMIFS('MoDi Initiatives'!T:T,'MoDi Initiatives'!$E:$E,'Gap Analysis update'!$B17,'MoDi Initiatives'!$A:$A,'Gap Analysis update'!$A17,'MoDi Initiatives'!$C:$C,'Gap Analysis update'!$B$7,'MoDi Initiatives'!$B:$B,'Gap Analysis update'!V$2)</f>
        <v>0</v>
      </c>
      <c r="W17" s="288">
        <f>SUMIFS('MoDi Initiatives'!U:U,'MoDi Initiatives'!$E:$E,'Gap Analysis update'!$B17,'MoDi Initiatives'!$A:$A,'Gap Analysis update'!$A17,'MoDi Initiatives'!$B:$B,'Gap Analysis update'!W$2)-SUMIFS('MoDi Initiatives'!U:U,'MoDi Initiatives'!$E:$E,'Gap Analysis update'!$B17,'MoDi Initiatives'!$A:$A,'Gap Analysis update'!$A17,'MoDi Initiatives'!$C:$C,'Gap Analysis update'!$B$7,'MoDi Initiatives'!$B:$B,'Gap Analysis update'!W$2)</f>
        <v>0</v>
      </c>
      <c r="X17" s="288">
        <f>SUMIFS('MoDi Initiatives'!V:V,'MoDi Initiatives'!$E:$E,'Gap Analysis update'!$B17,'MoDi Initiatives'!$A:$A,'Gap Analysis update'!$A17,'MoDi Initiatives'!$B:$B,'Gap Analysis update'!X$2)-SUMIFS('MoDi Initiatives'!V:V,'MoDi Initiatives'!$E:$E,'Gap Analysis update'!$B17,'MoDi Initiatives'!$A:$A,'Gap Analysis update'!$A17,'MoDi Initiatives'!$C:$C,'Gap Analysis update'!$B$7,'MoDi Initiatives'!$B:$B,'Gap Analysis update'!X$2)</f>
        <v>0</v>
      </c>
      <c r="Y17" s="288">
        <f>SUMIFS('MoDi Initiatives'!W:W,'MoDi Initiatives'!$E:$E,'Gap Analysis update'!$B17,'MoDi Initiatives'!$A:$A,'Gap Analysis update'!$A17,'MoDi Initiatives'!$B:$B,'Gap Analysis update'!Y$2)-SUMIFS('MoDi Initiatives'!W:W,'MoDi Initiatives'!$E:$E,'Gap Analysis update'!$B17,'MoDi Initiatives'!$A:$A,'Gap Analysis update'!$A17,'MoDi Initiatives'!$C:$C,'Gap Analysis update'!$B$7,'MoDi Initiatives'!$B:$B,'Gap Analysis update'!Y$2)</f>
        <v>0</v>
      </c>
      <c r="Z17" s="293"/>
      <c r="AB17" s="298">
        <f>SUMIFS('MoDi Initiatives'!H:H,'MoDi Initiatives'!$E:$E,'Gap Analysis update'!$B17,'MoDi Initiatives'!$A:$A,'Gap Analysis update'!$A17,'MoDi Initiatives'!$B:$B,'Gap Analysis update'!AB$2)-SUMIFS('MoDi Initiatives'!H:H,'MoDi Initiatives'!$E:$E,'Gap Analysis update'!$B17,'MoDi Initiatives'!$A:$A,'Gap Analysis update'!$A17,'MoDi Initiatives'!$B:$B,'Gap Analysis update'!AB$2,'MoDi Initiatives'!$C:$C,'Gap Analysis update'!$B$7)</f>
        <v>0</v>
      </c>
      <c r="AC17" s="288">
        <f>SUMIFS('MoDi Initiatives'!I:I,'MoDi Initiatives'!$E:$E,'Gap Analysis update'!$B17,'MoDi Initiatives'!$A:$A,'Gap Analysis update'!$A17,'MoDi Initiatives'!$B:$B,'Gap Analysis update'!AC$2)-SUMIFS('MoDi Initiatives'!I:I,'MoDi Initiatives'!$E:$E,'Gap Analysis update'!$B17,'MoDi Initiatives'!$A:$A,'Gap Analysis update'!$A17,'MoDi Initiatives'!$B:$B,'Gap Analysis update'!AC$2,'MoDi Initiatives'!$C:$C,'Gap Analysis update'!$B$7)</f>
        <v>0</v>
      </c>
      <c r="AD17" s="288">
        <f>SUMIFS('MoDi Initiatives'!J:J,'MoDi Initiatives'!$E:$E,'Gap Analysis update'!$B17,'MoDi Initiatives'!$A:$A,'Gap Analysis update'!$A17,'MoDi Initiatives'!$B:$B,'Gap Analysis update'!AD$2)-SUMIFS('MoDi Initiatives'!J:J,'MoDi Initiatives'!$E:$E,'Gap Analysis update'!$B17,'MoDi Initiatives'!$A:$A,'Gap Analysis update'!$A17,'MoDi Initiatives'!$B:$B,'Gap Analysis update'!AD$2,'MoDi Initiatives'!$C:$C,'Gap Analysis update'!$B$7)</f>
        <v>0</v>
      </c>
      <c r="AE17" s="298">
        <f>SUMIFS('MoDi Initiatives'!K:K,'MoDi Initiatives'!$E:$E,'Gap Analysis update'!$B17,'MoDi Initiatives'!$A:$A,'Gap Analysis update'!$A17,'MoDi Initiatives'!$B:$B,'Gap Analysis update'!AE$2)-SUMIFS('MoDi Initiatives'!K:K,'MoDi Initiatives'!$E:$E,'Gap Analysis update'!$B17,'MoDi Initiatives'!$A:$A,'Gap Analysis update'!$A17,'MoDi Initiatives'!$B:$B,'Gap Analysis update'!AE$2,'MoDi Initiatives'!$C:$C,'Gap Analysis update'!$B$7)</f>
        <v>0</v>
      </c>
      <c r="AF17" s="298">
        <f>SUMIFS('MoDi Initiatives'!L:L,'MoDi Initiatives'!$E:$E,'Gap Analysis update'!$B17,'MoDi Initiatives'!$A:$A,'Gap Analysis update'!$A17,'MoDi Initiatives'!$B:$B,'Gap Analysis update'!AF$2)-SUMIFS('MoDi Initiatives'!L:L,'MoDi Initiatives'!$E:$E,'Gap Analysis update'!$B17,'MoDi Initiatives'!$A:$A,'Gap Analysis update'!$A17,'MoDi Initiatives'!$B:$B,'Gap Analysis update'!AF$2,'MoDi Initiatives'!$C:$C,'Gap Analysis update'!$B$7)</f>
        <v>0</v>
      </c>
      <c r="AG17" s="298">
        <f>SUMIFS('MoDi Initiatives'!M:M,'MoDi Initiatives'!$E:$E,'Gap Analysis update'!$B17,'MoDi Initiatives'!$A:$A,'Gap Analysis update'!$A17,'MoDi Initiatives'!$B:$B,'Gap Analysis update'!AG$2)-SUMIFS('MoDi Initiatives'!M:M,'MoDi Initiatives'!$E:$E,'Gap Analysis update'!$B17,'MoDi Initiatives'!$A:$A,'Gap Analysis update'!$A17,'MoDi Initiatives'!$B:$B,'Gap Analysis update'!AG$2,'MoDi Initiatives'!$C:$C,'Gap Analysis update'!$B$7)</f>
        <v>0</v>
      </c>
      <c r="AH17" s="298">
        <f>SUMIFS('MoDi Initiatives'!N:N,'MoDi Initiatives'!$E:$E,'Gap Analysis update'!$B17,'MoDi Initiatives'!$A:$A,'Gap Analysis update'!$A17,'MoDi Initiatives'!$B:$B,'Gap Analysis update'!AH$2)-SUMIFS('MoDi Initiatives'!N:N,'MoDi Initiatives'!$E:$E,'Gap Analysis update'!$B17,'MoDi Initiatives'!$A:$A,'Gap Analysis update'!$A17,'MoDi Initiatives'!$B:$B,'Gap Analysis update'!AH$2,'MoDi Initiatives'!$C:$C,'Gap Analysis update'!$B$7)</f>
        <v>0</v>
      </c>
      <c r="AI17" s="298">
        <f>SUMIFS('MoDi Initiatives'!O:O,'MoDi Initiatives'!$E:$E,'Gap Analysis update'!$B17,'MoDi Initiatives'!$A:$A,'Gap Analysis update'!$A17,'MoDi Initiatives'!$B:$B,'Gap Analysis update'!AI$2)-SUMIFS('MoDi Initiatives'!O:O,'MoDi Initiatives'!$E:$E,'Gap Analysis update'!$B17,'MoDi Initiatives'!$A:$A,'Gap Analysis update'!$A17,'MoDi Initiatives'!$B:$B,'Gap Analysis update'!AI$2,'MoDi Initiatives'!$C:$C,'Gap Analysis update'!$B$7)</f>
        <v>0</v>
      </c>
      <c r="AJ17" s="288">
        <f>SUMIFS('MoDi Initiatives'!P:P,'MoDi Initiatives'!$E:$E,'Gap Analysis update'!$B17,'MoDi Initiatives'!$A:$A,'Gap Analysis update'!$A17,'MoDi Initiatives'!$B:$B,'Gap Analysis update'!AJ$2)-SUMIFS('MoDi Initiatives'!P:P,'MoDi Initiatives'!$E:$E,'Gap Analysis update'!$B17,'MoDi Initiatives'!$A:$A,'Gap Analysis update'!$A17,'MoDi Initiatives'!$B:$B,'Gap Analysis update'!AJ$2,'MoDi Initiatives'!$C:$C,'Gap Analysis update'!$B$7)</f>
        <v>0</v>
      </c>
      <c r="AK17" s="298">
        <f>SUMIFS('MoDi Initiatives'!Q:Q,'MoDi Initiatives'!$E:$E,'Gap Analysis update'!$B17,'MoDi Initiatives'!$A:$A,'Gap Analysis update'!$A17,'MoDi Initiatives'!$B:$B,'Gap Analysis update'!AK$2)-SUMIFS('MoDi Initiatives'!Q:Q,'MoDi Initiatives'!$E:$E,'Gap Analysis update'!$B17,'MoDi Initiatives'!$A:$A,'Gap Analysis update'!$A17,'MoDi Initiatives'!$B:$B,'Gap Analysis update'!AK$2,'MoDi Initiatives'!$C:$C,'Gap Analysis update'!$B$7)</f>
        <v>0</v>
      </c>
      <c r="AL17" s="298">
        <f>SUMIFS('MoDi Initiatives'!R:R,'MoDi Initiatives'!$E:$E,'Gap Analysis update'!$B17,'MoDi Initiatives'!$A:$A,'Gap Analysis update'!$A17,'MoDi Initiatives'!$B:$B,'Gap Analysis update'!AL$2)-SUMIFS('MoDi Initiatives'!R:R,'MoDi Initiatives'!$E:$E,'Gap Analysis update'!$B17,'MoDi Initiatives'!$A:$A,'Gap Analysis update'!$A17,'MoDi Initiatives'!$B:$B,'Gap Analysis update'!AL$2,'MoDi Initiatives'!$C:$C,'Gap Analysis update'!$B$7)</f>
        <v>0</v>
      </c>
      <c r="AM17" s="298">
        <f>SUMIFS('MoDi Initiatives'!S:S,'MoDi Initiatives'!$E:$E,'Gap Analysis update'!$B17,'MoDi Initiatives'!$A:$A,'Gap Analysis update'!$A17,'MoDi Initiatives'!$B:$B,'Gap Analysis update'!AM$2)-SUMIFS('MoDi Initiatives'!S:S,'MoDi Initiatives'!$E:$E,'Gap Analysis update'!$B17,'MoDi Initiatives'!$A:$A,'Gap Analysis update'!$A17,'MoDi Initiatives'!$B:$B,'Gap Analysis update'!AM$2,'MoDi Initiatives'!$C:$C,'Gap Analysis update'!$B$7)</f>
        <v>0</v>
      </c>
      <c r="AN17" s="298">
        <f>SUMIFS('MoDi Initiatives'!T:T,'MoDi Initiatives'!$E:$E,'Gap Analysis update'!$B17,'MoDi Initiatives'!$A:$A,'Gap Analysis update'!$A17,'MoDi Initiatives'!$B:$B,'Gap Analysis update'!AN$2)-SUMIFS('MoDi Initiatives'!T:T,'MoDi Initiatives'!$E:$E,'Gap Analysis update'!$B17,'MoDi Initiatives'!$A:$A,'Gap Analysis update'!$A17,'MoDi Initiatives'!$B:$B,'Gap Analysis update'!AN$2,'MoDi Initiatives'!$C:$C,'Gap Analysis update'!$B$7)</f>
        <v>0</v>
      </c>
      <c r="AO17" s="298">
        <f>SUMIFS('MoDi Initiatives'!U:U,'MoDi Initiatives'!$E:$E,'Gap Analysis update'!$B17,'MoDi Initiatives'!$A:$A,'Gap Analysis update'!$A17,'MoDi Initiatives'!$B:$B,'Gap Analysis update'!AO$2)-SUMIFS('MoDi Initiatives'!U:U,'MoDi Initiatives'!$E:$E,'Gap Analysis update'!$B17,'MoDi Initiatives'!$A:$A,'Gap Analysis update'!$A17,'MoDi Initiatives'!$B:$B,'Gap Analysis update'!AO$2,'MoDi Initiatives'!$C:$C,'Gap Analysis update'!$B$7)</f>
        <v>0</v>
      </c>
      <c r="AP17" s="298">
        <f>SUMIFS('MoDi Initiatives'!V:V,'MoDi Initiatives'!$E:$E,'Gap Analysis update'!$B17,'MoDi Initiatives'!$A:$A,'Gap Analysis update'!$A17,'MoDi Initiatives'!$B:$B,'Gap Analysis update'!AP$2)-SUMIFS('MoDi Initiatives'!V:V,'MoDi Initiatives'!$E:$E,'Gap Analysis update'!$B17,'MoDi Initiatives'!$A:$A,'Gap Analysis update'!$A17,'MoDi Initiatives'!$B:$B,'Gap Analysis update'!AP$2,'MoDi Initiatives'!$C:$C,'Gap Analysis update'!$B$7)</f>
        <v>0</v>
      </c>
      <c r="AQ17" s="298">
        <f>SUMIFS('MoDi Initiatives'!W:W,'MoDi Initiatives'!$E:$E,'Gap Analysis update'!$B17,'MoDi Initiatives'!$A:$A,'Gap Analysis update'!$A17,'MoDi Initiatives'!$B:$B,'Gap Analysis update'!AQ$2)-SUMIFS('MoDi Initiatives'!W:W,'MoDi Initiatives'!$E:$E,'Gap Analysis update'!$B17,'MoDi Initiatives'!$A:$A,'Gap Analysis update'!$A17,'MoDi Initiatives'!$B:$B,'Gap Analysis update'!AQ$2,'MoDi Initiatives'!$C:$C,'Gap Analysis update'!$B$7)</f>
        <v>0</v>
      </c>
      <c r="AR17" s="293"/>
      <c r="AT17" s="298">
        <f t="shared" si="9"/>
        <v>0</v>
      </c>
      <c r="AU17" s="299">
        <f t="shared" si="9"/>
        <v>0</v>
      </c>
      <c r="AV17" s="299">
        <f t="shared" si="9"/>
        <v>0</v>
      </c>
      <c r="AW17" s="298">
        <f t="shared" si="9"/>
        <v>0</v>
      </c>
      <c r="AX17" s="298">
        <f t="shared" si="9"/>
        <v>0</v>
      </c>
      <c r="AY17" s="298">
        <f t="shared" si="9"/>
        <v>0</v>
      </c>
      <c r="AZ17" s="298">
        <f t="shared" si="9"/>
        <v>0</v>
      </c>
      <c r="BA17" s="298">
        <f t="shared" si="9"/>
        <v>0</v>
      </c>
      <c r="BB17" s="298">
        <f t="shared" si="9"/>
        <v>0</v>
      </c>
      <c r="BC17" s="298">
        <f t="shared" si="9"/>
        <v>0</v>
      </c>
      <c r="BD17" s="298">
        <f t="shared" si="9"/>
        <v>0</v>
      </c>
      <c r="BE17" s="298">
        <f t="shared" si="9"/>
        <v>0</v>
      </c>
      <c r="BF17" s="298">
        <f t="shared" si="9"/>
        <v>0</v>
      </c>
      <c r="BG17" s="298">
        <f t="shared" si="9"/>
        <v>0</v>
      </c>
      <c r="BH17" s="298">
        <f t="shared" si="9"/>
        <v>0</v>
      </c>
      <c r="BI17" s="298">
        <f t="shared" si="9"/>
        <v>0</v>
      </c>
      <c r="BJ17" s="293"/>
      <c r="BK17" s="288"/>
      <c r="BL17" s="288" t="s">
        <v>66</v>
      </c>
      <c r="BM17" s="288" t="s">
        <v>67</v>
      </c>
      <c r="BN17" s="288" t="s">
        <v>67</v>
      </c>
      <c r="BO17" s="288"/>
      <c r="BP17" s="288" t="s">
        <v>22</v>
      </c>
      <c r="BQ17" s="288" t="s">
        <v>29</v>
      </c>
      <c r="BR17" s="288" t="s">
        <v>68</v>
      </c>
      <c r="BS17" s="288" t="s">
        <v>69</v>
      </c>
      <c r="BT17" s="288" t="s">
        <v>22</v>
      </c>
      <c r="BU17" s="288"/>
      <c r="BV17" s="288"/>
      <c r="BW17" s="288"/>
      <c r="BX17" s="288"/>
      <c r="BY17" s="288"/>
      <c r="BZ17" s="288"/>
      <c r="CA17" s="288"/>
      <c r="CB17" s="288"/>
    </row>
    <row r="18" spans="1:80" s="298" customFormat="1" ht="129.75" customHeight="1">
      <c r="A18" s="296" t="s">
        <v>64</v>
      </c>
      <c r="B18" s="287" t="s">
        <v>33</v>
      </c>
      <c r="C18" s="288">
        <f t="shared" si="15"/>
        <v>-8.1650492403571862E-4</v>
      </c>
      <c r="D18" s="289">
        <f t="shared" si="16"/>
        <v>-2.1777024971705413E-2</v>
      </c>
      <c r="E18" s="289">
        <f>D18+C18</f>
        <v>-2.2593529895741132E-2</v>
      </c>
      <c r="F18" s="286" t="s">
        <v>70</v>
      </c>
      <c r="G18" s="286" t="s">
        <v>35</v>
      </c>
      <c r="H18" s="297"/>
      <c r="J18" s="288">
        <f>SUMIFS('MoDi Initiatives'!H:H,'MoDi Initiatives'!$E:$E,'Gap Analysis update'!$B18,'MoDi Initiatives'!$A:$A,'Gap Analysis update'!$A18,'MoDi Initiatives'!$B:$B,'Gap Analysis update'!J$2)-SUMIFS('MoDi Initiatives'!H:H,'MoDi Initiatives'!$E:$E,'Gap Analysis update'!$B18,'MoDi Initiatives'!$A:$A,'Gap Analysis update'!$A18,'MoDi Initiatives'!$C:$C,'Gap Analysis update'!$B$7,'MoDi Initiatives'!$B:$B,'Gap Analysis update'!J$2)</f>
        <v>-8.1541770043510684E-3</v>
      </c>
      <c r="K18" s="288">
        <f>SUMIFS('MoDi Initiatives'!I:I,'MoDi Initiatives'!$E:$E,'Gap Analysis update'!$B18,'MoDi Initiatives'!$A:$A,'Gap Analysis update'!$A18,'MoDi Initiatives'!$B:$B,'Gap Analysis update'!K$2)-SUMIFS('MoDi Initiatives'!I:I,'MoDi Initiatives'!$E:$E,'Gap Analysis update'!$B18,'MoDi Initiatives'!$A:$A,'Gap Analysis update'!$A18,'MoDi Initiatives'!$C:$C,'Gap Analysis update'!$B$7,'MoDi Initiatives'!$B:$B,'Gap Analysis update'!K$2)</f>
        <v>0</v>
      </c>
      <c r="L18" s="288">
        <f>SUMIFS('MoDi Initiatives'!J:J,'MoDi Initiatives'!$E:$E,'Gap Analysis update'!$B18,'MoDi Initiatives'!$A:$A,'Gap Analysis update'!$A18,'MoDi Initiatives'!$B:$B,'Gap Analysis update'!L$2)-SUMIFS('MoDi Initiatives'!J:J,'MoDi Initiatives'!$E:$E,'Gap Analysis update'!$B18,'MoDi Initiatives'!$A:$A,'Gap Analysis update'!$A18,'MoDi Initiatives'!$C:$C,'Gap Analysis update'!$B$7,'MoDi Initiatives'!$B:$B,'Gap Analysis update'!L$2)</f>
        <v>0</v>
      </c>
      <c r="M18" s="288">
        <f>SUMIFS('MoDi Initiatives'!K:K,'MoDi Initiatives'!$E:$E,'Gap Analysis update'!$B18,'MoDi Initiatives'!$A:$A,'Gap Analysis update'!$A18,'MoDi Initiatives'!$B:$B,'Gap Analysis update'!M$2)-SUMIFS('MoDi Initiatives'!K:K,'MoDi Initiatives'!$E:$E,'Gap Analysis update'!$B18,'MoDi Initiatives'!$A:$A,'Gap Analysis update'!$A18,'MoDi Initiatives'!$C:$C,'Gap Analysis update'!$B$7,'MoDi Initiatives'!$B:$B,'Gap Analysis update'!M$2)</f>
        <v>0</v>
      </c>
      <c r="N18" s="288">
        <f>SUMIFS('MoDi Initiatives'!L:L,'MoDi Initiatives'!$E:$E,'Gap Analysis update'!$B18,'MoDi Initiatives'!$A:$A,'Gap Analysis update'!$A18,'MoDi Initiatives'!$B:$B,'Gap Analysis update'!N$2)-SUMIFS('MoDi Initiatives'!L:L,'MoDi Initiatives'!$E:$E,'Gap Analysis update'!$B18,'MoDi Initiatives'!$A:$A,'Gap Analysis update'!$A18,'MoDi Initiatives'!$C:$C,'Gap Analysis update'!$B$7,'MoDi Initiatives'!$B:$B,'Gap Analysis update'!N$2)</f>
        <v>0</v>
      </c>
      <c r="O18" s="288">
        <f>SUMIFS('MoDi Initiatives'!M:M,'MoDi Initiatives'!$E:$E,'Gap Analysis update'!$B18,'MoDi Initiatives'!$A:$A,'Gap Analysis update'!$A18,'MoDi Initiatives'!$B:$B,'Gap Analysis update'!O$2)-SUMIFS('MoDi Initiatives'!M:M,'MoDi Initiatives'!$E:$E,'Gap Analysis update'!$B18,'MoDi Initiatives'!$A:$A,'Gap Analysis update'!$A18,'MoDi Initiatives'!$C:$C,'Gap Analysis update'!$B$7,'MoDi Initiatives'!$B:$B,'Gap Analysis update'!O$2)</f>
        <v>0</v>
      </c>
      <c r="P18" s="288">
        <f>SUMIFS('MoDi Initiatives'!N:N,'MoDi Initiatives'!$E:$E,'Gap Analysis update'!$B18,'MoDi Initiatives'!$A:$A,'Gap Analysis update'!$A18,'MoDi Initiatives'!$B:$B,'Gap Analysis update'!P$2)-SUMIFS('MoDi Initiatives'!N:N,'MoDi Initiatives'!$E:$E,'Gap Analysis update'!$B18,'MoDi Initiatives'!$A:$A,'Gap Analysis update'!$A18,'MoDi Initiatives'!$C:$C,'Gap Analysis update'!$B$7,'MoDi Initiatives'!$B:$B,'Gap Analysis update'!P$2)</f>
        <v>-2.7777475771222061E-2</v>
      </c>
      <c r="Q18" s="288">
        <f>SUMIFS('MoDi Initiatives'!O:O,'MoDi Initiatives'!$E:$E,'Gap Analysis update'!$B18,'MoDi Initiatives'!$A:$A,'Gap Analysis update'!$A18,'MoDi Initiatives'!$B:$B,'Gap Analysis update'!Q$2)-SUMIFS('MoDi Initiatives'!O:O,'MoDi Initiatives'!$E:$E,'Gap Analysis update'!$B18,'MoDi Initiatives'!$A:$A,'Gap Analysis update'!$A18,'MoDi Initiatives'!$C:$C,'Gap Analysis update'!$B$7,'MoDi Initiatives'!$B:$B,'Gap Analysis update'!Q$2)</f>
        <v>0</v>
      </c>
      <c r="R18" s="288">
        <f>SUMIFS('MoDi Initiatives'!P:P,'MoDi Initiatives'!$E:$E,'Gap Analysis update'!$B18,'MoDi Initiatives'!$A:$A,'Gap Analysis update'!$A18,'MoDi Initiatives'!$B:$B,'Gap Analysis update'!R$2)-SUMIFS('MoDi Initiatives'!P:P,'MoDi Initiatives'!$E:$E,'Gap Analysis update'!$B18,'MoDi Initiatives'!$A:$A,'Gap Analysis update'!$A18,'MoDi Initiatives'!$C:$C,'Gap Analysis update'!$B$7,'MoDi Initiatives'!$B:$B,'Gap Analysis update'!R$2)</f>
        <v>0</v>
      </c>
      <c r="S18" s="288">
        <f>SUMIFS('MoDi Initiatives'!Q:Q,'MoDi Initiatives'!$E:$E,'Gap Analysis update'!$B18,'MoDi Initiatives'!$A:$A,'Gap Analysis update'!$A18,'MoDi Initiatives'!$B:$B,'Gap Analysis update'!S$2)-SUMIFS('MoDi Initiatives'!Q:Q,'MoDi Initiatives'!$E:$E,'Gap Analysis update'!$B18,'MoDi Initiatives'!$A:$A,'Gap Analysis update'!$A18,'MoDi Initiatives'!$C:$C,'Gap Analysis update'!$B$7,'MoDi Initiatives'!$B:$B,'Gap Analysis update'!S$2)</f>
        <v>0</v>
      </c>
      <c r="T18" s="288">
        <f>SUMIFS('MoDi Initiatives'!R:R,'MoDi Initiatives'!$E:$E,'Gap Analysis update'!$B18,'MoDi Initiatives'!$A:$A,'Gap Analysis update'!$A18,'MoDi Initiatives'!$B:$B,'Gap Analysis update'!T$2)-SUMIFS('MoDi Initiatives'!R:R,'MoDi Initiatives'!$E:$E,'Gap Analysis update'!$B18,'MoDi Initiatives'!$A:$A,'Gap Analysis update'!$A18,'MoDi Initiatives'!$C:$C,'Gap Analysis update'!$B$7,'MoDi Initiatives'!$B:$B,'Gap Analysis update'!T$2)</f>
        <v>0</v>
      </c>
      <c r="U18" s="288">
        <f>SUMIFS('MoDi Initiatives'!S:S,'MoDi Initiatives'!$E:$E,'Gap Analysis update'!$B18,'MoDi Initiatives'!$A:$A,'Gap Analysis update'!$A18,'MoDi Initiatives'!$B:$B,'Gap Analysis update'!U$2)-SUMIFS('MoDi Initiatives'!S:S,'MoDi Initiatives'!$E:$E,'Gap Analysis update'!$B18,'MoDi Initiatives'!$A:$A,'Gap Analysis update'!$A18,'MoDi Initiatives'!$C:$C,'Gap Analysis update'!$B$7,'MoDi Initiatives'!$B:$B,'Gap Analysis update'!U$2)</f>
        <v>0</v>
      </c>
      <c r="V18" s="288">
        <f>SUMIFS('MoDi Initiatives'!T:T,'MoDi Initiatives'!$E:$E,'Gap Analysis update'!$B18,'MoDi Initiatives'!$A:$A,'Gap Analysis update'!$A18,'MoDi Initiatives'!$B:$B,'Gap Analysis update'!V$2)-SUMIFS('MoDi Initiatives'!T:T,'MoDi Initiatives'!$E:$E,'Gap Analysis update'!$B18,'MoDi Initiatives'!$A:$A,'Gap Analysis update'!$A18,'MoDi Initiatives'!$C:$C,'Gap Analysis update'!$B$7,'MoDi Initiatives'!$B:$B,'Gap Analysis update'!V$2)</f>
        <v>-6.8495086836548981E-3</v>
      </c>
      <c r="W18" s="288">
        <f>SUMIFS('MoDi Initiatives'!U:U,'MoDi Initiatives'!$E:$E,'Gap Analysis update'!$B18,'MoDi Initiatives'!$A:$A,'Gap Analysis update'!$A18,'MoDi Initiatives'!$B:$B,'Gap Analysis update'!W$2)-SUMIFS('MoDi Initiatives'!U:U,'MoDi Initiatives'!$E:$E,'Gap Analysis update'!$B18,'MoDi Initiatives'!$A:$A,'Gap Analysis update'!$A18,'MoDi Initiatives'!$C:$C,'Gap Analysis update'!$B$7,'MoDi Initiatives'!$B:$B,'Gap Analysis update'!W$2)</f>
        <v>0</v>
      </c>
      <c r="X18" s="288">
        <f>SUMIFS('MoDi Initiatives'!V:V,'MoDi Initiatives'!$E:$E,'Gap Analysis update'!$B18,'MoDi Initiatives'!$A:$A,'Gap Analysis update'!$A18,'MoDi Initiatives'!$B:$B,'Gap Analysis update'!X$2)-SUMIFS('MoDi Initiatives'!V:V,'MoDi Initiatives'!$E:$E,'Gap Analysis update'!$B18,'MoDi Initiatives'!$A:$A,'Gap Analysis update'!$A18,'MoDi Initiatives'!$C:$C,'Gap Analysis update'!$B$7,'MoDi Initiatives'!$B:$B,'Gap Analysis update'!X$2)</f>
        <v>0</v>
      </c>
      <c r="Y18" s="288">
        <f>SUMIFS('MoDi Initiatives'!W:W,'MoDi Initiatives'!$E:$E,'Gap Analysis update'!$B18,'MoDi Initiatives'!$A:$A,'Gap Analysis update'!$A18,'MoDi Initiatives'!$B:$B,'Gap Analysis update'!Y$2)-SUMIFS('MoDi Initiatives'!W:W,'MoDi Initiatives'!$E:$E,'Gap Analysis update'!$B18,'MoDi Initiatives'!$A:$A,'Gap Analysis update'!$A18,'MoDi Initiatives'!$C:$C,'Gap Analysis update'!$B$7,'MoDi Initiatives'!$B:$B,'Gap Analysis update'!Y$2)</f>
        <v>0</v>
      </c>
      <c r="Z18" s="293"/>
      <c r="AB18" s="298">
        <f>SUMIFS('MoDi Initiatives'!H:H,'MoDi Initiatives'!$E:$E,'Gap Analysis update'!$B18,'MoDi Initiatives'!$A:$A,'Gap Analysis update'!$A18,'MoDi Initiatives'!$B:$B,'Gap Analysis update'!AB$2)-SUMIFS('MoDi Initiatives'!H:H,'MoDi Initiatives'!$E:$E,'Gap Analysis update'!$B18,'MoDi Initiatives'!$A:$A,'Gap Analysis update'!$A18,'MoDi Initiatives'!$B:$B,'Gap Analysis update'!AB$2,'MoDi Initiatives'!$C:$C,'Gap Analysis update'!$B$7)</f>
        <v>-7.6105652040610273E-3</v>
      </c>
      <c r="AC18" s="298">
        <f>SUMIFS('MoDi Initiatives'!I:I,'MoDi Initiatives'!$E:$E,'Gap Analysis update'!$B18,'MoDi Initiatives'!$A:$A,'Gap Analysis update'!$A18,'MoDi Initiatives'!$B:$B,'Gap Analysis update'!AC$2)-SUMIFS('MoDi Initiatives'!I:I,'MoDi Initiatives'!$E:$E,'Gap Analysis update'!$B18,'MoDi Initiatives'!$A:$A,'Gap Analysis update'!$A18,'MoDi Initiatives'!$B:$B,'Gap Analysis update'!AC$2,'MoDi Initiatives'!$C:$C,'Gap Analysis update'!$B$7)</f>
        <v>0</v>
      </c>
      <c r="AD18" s="298">
        <f>SUMIFS('MoDi Initiatives'!J:J,'MoDi Initiatives'!$E:$E,'Gap Analysis update'!$B18,'MoDi Initiatives'!$A:$A,'Gap Analysis update'!$A18,'MoDi Initiatives'!$B:$B,'Gap Analysis update'!AD$2)-SUMIFS('MoDi Initiatives'!J:J,'MoDi Initiatives'!$E:$E,'Gap Analysis update'!$B18,'MoDi Initiatives'!$A:$A,'Gap Analysis update'!$A18,'MoDi Initiatives'!$B:$B,'Gap Analysis update'!AD$2,'MoDi Initiatives'!$C:$C,'Gap Analysis update'!$B$7)</f>
        <v>0</v>
      </c>
      <c r="AE18" s="298">
        <f>SUMIFS('MoDi Initiatives'!K:K,'MoDi Initiatives'!$E:$E,'Gap Analysis update'!$B18,'MoDi Initiatives'!$A:$A,'Gap Analysis update'!$A18,'MoDi Initiatives'!$B:$B,'Gap Analysis update'!AE$2)-SUMIFS('MoDi Initiatives'!K:K,'MoDi Initiatives'!$E:$E,'Gap Analysis update'!$B18,'MoDi Initiatives'!$A:$A,'Gap Analysis update'!$A18,'MoDi Initiatives'!$B:$B,'Gap Analysis update'!AE$2,'MoDi Initiatives'!$C:$C,'Gap Analysis update'!$B$7)</f>
        <v>0</v>
      </c>
      <c r="AF18" s="298">
        <f>SUMIFS('MoDi Initiatives'!L:L,'MoDi Initiatives'!$E:$E,'Gap Analysis update'!$B18,'MoDi Initiatives'!$A:$A,'Gap Analysis update'!$A18,'MoDi Initiatives'!$B:$B,'Gap Analysis update'!AF$2)-SUMIFS('MoDi Initiatives'!L:L,'MoDi Initiatives'!$E:$E,'Gap Analysis update'!$B18,'MoDi Initiatives'!$A:$A,'Gap Analysis update'!$A18,'MoDi Initiatives'!$B:$B,'Gap Analysis update'!AF$2,'MoDi Initiatives'!$C:$C,'Gap Analysis update'!$B$7)</f>
        <v>0</v>
      </c>
      <c r="AG18" s="298">
        <f>SUMIFS('MoDi Initiatives'!M:M,'MoDi Initiatives'!$E:$E,'Gap Analysis update'!$B18,'MoDi Initiatives'!$A:$A,'Gap Analysis update'!$A18,'MoDi Initiatives'!$B:$B,'Gap Analysis update'!AG$2)-SUMIFS('MoDi Initiatives'!M:M,'MoDi Initiatives'!$E:$E,'Gap Analysis update'!$B18,'MoDi Initiatives'!$A:$A,'Gap Analysis update'!$A18,'MoDi Initiatives'!$B:$B,'Gap Analysis update'!AG$2,'MoDi Initiatives'!$C:$C,'Gap Analysis update'!$B$7)</f>
        <v>0</v>
      </c>
      <c r="AH18" s="298">
        <f>SUMIFS('MoDi Initiatives'!N:N,'MoDi Initiatives'!$E:$E,'Gap Analysis update'!$B18,'MoDi Initiatives'!$A:$A,'Gap Analysis update'!$A18,'MoDi Initiatives'!$B:$B,'Gap Analysis update'!AH$2)-SUMIFS('MoDi Initiatives'!N:N,'MoDi Initiatives'!$E:$E,'Gap Analysis update'!$B18,'MoDi Initiatives'!$A:$A,'Gap Analysis update'!$A18,'MoDi Initiatives'!$B:$B,'Gap Analysis update'!AH$2,'MoDi Initiatives'!$C:$C,'Gap Analysis update'!$B$7)</f>
        <v>-1.304668320696171E-2</v>
      </c>
      <c r="AI18" s="298">
        <f>SUMIFS('MoDi Initiatives'!O:O,'MoDi Initiatives'!$E:$E,'Gap Analysis update'!$B18,'MoDi Initiatives'!$A:$A,'Gap Analysis update'!$A18,'MoDi Initiatives'!$B:$B,'Gap Analysis update'!AI$2)-SUMIFS('MoDi Initiatives'!O:O,'MoDi Initiatives'!$E:$E,'Gap Analysis update'!$B18,'MoDi Initiatives'!$A:$A,'Gap Analysis update'!$A18,'MoDi Initiatives'!$B:$B,'Gap Analysis update'!AI$2,'MoDi Initiatives'!$C:$C,'Gap Analysis update'!$B$7)</f>
        <v>-1.609090928858611E-2</v>
      </c>
      <c r="AJ18" s="298">
        <f>SUMIFS('MoDi Initiatives'!P:P,'MoDi Initiatives'!$E:$E,'Gap Analysis update'!$B18,'MoDi Initiatives'!$A:$A,'Gap Analysis update'!$A18,'MoDi Initiatives'!$B:$B,'Gap Analysis update'!AJ$2)-SUMIFS('MoDi Initiatives'!P:P,'MoDi Initiatives'!$E:$E,'Gap Analysis update'!$B18,'MoDi Initiatives'!$A:$A,'Gap Analysis update'!$A18,'MoDi Initiatives'!$B:$B,'Gap Analysis update'!AJ$2,'MoDi Initiatives'!$C:$C,'Gap Analysis update'!$B$7)</f>
        <v>0</v>
      </c>
      <c r="AK18" s="298">
        <f>SUMIFS('MoDi Initiatives'!Q:Q,'MoDi Initiatives'!$E:$E,'Gap Analysis update'!$B18,'MoDi Initiatives'!$A:$A,'Gap Analysis update'!$A18,'MoDi Initiatives'!$B:$B,'Gap Analysis update'!AK$2)-SUMIFS('MoDi Initiatives'!Q:Q,'MoDi Initiatives'!$E:$E,'Gap Analysis update'!$B18,'MoDi Initiatives'!$A:$A,'Gap Analysis update'!$A18,'MoDi Initiatives'!$B:$B,'Gap Analysis update'!AK$2,'MoDi Initiatives'!$C:$C,'Gap Analysis update'!$B$7)</f>
        <v>0</v>
      </c>
      <c r="AL18" s="298">
        <f>SUMIFS('MoDi Initiatives'!R:R,'MoDi Initiatives'!$E:$E,'Gap Analysis update'!$B18,'MoDi Initiatives'!$A:$A,'Gap Analysis update'!$A18,'MoDi Initiatives'!$B:$B,'Gap Analysis update'!AL$2)-SUMIFS('MoDi Initiatives'!R:R,'MoDi Initiatives'!$E:$E,'Gap Analysis update'!$B18,'MoDi Initiatives'!$A:$A,'Gap Analysis update'!$A18,'MoDi Initiatives'!$B:$B,'Gap Analysis update'!AL$2,'MoDi Initiatives'!$C:$C,'Gap Analysis update'!$B$7)</f>
        <v>0</v>
      </c>
      <c r="AM18" s="298">
        <f>SUMIFS('MoDi Initiatives'!S:S,'MoDi Initiatives'!$E:$E,'Gap Analysis update'!$B18,'MoDi Initiatives'!$A:$A,'Gap Analysis update'!$A18,'MoDi Initiatives'!$B:$B,'Gap Analysis update'!AM$2)-SUMIFS('MoDi Initiatives'!S:S,'MoDi Initiatives'!$E:$E,'Gap Analysis update'!$B18,'MoDi Initiatives'!$A:$A,'Gap Analysis update'!$A18,'MoDi Initiatives'!$B:$B,'Gap Analysis update'!AM$2,'MoDi Initiatives'!$C:$C,'Gap Analysis update'!$B$7)</f>
        <v>-2.6234641734083998E-2</v>
      </c>
      <c r="AN18" s="298">
        <f>SUMIFS('MoDi Initiatives'!T:T,'MoDi Initiatives'!$E:$E,'Gap Analysis update'!$B18,'MoDi Initiatives'!$A:$A,'Gap Analysis update'!$A18,'MoDi Initiatives'!$B:$B,'Gap Analysis update'!AN$2)-SUMIFS('MoDi Initiatives'!T:T,'MoDi Initiatives'!$E:$E,'Gap Analysis update'!$B18,'MoDi Initiatives'!$A:$A,'Gap Analysis update'!$A18,'MoDi Initiatives'!$B:$B,'Gap Analysis update'!AN$2,'MoDi Initiatives'!$C:$C,'Gap Analysis update'!$B$7)</f>
        <v>-2.3918919212763136E-3</v>
      </c>
      <c r="AO18" s="298">
        <f>SUMIFS('MoDi Initiatives'!U:U,'MoDi Initiatives'!$E:$E,'Gap Analysis update'!$B18,'MoDi Initiatives'!$A:$A,'Gap Analysis update'!$A18,'MoDi Initiatives'!$B:$B,'Gap Analysis update'!AO$2)-SUMIFS('MoDi Initiatives'!U:U,'MoDi Initiatives'!$E:$E,'Gap Analysis update'!$B18,'MoDi Initiatives'!$A:$A,'Gap Analysis update'!$A18,'MoDi Initiatives'!$B:$B,'Gap Analysis update'!AO$2,'MoDi Initiatives'!$C:$C,'Gap Analysis update'!$B$7)</f>
        <v>0</v>
      </c>
      <c r="AP18" s="298">
        <f>SUMIFS('MoDi Initiatives'!V:V,'MoDi Initiatives'!$E:$E,'Gap Analysis update'!$B18,'MoDi Initiatives'!$A:$A,'Gap Analysis update'!$A18,'MoDi Initiatives'!$B:$B,'Gap Analysis update'!AP$2)-SUMIFS('MoDi Initiatives'!V:V,'MoDi Initiatives'!$E:$E,'Gap Analysis update'!$B18,'MoDi Initiatives'!$A:$A,'Gap Analysis update'!$A18,'MoDi Initiatives'!$B:$B,'Gap Analysis update'!AP$2,'MoDi Initiatives'!$C:$C,'Gap Analysis update'!$B$7)</f>
        <v>0</v>
      </c>
      <c r="AQ18" s="298">
        <f>SUMIFS('MoDi Initiatives'!W:W,'MoDi Initiatives'!$E:$E,'Gap Analysis update'!$B18,'MoDi Initiatives'!$A:$A,'Gap Analysis update'!$A18,'MoDi Initiatives'!$B:$B,'Gap Analysis update'!AQ$2)-SUMIFS('MoDi Initiatives'!W:W,'MoDi Initiatives'!$E:$E,'Gap Analysis update'!$B18,'MoDi Initiatives'!$A:$A,'Gap Analysis update'!$A18,'MoDi Initiatives'!$B:$B,'Gap Analysis update'!AQ$2,'MoDi Initiatives'!$C:$C,'Gap Analysis update'!$B$7)</f>
        <v>0</v>
      </c>
      <c r="AR18" s="293"/>
      <c r="AT18" s="298">
        <f t="shared" si="9"/>
        <v>5.436118002900411E-4</v>
      </c>
      <c r="AU18" s="298">
        <f t="shared" si="9"/>
        <v>0</v>
      </c>
      <c r="AV18" s="298">
        <f t="shared" si="9"/>
        <v>0</v>
      </c>
      <c r="AW18" s="298">
        <f t="shared" si="9"/>
        <v>0</v>
      </c>
      <c r="AX18" s="298">
        <f t="shared" si="9"/>
        <v>0</v>
      </c>
      <c r="AY18" s="298">
        <f t="shared" si="9"/>
        <v>0</v>
      </c>
      <c r="AZ18" s="298">
        <f t="shared" si="9"/>
        <v>1.4730792564260351E-2</v>
      </c>
      <c r="BA18" s="298">
        <f t="shared" si="9"/>
        <v>-1.609090928858611E-2</v>
      </c>
      <c r="BB18" s="292">
        <f t="shared" si="9"/>
        <v>0</v>
      </c>
      <c r="BC18" s="298">
        <f t="shared" si="9"/>
        <v>0</v>
      </c>
      <c r="BD18" s="298">
        <f t="shared" si="9"/>
        <v>0</v>
      </c>
      <c r="BE18" s="298">
        <f t="shared" si="9"/>
        <v>-2.6234641734083998E-2</v>
      </c>
      <c r="BF18" s="298">
        <f t="shared" si="9"/>
        <v>4.4576167623785849E-3</v>
      </c>
      <c r="BG18" s="298">
        <f t="shared" si="9"/>
        <v>0</v>
      </c>
      <c r="BH18" s="298">
        <f t="shared" si="9"/>
        <v>0</v>
      </c>
      <c r="BI18" s="298">
        <f t="shared" si="9"/>
        <v>0</v>
      </c>
      <c r="BJ18" s="293"/>
      <c r="BK18" s="288"/>
      <c r="BL18" s="288" t="s">
        <v>71</v>
      </c>
      <c r="BM18" s="288"/>
      <c r="BN18" s="288"/>
      <c r="BO18" s="288"/>
      <c r="BP18" s="288" t="s">
        <v>22</v>
      </c>
      <c r="BQ18" s="288"/>
      <c r="BR18" s="288" t="s">
        <v>72</v>
      </c>
      <c r="BS18" s="288" t="s">
        <v>40</v>
      </c>
      <c r="BT18" s="288" t="s">
        <v>22</v>
      </c>
      <c r="BU18" s="288"/>
      <c r="BV18" s="288"/>
      <c r="BW18" s="288"/>
      <c r="BX18" s="288" t="s">
        <v>42</v>
      </c>
      <c r="BY18" s="288"/>
      <c r="BZ18" s="288"/>
      <c r="CA18" s="288"/>
      <c r="CB18" s="288"/>
    </row>
    <row r="19" spans="1:80" s="298" customFormat="1" ht="93.75" customHeight="1">
      <c r="A19" s="296" t="s">
        <v>64</v>
      </c>
      <c r="B19" s="287" t="s">
        <v>43</v>
      </c>
      <c r="C19" s="288">
        <f t="shared" si="15"/>
        <v>-2.2831592067078252E-3</v>
      </c>
      <c r="D19" s="289">
        <f t="shared" si="16"/>
        <v>2.1077423367044518E-3</v>
      </c>
      <c r="E19" s="289">
        <f t="shared" si="8"/>
        <v>-1.7541687000337345E-4</v>
      </c>
      <c r="F19" s="286" t="s">
        <v>73</v>
      </c>
      <c r="G19" s="286" t="s">
        <v>74</v>
      </c>
      <c r="H19" s="297"/>
      <c r="J19" s="288">
        <f>SUMIFS('MoDi Initiatives'!H:H,'MoDi Initiatives'!$E:$E,'Gap Analysis update'!$B19,'MoDi Initiatives'!$A:$A,'Gap Analysis update'!$A19,'MoDi Initiatives'!$B:$B,'Gap Analysis update'!J$2)-SUMIFS('MoDi Initiatives'!H:H,'MoDi Initiatives'!$E:$E,'Gap Analysis update'!$B19,'MoDi Initiatives'!$A:$A,'Gap Analysis update'!$A19,'MoDi Initiatives'!$C:$C,'Gap Analysis update'!$B$7,'MoDi Initiatives'!$B:$B,'Gap Analysis update'!J$2)</f>
        <v>0</v>
      </c>
      <c r="K19" s="288">
        <f>SUMIFS('MoDi Initiatives'!I:I,'MoDi Initiatives'!$E:$E,'Gap Analysis update'!$B19,'MoDi Initiatives'!$A:$A,'Gap Analysis update'!$A19,'MoDi Initiatives'!$B:$B,'Gap Analysis update'!K$2)-SUMIFS('MoDi Initiatives'!I:I,'MoDi Initiatives'!$E:$E,'Gap Analysis update'!$B19,'MoDi Initiatives'!$A:$A,'Gap Analysis update'!$A19,'MoDi Initiatives'!$C:$C,'Gap Analysis update'!$B$7,'MoDi Initiatives'!$B:$B,'Gap Analysis update'!K$2)</f>
        <v>0</v>
      </c>
      <c r="L19" s="288">
        <f>SUMIFS('MoDi Initiatives'!J:J,'MoDi Initiatives'!$E:$E,'Gap Analysis update'!$B19,'MoDi Initiatives'!$A:$A,'Gap Analysis update'!$A19,'MoDi Initiatives'!$B:$B,'Gap Analysis update'!L$2)-SUMIFS('MoDi Initiatives'!J:J,'MoDi Initiatives'!$E:$E,'Gap Analysis update'!$B19,'MoDi Initiatives'!$A:$A,'Gap Analysis update'!$A19,'MoDi Initiatives'!$C:$C,'Gap Analysis update'!$B$7,'MoDi Initiatives'!$B:$B,'Gap Analysis update'!L$2)</f>
        <v>0</v>
      </c>
      <c r="M19" s="288">
        <f>SUMIFS('MoDi Initiatives'!K:K,'MoDi Initiatives'!$E:$E,'Gap Analysis update'!$B19,'MoDi Initiatives'!$A:$A,'Gap Analysis update'!$A19,'MoDi Initiatives'!$B:$B,'Gap Analysis update'!M$2)-SUMIFS('MoDi Initiatives'!K:K,'MoDi Initiatives'!$E:$E,'Gap Analysis update'!$B19,'MoDi Initiatives'!$A:$A,'Gap Analysis update'!$A19,'MoDi Initiatives'!$C:$C,'Gap Analysis update'!$B$7,'MoDi Initiatives'!$B:$B,'Gap Analysis update'!M$2)</f>
        <v>0</v>
      </c>
      <c r="N19" s="288">
        <f>SUMIFS('MoDi Initiatives'!L:L,'MoDi Initiatives'!$E:$E,'Gap Analysis update'!$B19,'MoDi Initiatives'!$A:$A,'Gap Analysis update'!$A19,'MoDi Initiatives'!$B:$B,'Gap Analysis update'!N$2)-SUMIFS('MoDi Initiatives'!L:L,'MoDi Initiatives'!$E:$E,'Gap Analysis update'!$B19,'MoDi Initiatives'!$A:$A,'Gap Analysis update'!$A19,'MoDi Initiatives'!$C:$C,'Gap Analysis update'!$B$7,'MoDi Initiatives'!$B:$B,'Gap Analysis update'!N$2)</f>
        <v>0</v>
      </c>
      <c r="O19" s="288">
        <f>SUMIFS('MoDi Initiatives'!M:M,'MoDi Initiatives'!$E:$E,'Gap Analysis update'!$B19,'MoDi Initiatives'!$A:$A,'Gap Analysis update'!$A19,'MoDi Initiatives'!$B:$B,'Gap Analysis update'!O$2)-SUMIFS('MoDi Initiatives'!M:M,'MoDi Initiatives'!$E:$E,'Gap Analysis update'!$B19,'MoDi Initiatives'!$A:$A,'Gap Analysis update'!$A19,'MoDi Initiatives'!$C:$C,'Gap Analysis update'!$B$7,'MoDi Initiatives'!$B:$B,'Gap Analysis update'!O$2)</f>
        <v>0</v>
      </c>
      <c r="P19" s="288">
        <f>SUMIFS('MoDi Initiatives'!N:N,'MoDi Initiatives'!$E:$E,'Gap Analysis update'!$B19,'MoDi Initiatives'!$A:$A,'Gap Analysis update'!$A19,'MoDi Initiatives'!$B:$B,'Gap Analysis update'!P$2)-SUMIFS('MoDi Initiatives'!N:N,'MoDi Initiatives'!$E:$E,'Gap Analysis update'!$B19,'MoDi Initiatives'!$A:$A,'Gap Analysis update'!$A19,'MoDi Initiatives'!$C:$C,'Gap Analysis update'!$B$7,'MoDi Initiatives'!$B:$B,'Gap Analysis update'!P$2)</f>
        <v>0</v>
      </c>
      <c r="Q19" s="288">
        <f>SUMIFS('MoDi Initiatives'!O:O,'MoDi Initiatives'!$E:$E,'Gap Analysis update'!$B19,'MoDi Initiatives'!$A:$A,'Gap Analysis update'!$A19,'MoDi Initiatives'!$B:$B,'Gap Analysis update'!Q$2)-SUMIFS('MoDi Initiatives'!O:O,'MoDi Initiatives'!$E:$E,'Gap Analysis update'!$B19,'MoDi Initiatives'!$A:$A,'Gap Analysis update'!$A19,'MoDi Initiatives'!$C:$C,'Gap Analysis update'!$B$7,'MoDi Initiatives'!$B:$B,'Gap Analysis update'!Q$2)</f>
        <v>0</v>
      </c>
      <c r="R19" s="288">
        <f>SUMIFS('MoDi Initiatives'!P:P,'MoDi Initiatives'!$E:$E,'Gap Analysis update'!$B19,'MoDi Initiatives'!$A:$A,'Gap Analysis update'!$A19,'MoDi Initiatives'!$B:$B,'Gap Analysis update'!R$2)-SUMIFS('MoDi Initiatives'!P:P,'MoDi Initiatives'!$E:$E,'Gap Analysis update'!$B19,'MoDi Initiatives'!$A:$A,'Gap Analysis update'!$A19,'MoDi Initiatives'!$C:$C,'Gap Analysis update'!$B$7,'MoDi Initiatives'!$B:$B,'Gap Analysis update'!R$2)</f>
        <v>0</v>
      </c>
      <c r="S19" s="288">
        <f>SUMIFS('MoDi Initiatives'!Q:Q,'MoDi Initiatives'!$E:$E,'Gap Analysis update'!$B19,'MoDi Initiatives'!$A:$A,'Gap Analysis update'!$A19,'MoDi Initiatives'!$B:$B,'Gap Analysis update'!S$2)-SUMIFS('MoDi Initiatives'!Q:Q,'MoDi Initiatives'!$E:$E,'Gap Analysis update'!$B19,'MoDi Initiatives'!$A:$A,'Gap Analysis update'!$A19,'MoDi Initiatives'!$C:$C,'Gap Analysis update'!$B$7,'MoDi Initiatives'!$B:$B,'Gap Analysis update'!S$2)</f>
        <v>0</v>
      </c>
      <c r="T19" s="288">
        <f>SUMIFS('MoDi Initiatives'!R:R,'MoDi Initiatives'!$E:$E,'Gap Analysis update'!$B19,'MoDi Initiatives'!$A:$A,'Gap Analysis update'!$A19,'MoDi Initiatives'!$B:$B,'Gap Analysis update'!T$2)-SUMIFS('MoDi Initiatives'!R:R,'MoDi Initiatives'!$E:$E,'Gap Analysis update'!$B19,'MoDi Initiatives'!$A:$A,'Gap Analysis update'!$A19,'MoDi Initiatives'!$C:$C,'Gap Analysis update'!$B$7,'MoDi Initiatives'!$B:$B,'Gap Analysis update'!T$2)</f>
        <v>0</v>
      </c>
      <c r="U19" s="288">
        <f>SUMIFS('MoDi Initiatives'!S:S,'MoDi Initiatives'!$E:$E,'Gap Analysis update'!$B19,'MoDi Initiatives'!$A:$A,'Gap Analysis update'!$A19,'MoDi Initiatives'!$B:$B,'Gap Analysis update'!U$2)-SUMIFS('MoDi Initiatives'!S:S,'MoDi Initiatives'!$E:$E,'Gap Analysis update'!$B19,'MoDi Initiatives'!$A:$A,'Gap Analysis update'!$A19,'MoDi Initiatives'!$C:$C,'Gap Analysis update'!$B$7,'MoDi Initiatives'!$B:$B,'Gap Analysis update'!U$2)</f>
        <v>0</v>
      </c>
      <c r="V19" s="288">
        <f>SUMIFS('MoDi Initiatives'!T:T,'MoDi Initiatives'!$E:$E,'Gap Analysis update'!$B19,'MoDi Initiatives'!$A:$A,'Gap Analysis update'!$A19,'MoDi Initiatives'!$B:$B,'Gap Analysis update'!V$2)-SUMIFS('MoDi Initiatives'!T:T,'MoDi Initiatives'!$E:$E,'Gap Analysis update'!$B19,'MoDi Initiatives'!$A:$A,'Gap Analysis update'!$A19,'MoDi Initiatives'!$C:$C,'Gap Analysis update'!$B$7,'MoDi Initiatives'!$B:$B,'Gap Analysis update'!V$2)</f>
        <v>0</v>
      </c>
      <c r="W19" s="288">
        <f>SUMIFS('MoDi Initiatives'!U:U,'MoDi Initiatives'!$E:$E,'Gap Analysis update'!$B19,'MoDi Initiatives'!$A:$A,'Gap Analysis update'!$A19,'MoDi Initiatives'!$B:$B,'Gap Analysis update'!W$2)-SUMIFS('MoDi Initiatives'!U:U,'MoDi Initiatives'!$E:$E,'Gap Analysis update'!$B19,'MoDi Initiatives'!$A:$A,'Gap Analysis update'!$A19,'MoDi Initiatives'!$C:$C,'Gap Analysis update'!$B$7,'MoDi Initiatives'!$B:$B,'Gap Analysis update'!W$2)</f>
        <v>0</v>
      </c>
      <c r="X19" s="288">
        <f>SUMIFS('MoDi Initiatives'!V:V,'MoDi Initiatives'!$E:$E,'Gap Analysis update'!$B19,'MoDi Initiatives'!$A:$A,'Gap Analysis update'!$A19,'MoDi Initiatives'!$B:$B,'Gap Analysis update'!X$2)-SUMIFS('MoDi Initiatives'!V:V,'MoDi Initiatives'!$E:$E,'Gap Analysis update'!$B19,'MoDi Initiatives'!$A:$A,'Gap Analysis update'!$A19,'MoDi Initiatives'!$C:$C,'Gap Analysis update'!$B$7,'MoDi Initiatives'!$B:$B,'Gap Analysis update'!X$2)</f>
        <v>0</v>
      </c>
      <c r="Y19" s="288">
        <f>SUMIFS('MoDi Initiatives'!W:W,'MoDi Initiatives'!$E:$E,'Gap Analysis update'!$B19,'MoDi Initiatives'!$A:$A,'Gap Analysis update'!$A19,'MoDi Initiatives'!$B:$B,'Gap Analysis update'!Y$2)-SUMIFS('MoDi Initiatives'!W:W,'MoDi Initiatives'!$E:$E,'Gap Analysis update'!$B19,'MoDi Initiatives'!$A:$A,'Gap Analysis update'!$A19,'MoDi Initiatives'!$C:$C,'Gap Analysis update'!$B$7,'MoDi Initiatives'!$B:$B,'Gap Analysis update'!Y$2)</f>
        <v>0</v>
      </c>
      <c r="Z19" s="293"/>
      <c r="AB19" s="298">
        <f>SUMIFS('MoDi Initiatives'!H:H,'MoDi Initiatives'!$E:$E,'Gap Analysis update'!$B19,'MoDi Initiatives'!$A:$A,'Gap Analysis update'!$A19,'MoDi Initiatives'!$B:$B,'Gap Analysis update'!AB$2)-SUMIFS('MoDi Initiatives'!H:H,'MoDi Initiatives'!$E:$E,'Gap Analysis update'!$B19,'MoDi Initiatives'!$A:$A,'Gap Analysis update'!$A19,'MoDi Initiatives'!$B:$B,'Gap Analysis update'!AB$2,'MoDi Initiatives'!$C:$C,'Gap Analysis update'!$B$7)</f>
        <v>0</v>
      </c>
      <c r="AC19" s="298">
        <f>SUMIFS('MoDi Initiatives'!I:I,'MoDi Initiatives'!$E:$E,'Gap Analysis update'!$B19,'MoDi Initiatives'!$A:$A,'Gap Analysis update'!$A19,'MoDi Initiatives'!$B:$B,'Gap Analysis update'!AC$2)-SUMIFS('MoDi Initiatives'!I:I,'MoDi Initiatives'!$E:$E,'Gap Analysis update'!$B19,'MoDi Initiatives'!$A:$A,'Gap Analysis update'!$A19,'MoDi Initiatives'!$B:$B,'Gap Analysis update'!AC$2,'MoDi Initiatives'!$C:$C,'Gap Analysis update'!$B$7)</f>
        <v>0</v>
      </c>
      <c r="AD19" s="298">
        <f>SUMIFS('MoDi Initiatives'!J:J,'MoDi Initiatives'!$E:$E,'Gap Analysis update'!$B19,'MoDi Initiatives'!$A:$A,'Gap Analysis update'!$A19,'MoDi Initiatives'!$B:$B,'Gap Analysis update'!AD$2)-SUMIFS('MoDi Initiatives'!J:J,'MoDi Initiatives'!$E:$E,'Gap Analysis update'!$B19,'MoDi Initiatives'!$A:$A,'Gap Analysis update'!$A19,'MoDi Initiatives'!$B:$B,'Gap Analysis update'!AD$2,'MoDi Initiatives'!$C:$C,'Gap Analysis update'!$B$7)</f>
        <v>0</v>
      </c>
      <c r="AE19" s="298">
        <f>SUMIFS('MoDi Initiatives'!K:K,'MoDi Initiatives'!$E:$E,'Gap Analysis update'!$B19,'MoDi Initiatives'!$A:$A,'Gap Analysis update'!$A19,'MoDi Initiatives'!$B:$B,'Gap Analysis update'!AE$2)-SUMIFS('MoDi Initiatives'!K:K,'MoDi Initiatives'!$E:$E,'Gap Analysis update'!$B19,'MoDi Initiatives'!$A:$A,'Gap Analysis update'!$A19,'MoDi Initiatives'!$B:$B,'Gap Analysis update'!AE$2,'MoDi Initiatives'!$C:$C,'Gap Analysis update'!$B$7)</f>
        <v>0</v>
      </c>
      <c r="AF19" s="298">
        <f>SUMIFS('MoDi Initiatives'!L:L,'MoDi Initiatives'!$E:$E,'Gap Analysis update'!$B19,'MoDi Initiatives'!$A:$A,'Gap Analysis update'!$A19,'MoDi Initiatives'!$B:$B,'Gap Analysis update'!AF$2)-SUMIFS('MoDi Initiatives'!L:L,'MoDi Initiatives'!$E:$E,'Gap Analysis update'!$B19,'MoDi Initiatives'!$A:$A,'Gap Analysis update'!$A19,'MoDi Initiatives'!$B:$B,'Gap Analysis update'!AF$2,'MoDi Initiatives'!$C:$C,'Gap Analysis update'!$B$7)</f>
        <v>0</v>
      </c>
      <c r="AG19" s="298">
        <f>SUMIFS('MoDi Initiatives'!M:M,'MoDi Initiatives'!$E:$E,'Gap Analysis update'!$B19,'MoDi Initiatives'!$A:$A,'Gap Analysis update'!$A19,'MoDi Initiatives'!$B:$B,'Gap Analysis update'!AG$2)-SUMIFS('MoDi Initiatives'!M:M,'MoDi Initiatives'!$E:$E,'Gap Analysis update'!$B19,'MoDi Initiatives'!$A:$A,'Gap Analysis update'!$A19,'MoDi Initiatives'!$B:$B,'Gap Analysis update'!AG$2,'MoDi Initiatives'!$C:$C,'Gap Analysis update'!$B$7)</f>
        <v>-2.2831592067078252E-3</v>
      </c>
      <c r="AH19" s="298">
        <f>SUMIFS('MoDi Initiatives'!N:N,'MoDi Initiatives'!$E:$E,'Gap Analysis update'!$B19,'MoDi Initiatives'!$A:$A,'Gap Analysis update'!$A19,'MoDi Initiatives'!$B:$B,'Gap Analysis update'!AH$2)-SUMIFS('MoDi Initiatives'!N:N,'MoDi Initiatives'!$E:$E,'Gap Analysis update'!$B19,'MoDi Initiatives'!$A:$A,'Gap Analysis update'!$A19,'MoDi Initiatives'!$B:$B,'Gap Analysis update'!AH$2,'MoDi Initiatives'!$C:$C,'Gap Analysis update'!$B$7)</f>
        <v>0</v>
      </c>
      <c r="AI19" s="298">
        <f>SUMIFS('MoDi Initiatives'!O:O,'MoDi Initiatives'!$E:$E,'Gap Analysis update'!$B19,'MoDi Initiatives'!$A:$A,'Gap Analysis update'!$A19,'MoDi Initiatives'!$B:$B,'Gap Analysis update'!AI$2)-SUMIFS('MoDi Initiatives'!O:O,'MoDi Initiatives'!$E:$E,'Gap Analysis update'!$B19,'MoDi Initiatives'!$A:$A,'Gap Analysis update'!$A19,'MoDi Initiatives'!$B:$B,'Gap Analysis update'!AI$2,'MoDi Initiatives'!$C:$C,'Gap Analysis update'!$B$7)</f>
        <v>0</v>
      </c>
      <c r="AJ19" s="298">
        <f>SUMIFS('MoDi Initiatives'!P:P,'MoDi Initiatives'!$E:$E,'Gap Analysis update'!$B19,'MoDi Initiatives'!$A:$A,'Gap Analysis update'!$A19,'MoDi Initiatives'!$B:$B,'Gap Analysis update'!AJ$2)-SUMIFS('MoDi Initiatives'!P:P,'MoDi Initiatives'!$E:$E,'Gap Analysis update'!$B19,'MoDi Initiatives'!$A:$A,'Gap Analysis update'!$A19,'MoDi Initiatives'!$B:$B,'Gap Analysis update'!AJ$2,'MoDi Initiatives'!$C:$C,'Gap Analysis update'!$B$7)</f>
        <v>0</v>
      </c>
      <c r="AK19" s="298">
        <f>SUMIFS('MoDi Initiatives'!Q:Q,'MoDi Initiatives'!$E:$E,'Gap Analysis update'!$B19,'MoDi Initiatives'!$A:$A,'Gap Analysis update'!$A19,'MoDi Initiatives'!$B:$B,'Gap Analysis update'!AK$2)-SUMIFS('MoDi Initiatives'!Q:Q,'MoDi Initiatives'!$E:$E,'Gap Analysis update'!$B19,'MoDi Initiatives'!$A:$A,'Gap Analysis update'!$A19,'MoDi Initiatives'!$B:$B,'Gap Analysis update'!AK$2,'MoDi Initiatives'!$C:$C,'Gap Analysis update'!$B$7)</f>
        <v>2.1077423367044518E-3</v>
      </c>
      <c r="AL19" s="298">
        <f>SUMIFS('MoDi Initiatives'!R:R,'MoDi Initiatives'!$E:$E,'Gap Analysis update'!$B19,'MoDi Initiatives'!$A:$A,'Gap Analysis update'!$A19,'MoDi Initiatives'!$B:$B,'Gap Analysis update'!AL$2)-SUMIFS('MoDi Initiatives'!R:R,'MoDi Initiatives'!$E:$E,'Gap Analysis update'!$B19,'MoDi Initiatives'!$A:$A,'Gap Analysis update'!$A19,'MoDi Initiatives'!$B:$B,'Gap Analysis update'!AL$2,'MoDi Initiatives'!$C:$C,'Gap Analysis update'!$B$7)</f>
        <v>0</v>
      </c>
      <c r="AM19" s="298">
        <f>SUMIFS('MoDi Initiatives'!S:S,'MoDi Initiatives'!$E:$E,'Gap Analysis update'!$B19,'MoDi Initiatives'!$A:$A,'Gap Analysis update'!$A19,'MoDi Initiatives'!$B:$B,'Gap Analysis update'!AM$2)-SUMIFS('MoDi Initiatives'!S:S,'MoDi Initiatives'!$E:$E,'Gap Analysis update'!$B19,'MoDi Initiatives'!$A:$A,'Gap Analysis update'!$A19,'MoDi Initiatives'!$B:$B,'Gap Analysis update'!AM$2,'MoDi Initiatives'!$C:$C,'Gap Analysis update'!$B$7)</f>
        <v>0</v>
      </c>
      <c r="AN19" s="298">
        <f>SUMIFS('MoDi Initiatives'!T:T,'MoDi Initiatives'!$E:$E,'Gap Analysis update'!$B19,'MoDi Initiatives'!$A:$A,'Gap Analysis update'!$A19,'MoDi Initiatives'!$B:$B,'Gap Analysis update'!AN$2)-SUMIFS('MoDi Initiatives'!T:T,'MoDi Initiatives'!$E:$E,'Gap Analysis update'!$B19,'MoDi Initiatives'!$A:$A,'Gap Analysis update'!$A19,'MoDi Initiatives'!$B:$B,'Gap Analysis update'!AN$2,'MoDi Initiatives'!$C:$C,'Gap Analysis update'!$B$7)</f>
        <v>0</v>
      </c>
      <c r="AO19" s="298">
        <f>SUMIFS('MoDi Initiatives'!U:U,'MoDi Initiatives'!$E:$E,'Gap Analysis update'!$B19,'MoDi Initiatives'!$A:$A,'Gap Analysis update'!$A19,'MoDi Initiatives'!$B:$B,'Gap Analysis update'!AO$2)-SUMIFS('MoDi Initiatives'!U:U,'MoDi Initiatives'!$E:$E,'Gap Analysis update'!$B19,'MoDi Initiatives'!$A:$A,'Gap Analysis update'!$A19,'MoDi Initiatives'!$B:$B,'Gap Analysis update'!AO$2,'MoDi Initiatives'!$C:$C,'Gap Analysis update'!$B$7)</f>
        <v>0</v>
      </c>
      <c r="AP19" s="298">
        <f>SUMIFS('MoDi Initiatives'!V:V,'MoDi Initiatives'!$E:$E,'Gap Analysis update'!$B19,'MoDi Initiatives'!$A:$A,'Gap Analysis update'!$A19,'MoDi Initiatives'!$B:$B,'Gap Analysis update'!AP$2)-SUMIFS('MoDi Initiatives'!V:V,'MoDi Initiatives'!$E:$E,'Gap Analysis update'!$B19,'MoDi Initiatives'!$A:$A,'Gap Analysis update'!$A19,'MoDi Initiatives'!$B:$B,'Gap Analysis update'!AP$2,'MoDi Initiatives'!$C:$C,'Gap Analysis update'!$B$7)</f>
        <v>0</v>
      </c>
      <c r="AQ19" s="298">
        <f>SUMIFS('MoDi Initiatives'!W:W,'MoDi Initiatives'!$E:$E,'Gap Analysis update'!$B19,'MoDi Initiatives'!$A:$A,'Gap Analysis update'!$A19,'MoDi Initiatives'!$B:$B,'Gap Analysis update'!AQ$2)-SUMIFS('MoDi Initiatives'!W:W,'MoDi Initiatives'!$E:$E,'Gap Analysis update'!$B19,'MoDi Initiatives'!$A:$A,'Gap Analysis update'!$A19,'MoDi Initiatives'!$B:$B,'Gap Analysis update'!AQ$2,'MoDi Initiatives'!$C:$C,'Gap Analysis update'!$B$7)</f>
        <v>0</v>
      </c>
      <c r="AR19" s="293"/>
      <c r="AT19" s="298">
        <f t="shared" si="9"/>
        <v>0</v>
      </c>
      <c r="AU19" s="298">
        <f t="shared" si="9"/>
        <v>0</v>
      </c>
      <c r="AV19" s="298">
        <f t="shared" si="9"/>
        <v>0</v>
      </c>
      <c r="AW19" s="298">
        <f t="shared" si="9"/>
        <v>0</v>
      </c>
      <c r="AX19" s="298">
        <f t="shared" si="9"/>
        <v>0</v>
      </c>
      <c r="AY19" s="299">
        <f t="shared" si="9"/>
        <v>-2.2831592067078252E-3</v>
      </c>
      <c r="AZ19" s="298">
        <f t="shared" si="9"/>
        <v>0</v>
      </c>
      <c r="BA19" s="298">
        <f t="shared" si="9"/>
        <v>0</v>
      </c>
      <c r="BB19" s="298">
        <f t="shared" si="9"/>
        <v>0</v>
      </c>
      <c r="BC19" s="299">
        <f t="shared" si="9"/>
        <v>2.1077423367044518E-3</v>
      </c>
      <c r="BD19" s="298">
        <f t="shared" si="9"/>
        <v>0</v>
      </c>
      <c r="BE19" s="298">
        <f t="shared" si="9"/>
        <v>0</v>
      </c>
      <c r="BF19" s="298">
        <f t="shared" si="9"/>
        <v>0</v>
      </c>
      <c r="BG19" s="298">
        <f t="shared" si="9"/>
        <v>0</v>
      </c>
      <c r="BH19" s="298">
        <f t="shared" si="9"/>
        <v>0</v>
      </c>
      <c r="BI19" s="298">
        <f t="shared" si="9"/>
        <v>0</v>
      </c>
      <c r="BJ19" s="293"/>
      <c r="BK19" s="288"/>
      <c r="BL19" s="288"/>
      <c r="BM19" s="288"/>
      <c r="BN19" s="288" t="s">
        <v>75</v>
      </c>
      <c r="BO19" s="288"/>
      <c r="BP19" s="288" t="s">
        <v>22</v>
      </c>
      <c r="BQ19" s="288" t="s">
        <v>76</v>
      </c>
      <c r="BR19" s="288" t="s">
        <v>77</v>
      </c>
      <c r="BS19" s="288"/>
      <c r="BT19" s="288" t="s">
        <v>22</v>
      </c>
      <c r="BU19" s="288" t="s">
        <v>78</v>
      </c>
      <c r="BV19" s="288"/>
      <c r="BW19" s="288"/>
      <c r="BX19" s="288"/>
      <c r="BY19" s="288"/>
      <c r="BZ19" s="288"/>
      <c r="CA19" s="288"/>
      <c r="CB19" s="288"/>
    </row>
    <row r="20" spans="1:80" s="298" customFormat="1" ht="100.5" customHeight="1">
      <c r="A20" s="296" t="s">
        <v>64</v>
      </c>
      <c r="B20" s="287" t="s">
        <v>49</v>
      </c>
      <c r="C20" s="288">
        <f t="shared" si="15"/>
        <v>0</v>
      </c>
      <c r="D20" s="289">
        <f t="shared" si="16"/>
        <v>0</v>
      </c>
      <c r="E20" s="289">
        <f t="shared" si="8"/>
        <v>0</v>
      </c>
      <c r="F20" s="286" t="s">
        <v>50</v>
      </c>
      <c r="G20" s="286"/>
      <c r="H20" s="297"/>
      <c r="J20" s="288">
        <f>SUMIFS('MoDi Initiatives'!H:H,'MoDi Initiatives'!$E:$E,'Gap Analysis update'!$B20,'MoDi Initiatives'!$A:$A,'Gap Analysis update'!$A20,'MoDi Initiatives'!$B:$B,'Gap Analysis update'!J$2)-SUMIFS('MoDi Initiatives'!H:H,'MoDi Initiatives'!$E:$E,'Gap Analysis update'!$B20,'MoDi Initiatives'!$A:$A,'Gap Analysis update'!$A20,'MoDi Initiatives'!$C:$C,'Gap Analysis update'!$B$7,'MoDi Initiatives'!$B:$B,'Gap Analysis update'!J$2)</f>
        <v>0</v>
      </c>
      <c r="K20" s="288">
        <f>SUMIFS('MoDi Initiatives'!I:I,'MoDi Initiatives'!$E:$E,'Gap Analysis update'!$B20,'MoDi Initiatives'!$A:$A,'Gap Analysis update'!$A20,'MoDi Initiatives'!$B:$B,'Gap Analysis update'!K$2)-SUMIFS('MoDi Initiatives'!I:I,'MoDi Initiatives'!$E:$E,'Gap Analysis update'!$B20,'MoDi Initiatives'!$A:$A,'Gap Analysis update'!$A20,'MoDi Initiatives'!$C:$C,'Gap Analysis update'!$B$7,'MoDi Initiatives'!$B:$B,'Gap Analysis update'!K$2)</f>
        <v>0</v>
      </c>
      <c r="L20" s="288">
        <f>SUMIFS('MoDi Initiatives'!J:J,'MoDi Initiatives'!$E:$E,'Gap Analysis update'!$B20,'MoDi Initiatives'!$A:$A,'Gap Analysis update'!$A20,'MoDi Initiatives'!$B:$B,'Gap Analysis update'!L$2)-SUMIFS('MoDi Initiatives'!J:J,'MoDi Initiatives'!$E:$E,'Gap Analysis update'!$B20,'MoDi Initiatives'!$A:$A,'Gap Analysis update'!$A20,'MoDi Initiatives'!$C:$C,'Gap Analysis update'!$B$7,'MoDi Initiatives'!$B:$B,'Gap Analysis update'!L$2)</f>
        <v>0</v>
      </c>
      <c r="M20" s="288">
        <f>SUMIFS('MoDi Initiatives'!K:K,'MoDi Initiatives'!$E:$E,'Gap Analysis update'!$B20,'MoDi Initiatives'!$A:$A,'Gap Analysis update'!$A20,'MoDi Initiatives'!$B:$B,'Gap Analysis update'!M$2)-SUMIFS('MoDi Initiatives'!K:K,'MoDi Initiatives'!$E:$E,'Gap Analysis update'!$B20,'MoDi Initiatives'!$A:$A,'Gap Analysis update'!$A20,'MoDi Initiatives'!$C:$C,'Gap Analysis update'!$B$7,'MoDi Initiatives'!$B:$B,'Gap Analysis update'!M$2)</f>
        <v>0</v>
      </c>
      <c r="N20" s="288">
        <f>SUMIFS('MoDi Initiatives'!L:L,'MoDi Initiatives'!$E:$E,'Gap Analysis update'!$B20,'MoDi Initiatives'!$A:$A,'Gap Analysis update'!$A20,'MoDi Initiatives'!$B:$B,'Gap Analysis update'!N$2)-SUMIFS('MoDi Initiatives'!L:L,'MoDi Initiatives'!$E:$E,'Gap Analysis update'!$B20,'MoDi Initiatives'!$A:$A,'Gap Analysis update'!$A20,'MoDi Initiatives'!$C:$C,'Gap Analysis update'!$B$7,'MoDi Initiatives'!$B:$B,'Gap Analysis update'!N$2)</f>
        <v>0</v>
      </c>
      <c r="O20" s="288">
        <f>SUMIFS('MoDi Initiatives'!M:M,'MoDi Initiatives'!$E:$E,'Gap Analysis update'!$B20,'MoDi Initiatives'!$A:$A,'Gap Analysis update'!$A20,'MoDi Initiatives'!$B:$B,'Gap Analysis update'!O$2)-SUMIFS('MoDi Initiatives'!M:M,'MoDi Initiatives'!$E:$E,'Gap Analysis update'!$B20,'MoDi Initiatives'!$A:$A,'Gap Analysis update'!$A20,'MoDi Initiatives'!$C:$C,'Gap Analysis update'!$B$7,'MoDi Initiatives'!$B:$B,'Gap Analysis update'!O$2)</f>
        <v>0</v>
      </c>
      <c r="P20" s="288">
        <f>SUMIFS('MoDi Initiatives'!N:N,'MoDi Initiatives'!$E:$E,'Gap Analysis update'!$B20,'MoDi Initiatives'!$A:$A,'Gap Analysis update'!$A20,'MoDi Initiatives'!$B:$B,'Gap Analysis update'!P$2)-SUMIFS('MoDi Initiatives'!N:N,'MoDi Initiatives'!$E:$E,'Gap Analysis update'!$B20,'MoDi Initiatives'!$A:$A,'Gap Analysis update'!$A20,'MoDi Initiatives'!$C:$C,'Gap Analysis update'!$B$7,'MoDi Initiatives'!$B:$B,'Gap Analysis update'!P$2)</f>
        <v>0</v>
      </c>
      <c r="Q20" s="288">
        <f>SUMIFS('MoDi Initiatives'!O:O,'MoDi Initiatives'!$E:$E,'Gap Analysis update'!$B20,'MoDi Initiatives'!$A:$A,'Gap Analysis update'!$A20,'MoDi Initiatives'!$B:$B,'Gap Analysis update'!Q$2)-SUMIFS('MoDi Initiatives'!O:O,'MoDi Initiatives'!$E:$E,'Gap Analysis update'!$B20,'MoDi Initiatives'!$A:$A,'Gap Analysis update'!$A20,'MoDi Initiatives'!$C:$C,'Gap Analysis update'!$B$7,'MoDi Initiatives'!$B:$B,'Gap Analysis update'!Q$2)</f>
        <v>0</v>
      </c>
      <c r="R20" s="288">
        <f>SUMIFS('MoDi Initiatives'!P:P,'MoDi Initiatives'!$E:$E,'Gap Analysis update'!$B20,'MoDi Initiatives'!$A:$A,'Gap Analysis update'!$A20,'MoDi Initiatives'!$B:$B,'Gap Analysis update'!R$2)-SUMIFS('MoDi Initiatives'!P:P,'MoDi Initiatives'!$E:$E,'Gap Analysis update'!$B20,'MoDi Initiatives'!$A:$A,'Gap Analysis update'!$A20,'MoDi Initiatives'!$C:$C,'Gap Analysis update'!$B$7,'MoDi Initiatives'!$B:$B,'Gap Analysis update'!R$2)</f>
        <v>0</v>
      </c>
      <c r="S20" s="288">
        <f>SUMIFS('MoDi Initiatives'!Q:Q,'MoDi Initiatives'!$E:$E,'Gap Analysis update'!$B20,'MoDi Initiatives'!$A:$A,'Gap Analysis update'!$A20,'MoDi Initiatives'!$B:$B,'Gap Analysis update'!S$2)-SUMIFS('MoDi Initiatives'!Q:Q,'MoDi Initiatives'!$E:$E,'Gap Analysis update'!$B20,'MoDi Initiatives'!$A:$A,'Gap Analysis update'!$A20,'MoDi Initiatives'!$C:$C,'Gap Analysis update'!$B$7,'MoDi Initiatives'!$B:$B,'Gap Analysis update'!S$2)</f>
        <v>0</v>
      </c>
      <c r="T20" s="288">
        <f>SUMIFS('MoDi Initiatives'!R:R,'MoDi Initiatives'!$E:$E,'Gap Analysis update'!$B20,'MoDi Initiatives'!$A:$A,'Gap Analysis update'!$A20,'MoDi Initiatives'!$B:$B,'Gap Analysis update'!T$2)-SUMIFS('MoDi Initiatives'!R:R,'MoDi Initiatives'!$E:$E,'Gap Analysis update'!$B20,'MoDi Initiatives'!$A:$A,'Gap Analysis update'!$A20,'MoDi Initiatives'!$C:$C,'Gap Analysis update'!$B$7,'MoDi Initiatives'!$B:$B,'Gap Analysis update'!T$2)</f>
        <v>0</v>
      </c>
      <c r="U20" s="288">
        <f>SUMIFS('MoDi Initiatives'!S:S,'MoDi Initiatives'!$E:$E,'Gap Analysis update'!$B20,'MoDi Initiatives'!$A:$A,'Gap Analysis update'!$A20,'MoDi Initiatives'!$B:$B,'Gap Analysis update'!U$2)-SUMIFS('MoDi Initiatives'!S:S,'MoDi Initiatives'!$E:$E,'Gap Analysis update'!$B20,'MoDi Initiatives'!$A:$A,'Gap Analysis update'!$A20,'MoDi Initiatives'!$C:$C,'Gap Analysis update'!$B$7,'MoDi Initiatives'!$B:$B,'Gap Analysis update'!U$2)</f>
        <v>0</v>
      </c>
      <c r="V20" s="288">
        <f>SUMIFS('MoDi Initiatives'!T:T,'MoDi Initiatives'!$E:$E,'Gap Analysis update'!$B20,'MoDi Initiatives'!$A:$A,'Gap Analysis update'!$A20,'MoDi Initiatives'!$B:$B,'Gap Analysis update'!V$2)-SUMIFS('MoDi Initiatives'!T:T,'MoDi Initiatives'!$E:$E,'Gap Analysis update'!$B20,'MoDi Initiatives'!$A:$A,'Gap Analysis update'!$A20,'MoDi Initiatives'!$C:$C,'Gap Analysis update'!$B$7,'MoDi Initiatives'!$B:$B,'Gap Analysis update'!V$2)</f>
        <v>0</v>
      </c>
      <c r="W20" s="288">
        <f>SUMIFS('MoDi Initiatives'!U:U,'MoDi Initiatives'!$E:$E,'Gap Analysis update'!$B20,'MoDi Initiatives'!$A:$A,'Gap Analysis update'!$A20,'MoDi Initiatives'!$B:$B,'Gap Analysis update'!W$2)-SUMIFS('MoDi Initiatives'!U:U,'MoDi Initiatives'!$E:$E,'Gap Analysis update'!$B20,'MoDi Initiatives'!$A:$A,'Gap Analysis update'!$A20,'MoDi Initiatives'!$C:$C,'Gap Analysis update'!$B$7,'MoDi Initiatives'!$B:$B,'Gap Analysis update'!W$2)</f>
        <v>0</v>
      </c>
      <c r="X20" s="288">
        <f>SUMIFS('MoDi Initiatives'!V:V,'MoDi Initiatives'!$E:$E,'Gap Analysis update'!$B20,'MoDi Initiatives'!$A:$A,'Gap Analysis update'!$A20,'MoDi Initiatives'!$B:$B,'Gap Analysis update'!X$2)-SUMIFS('MoDi Initiatives'!V:V,'MoDi Initiatives'!$E:$E,'Gap Analysis update'!$B20,'MoDi Initiatives'!$A:$A,'Gap Analysis update'!$A20,'MoDi Initiatives'!$C:$C,'Gap Analysis update'!$B$7,'MoDi Initiatives'!$B:$B,'Gap Analysis update'!X$2)</f>
        <v>0</v>
      </c>
      <c r="Y20" s="288">
        <f>SUMIFS('MoDi Initiatives'!W:W,'MoDi Initiatives'!$E:$E,'Gap Analysis update'!$B20,'MoDi Initiatives'!$A:$A,'Gap Analysis update'!$A20,'MoDi Initiatives'!$B:$B,'Gap Analysis update'!Y$2)-SUMIFS('MoDi Initiatives'!W:W,'MoDi Initiatives'!$E:$E,'Gap Analysis update'!$B20,'MoDi Initiatives'!$A:$A,'Gap Analysis update'!$A20,'MoDi Initiatives'!$C:$C,'Gap Analysis update'!$B$7,'MoDi Initiatives'!$B:$B,'Gap Analysis update'!Y$2)</f>
        <v>0</v>
      </c>
      <c r="Z20" s="293"/>
      <c r="AB20" s="298">
        <f>SUMIFS('MoDi Initiatives'!H:H,'MoDi Initiatives'!$E:$E,'Gap Analysis update'!$B20,'MoDi Initiatives'!$A:$A,'Gap Analysis update'!$A20,'MoDi Initiatives'!$B:$B,'Gap Analysis update'!AB$2)-SUMIFS('MoDi Initiatives'!H:H,'MoDi Initiatives'!$E:$E,'Gap Analysis update'!$B20,'MoDi Initiatives'!$A:$A,'Gap Analysis update'!$A20,'MoDi Initiatives'!$B:$B,'Gap Analysis update'!AB$2,'MoDi Initiatives'!$C:$C,'Gap Analysis update'!$B$7)</f>
        <v>0</v>
      </c>
      <c r="AC20" s="298">
        <f>SUMIFS('MoDi Initiatives'!I:I,'MoDi Initiatives'!$E:$E,'Gap Analysis update'!$B20,'MoDi Initiatives'!$A:$A,'Gap Analysis update'!$A20,'MoDi Initiatives'!$B:$B,'Gap Analysis update'!AC$2)-SUMIFS('MoDi Initiatives'!I:I,'MoDi Initiatives'!$E:$E,'Gap Analysis update'!$B20,'MoDi Initiatives'!$A:$A,'Gap Analysis update'!$A20,'MoDi Initiatives'!$B:$B,'Gap Analysis update'!AC$2,'MoDi Initiatives'!$C:$C,'Gap Analysis update'!$B$7)</f>
        <v>0</v>
      </c>
      <c r="AD20" s="298">
        <f>SUMIFS('MoDi Initiatives'!J:J,'MoDi Initiatives'!$E:$E,'Gap Analysis update'!$B20,'MoDi Initiatives'!$A:$A,'Gap Analysis update'!$A20,'MoDi Initiatives'!$B:$B,'Gap Analysis update'!AD$2)-SUMIFS('MoDi Initiatives'!J:J,'MoDi Initiatives'!$E:$E,'Gap Analysis update'!$B20,'MoDi Initiatives'!$A:$A,'Gap Analysis update'!$A20,'MoDi Initiatives'!$B:$B,'Gap Analysis update'!AD$2,'MoDi Initiatives'!$C:$C,'Gap Analysis update'!$B$7)</f>
        <v>0</v>
      </c>
      <c r="AE20" s="298">
        <f>SUMIFS('MoDi Initiatives'!K:K,'MoDi Initiatives'!$E:$E,'Gap Analysis update'!$B20,'MoDi Initiatives'!$A:$A,'Gap Analysis update'!$A20,'MoDi Initiatives'!$B:$B,'Gap Analysis update'!AE$2)-SUMIFS('MoDi Initiatives'!K:K,'MoDi Initiatives'!$E:$E,'Gap Analysis update'!$B20,'MoDi Initiatives'!$A:$A,'Gap Analysis update'!$A20,'MoDi Initiatives'!$B:$B,'Gap Analysis update'!AE$2,'MoDi Initiatives'!$C:$C,'Gap Analysis update'!$B$7)</f>
        <v>0</v>
      </c>
      <c r="AF20" s="298">
        <f>SUMIFS('MoDi Initiatives'!L:L,'MoDi Initiatives'!$E:$E,'Gap Analysis update'!$B20,'MoDi Initiatives'!$A:$A,'Gap Analysis update'!$A20,'MoDi Initiatives'!$B:$B,'Gap Analysis update'!AF$2)-SUMIFS('MoDi Initiatives'!L:L,'MoDi Initiatives'!$E:$E,'Gap Analysis update'!$B20,'MoDi Initiatives'!$A:$A,'Gap Analysis update'!$A20,'MoDi Initiatives'!$B:$B,'Gap Analysis update'!AF$2,'MoDi Initiatives'!$C:$C,'Gap Analysis update'!$B$7)</f>
        <v>0</v>
      </c>
      <c r="AG20" s="298">
        <f>SUMIFS('MoDi Initiatives'!M:M,'MoDi Initiatives'!$E:$E,'Gap Analysis update'!$B20,'MoDi Initiatives'!$A:$A,'Gap Analysis update'!$A20,'MoDi Initiatives'!$B:$B,'Gap Analysis update'!AG$2)-SUMIFS('MoDi Initiatives'!M:M,'MoDi Initiatives'!$E:$E,'Gap Analysis update'!$B20,'MoDi Initiatives'!$A:$A,'Gap Analysis update'!$A20,'MoDi Initiatives'!$B:$B,'Gap Analysis update'!AG$2,'MoDi Initiatives'!$C:$C,'Gap Analysis update'!$B$7)</f>
        <v>0</v>
      </c>
      <c r="AH20" s="298">
        <f>SUMIFS('MoDi Initiatives'!N:N,'MoDi Initiatives'!$E:$E,'Gap Analysis update'!$B20,'MoDi Initiatives'!$A:$A,'Gap Analysis update'!$A20,'MoDi Initiatives'!$B:$B,'Gap Analysis update'!AH$2)-SUMIFS('MoDi Initiatives'!N:N,'MoDi Initiatives'!$E:$E,'Gap Analysis update'!$B20,'MoDi Initiatives'!$A:$A,'Gap Analysis update'!$A20,'MoDi Initiatives'!$B:$B,'Gap Analysis update'!AH$2,'MoDi Initiatives'!$C:$C,'Gap Analysis update'!$B$7)</f>
        <v>0</v>
      </c>
      <c r="AI20" s="298">
        <f>SUMIFS('MoDi Initiatives'!O:O,'MoDi Initiatives'!$E:$E,'Gap Analysis update'!$B20,'MoDi Initiatives'!$A:$A,'Gap Analysis update'!$A20,'MoDi Initiatives'!$B:$B,'Gap Analysis update'!AI$2)-SUMIFS('MoDi Initiatives'!O:O,'MoDi Initiatives'!$E:$E,'Gap Analysis update'!$B20,'MoDi Initiatives'!$A:$A,'Gap Analysis update'!$A20,'MoDi Initiatives'!$B:$B,'Gap Analysis update'!AI$2,'MoDi Initiatives'!$C:$C,'Gap Analysis update'!$B$7)</f>
        <v>0</v>
      </c>
      <c r="AJ20" s="298">
        <f>SUMIFS('MoDi Initiatives'!P:P,'MoDi Initiatives'!$E:$E,'Gap Analysis update'!$B20,'MoDi Initiatives'!$A:$A,'Gap Analysis update'!$A20,'MoDi Initiatives'!$B:$B,'Gap Analysis update'!AJ$2)-SUMIFS('MoDi Initiatives'!P:P,'MoDi Initiatives'!$E:$E,'Gap Analysis update'!$B20,'MoDi Initiatives'!$A:$A,'Gap Analysis update'!$A20,'MoDi Initiatives'!$B:$B,'Gap Analysis update'!AJ$2,'MoDi Initiatives'!$C:$C,'Gap Analysis update'!$B$7)</f>
        <v>0</v>
      </c>
      <c r="AK20" s="298">
        <f>SUMIFS('MoDi Initiatives'!Q:Q,'MoDi Initiatives'!$E:$E,'Gap Analysis update'!$B20,'MoDi Initiatives'!$A:$A,'Gap Analysis update'!$A20,'MoDi Initiatives'!$B:$B,'Gap Analysis update'!AK$2)-SUMIFS('MoDi Initiatives'!Q:Q,'MoDi Initiatives'!$E:$E,'Gap Analysis update'!$B20,'MoDi Initiatives'!$A:$A,'Gap Analysis update'!$A20,'MoDi Initiatives'!$B:$B,'Gap Analysis update'!AK$2,'MoDi Initiatives'!$C:$C,'Gap Analysis update'!$B$7)</f>
        <v>0</v>
      </c>
      <c r="AL20" s="298">
        <f>SUMIFS('MoDi Initiatives'!R:R,'MoDi Initiatives'!$E:$E,'Gap Analysis update'!$B20,'MoDi Initiatives'!$A:$A,'Gap Analysis update'!$A20,'MoDi Initiatives'!$B:$B,'Gap Analysis update'!AL$2)-SUMIFS('MoDi Initiatives'!R:R,'MoDi Initiatives'!$E:$E,'Gap Analysis update'!$B20,'MoDi Initiatives'!$A:$A,'Gap Analysis update'!$A20,'MoDi Initiatives'!$B:$B,'Gap Analysis update'!AL$2,'MoDi Initiatives'!$C:$C,'Gap Analysis update'!$B$7)</f>
        <v>0</v>
      </c>
      <c r="AM20" s="298">
        <f>SUMIFS('MoDi Initiatives'!S:S,'MoDi Initiatives'!$E:$E,'Gap Analysis update'!$B20,'MoDi Initiatives'!$A:$A,'Gap Analysis update'!$A20,'MoDi Initiatives'!$B:$B,'Gap Analysis update'!AM$2)-SUMIFS('MoDi Initiatives'!S:S,'MoDi Initiatives'!$E:$E,'Gap Analysis update'!$B20,'MoDi Initiatives'!$A:$A,'Gap Analysis update'!$A20,'MoDi Initiatives'!$B:$B,'Gap Analysis update'!AM$2,'MoDi Initiatives'!$C:$C,'Gap Analysis update'!$B$7)</f>
        <v>0</v>
      </c>
      <c r="AN20" s="298">
        <f>SUMIFS('MoDi Initiatives'!T:T,'MoDi Initiatives'!$E:$E,'Gap Analysis update'!$B20,'MoDi Initiatives'!$A:$A,'Gap Analysis update'!$A20,'MoDi Initiatives'!$B:$B,'Gap Analysis update'!AN$2)-SUMIFS('MoDi Initiatives'!T:T,'MoDi Initiatives'!$E:$E,'Gap Analysis update'!$B20,'MoDi Initiatives'!$A:$A,'Gap Analysis update'!$A20,'MoDi Initiatives'!$B:$B,'Gap Analysis update'!AN$2,'MoDi Initiatives'!$C:$C,'Gap Analysis update'!$B$7)</f>
        <v>0</v>
      </c>
      <c r="AO20" s="298">
        <f>SUMIFS('MoDi Initiatives'!U:U,'MoDi Initiatives'!$E:$E,'Gap Analysis update'!$B20,'MoDi Initiatives'!$A:$A,'Gap Analysis update'!$A20,'MoDi Initiatives'!$B:$B,'Gap Analysis update'!AO$2)-SUMIFS('MoDi Initiatives'!U:U,'MoDi Initiatives'!$E:$E,'Gap Analysis update'!$B20,'MoDi Initiatives'!$A:$A,'Gap Analysis update'!$A20,'MoDi Initiatives'!$B:$B,'Gap Analysis update'!AO$2,'MoDi Initiatives'!$C:$C,'Gap Analysis update'!$B$7)</f>
        <v>0</v>
      </c>
      <c r="AP20" s="298">
        <f>SUMIFS('MoDi Initiatives'!V:V,'MoDi Initiatives'!$E:$E,'Gap Analysis update'!$B20,'MoDi Initiatives'!$A:$A,'Gap Analysis update'!$A20,'MoDi Initiatives'!$B:$B,'Gap Analysis update'!AP$2)-SUMIFS('MoDi Initiatives'!V:V,'MoDi Initiatives'!$E:$E,'Gap Analysis update'!$B20,'MoDi Initiatives'!$A:$A,'Gap Analysis update'!$A20,'MoDi Initiatives'!$B:$B,'Gap Analysis update'!AP$2,'MoDi Initiatives'!$C:$C,'Gap Analysis update'!$B$7)</f>
        <v>0</v>
      </c>
      <c r="AQ20" s="298">
        <f>SUMIFS('MoDi Initiatives'!W:W,'MoDi Initiatives'!$E:$E,'Gap Analysis update'!$B20,'MoDi Initiatives'!$A:$A,'Gap Analysis update'!$A20,'MoDi Initiatives'!$B:$B,'Gap Analysis update'!AQ$2)-SUMIFS('MoDi Initiatives'!W:W,'MoDi Initiatives'!$E:$E,'Gap Analysis update'!$B20,'MoDi Initiatives'!$A:$A,'Gap Analysis update'!$A20,'MoDi Initiatives'!$B:$B,'Gap Analysis update'!AQ$2,'MoDi Initiatives'!$C:$C,'Gap Analysis update'!$B$7)</f>
        <v>0</v>
      </c>
      <c r="AR20" s="293"/>
      <c r="AT20" s="298">
        <f t="shared" si="9"/>
        <v>0</v>
      </c>
      <c r="AU20" s="298">
        <f t="shared" si="9"/>
        <v>0</v>
      </c>
      <c r="AV20" s="298">
        <f t="shared" si="9"/>
        <v>0</v>
      </c>
      <c r="AW20" s="298">
        <f t="shared" si="9"/>
        <v>0</v>
      </c>
      <c r="AX20" s="298">
        <f t="shared" si="9"/>
        <v>0</v>
      </c>
      <c r="AY20" s="298">
        <f t="shared" si="9"/>
        <v>0</v>
      </c>
      <c r="AZ20" s="298">
        <f t="shared" si="9"/>
        <v>0</v>
      </c>
      <c r="BA20" s="298">
        <f t="shared" si="9"/>
        <v>0</v>
      </c>
      <c r="BB20" s="298">
        <f t="shared" si="9"/>
        <v>0</v>
      </c>
      <c r="BC20" s="298">
        <f t="shared" si="9"/>
        <v>0</v>
      </c>
      <c r="BD20" s="298">
        <f t="shared" si="9"/>
        <v>0</v>
      </c>
      <c r="BE20" s="298">
        <f t="shared" si="9"/>
        <v>0</v>
      </c>
      <c r="BF20" s="298">
        <f t="shared" si="9"/>
        <v>0</v>
      </c>
      <c r="BG20" s="298">
        <f t="shared" si="9"/>
        <v>0</v>
      </c>
      <c r="BH20" s="298">
        <f t="shared" si="9"/>
        <v>0</v>
      </c>
      <c r="BI20" s="298">
        <f t="shared" si="9"/>
        <v>0</v>
      </c>
      <c r="BJ20" s="293"/>
      <c r="BK20" s="288"/>
      <c r="BL20" s="288"/>
      <c r="BM20" s="288" t="s">
        <v>51</v>
      </c>
      <c r="BN20" s="288"/>
      <c r="BO20" s="288"/>
      <c r="BP20" s="288" t="s">
        <v>22</v>
      </c>
      <c r="BQ20" s="288"/>
      <c r="BR20" s="288" t="s">
        <v>52</v>
      </c>
      <c r="BS20" s="288" t="s">
        <v>51</v>
      </c>
      <c r="BT20" s="288" t="s">
        <v>22</v>
      </c>
      <c r="BU20" s="288"/>
      <c r="BV20" s="288"/>
      <c r="BW20" s="288"/>
      <c r="BX20" s="288"/>
      <c r="BY20" s="288"/>
      <c r="BZ20" s="288"/>
      <c r="CA20" s="288"/>
      <c r="CB20" s="288"/>
    </row>
    <row r="21" spans="1:80" s="298" customFormat="1" ht="39">
      <c r="A21" s="296" t="s">
        <v>64</v>
      </c>
      <c r="B21" s="287" t="s">
        <v>53</v>
      </c>
      <c r="C21" s="288">
        <f t="shared" si="15"/>
        <v>5.3952383955208245E-5</v>
      </c>
      <c r="D21" s="289">
        <f t="shared" si="16"/>
        <v>0</v>
      </c>
      <c r="E21" s="289">
        <f t="shared" si="8"/>
        <v>5.3952383955208245E-5</v>
      </c>
      <c r="F21" s="286" t="s">
        <v>54</v>
      </c>
      <c r="G21" s="286" t="s">
        <v>55</v>
      </c>
      <c r="H21" s="297"/>
      <c r="J21" s="288">
        <f>SUMIFS('MoDi Initiatives'!H:H,'MoDi Initiatives'!$E:$E,'Gap Analysis update'!$B21,'MoDi Initiatives'!$A:$A,'Gap Analysis update'!$A21,'MoDi Initiatives'!$B:$B,'Gap Analysis update'!J$2)-SUMIFS('MoDi Initiatives'!H:H,'MoDi Initiatives'!$E:$E,'Gap Analysis update'!$B21,'MoDi Initiatives'!$A:$A,'Gap Analysis update'!$A21,'MoDi Initiatives'!$C:$C,'Gap Analysis update'!$B$7,'MoDi Initiatives'!$B:$B,'Gap Analysis update'!J$2)</f>
        <v>0</v>
      </c>
      <c r="K21" s="288">
        <f>SUMIFS('MoDi Initiatives'!I:I,'MoDi Initiatives'!$E:$E,'Gap Analysis update'!$B21,'MoDi Initiatives'!$A:$A,'Gap Analysis update'!$A21,'MoDi Initiatives'!$B:$B,'Gap Analysis update'!K$2)-SUMIFS('MoDi Initiatives'!I:I,'MoDi Initiatives'!$E:$E,'Gap Analysis update'!$B21,'MoDi Initiatives'!$A:$A,'Gap Analysis update'!$A21,'MoDi Initiatives'!$C:$C,'Gap Analysis update'!$B$7,'MoDi Initiatives'!$B:$B,'Gap Analysis update'!K$2)</f>
        <v>0</v>
      </c>
      <c r="L21" s="288">
        <f>SUMIFS('MoDi Initiatives'!J:J,'MoDi Initiatives'!$E:$E,'Gap Analysis update'!$B21,'MoDi Initiatives'!$A:$A,'Gap Analysis update'!$A21,'MoDi Initiatives'!$B:$B,'Gap Analysis update'!L$2)-SUMIFS('MoDi Initiatives'!J:J,'MoDi Initiatives'!$E:$E,'Gap Analysis update'!$B21,'MoDi Initiatives'!$A:$A,'Gap Analysis update'!$A21,'MoDi Initiatives'!$C:$C,'Gap Analysis update'!$B$7,'MoDi Initiatives'!$B:$B,'Gap Analysis update'!L$2)</f>
        <v>0</v>
      </c>
      <c r="M21" s="288">
        <f>SUMIFS('MoDi Initiatives'!K:K,'MoDi Initiatives'!$E:$E,'Gap Analysis update'!$B21,'MoDi Initiatives'!$A:$A,'Gap Analysis update'!$A21,'MoDi Initiatives'!$B:$B,'Gap Analysis update'!M$2)-SUMIFS('MoDi Initiatives'!K:K,'MoDi Initiatives'!$E:$E,'Gap Analysis update'!$B21,'MoDi Initiatives'!$A:$A,'Gap Analysis update'!$A21,'MoDi Initiatives'!$C:$C,'Gap Analysis update'!$B$7,'MoDi Initiatives'!$B:$B,'Gap Analysis update'!M$2)</f>
        <v>-7.664517588016187E-3</v>
      </c>
      <c r="N21" s="288">
        <f>SUMIFS('MoDi Initiatives'!L:L,'MoDi Initiatives'!$E:$E,'Gap Analysis update'!$B21,'MoDi Initiatives'!$A:$A,'Gap Analysis update'!$A21,'MoDi Initiatives'!$B:$B,'Gap Analysis update'!N$2)-SUMIFS('MoDi Initiatives'!L:L,'MoDi Initiatives'!$E:$E,'Gap Analysis update'!$B21,'MoDi Initiatives'!$A:$A,'Gap Analysis update'!$A21,'MoDi Initiatives'!$C:$C,'Gap Analysis update'!$B$7,'MoDi Initiatives'!$B:$B,'Gap Analysis update'!N$2)</f>
        <v>0</v>
      </c>
      <c r="O21" s="288">
        <f>SUMIFS('MoDi Initiatives'!M:M,'MoDi Initiatives'!$E:$E,'Gap Analysis update'!$B21,'MoDi Initiatives'!$A:$A,'Gap Analysis update'!$A21,'MoDi Initiatives'!$B:$B,'Gap Analysis update'!O$2)-SUMIFS('MoDi Initiatives'!M:M,'MoDi Initiatives'!$E:$E,'Gap Analysis update'!$B21,'MoDi Initiatives'!$A:$A,'Gap Analysis update'!$A21,'MoDi Initiatives'!$C:$C,'Gap Analysis update'!$B$7,'MoDi Initiatives'!$B:$B,'Gap Analysis update'!O$2)</f>
        <v>0</v>
      </c>
      <c r="P21" s="288">
        <f>SUMIFS('MoDi Initiatives'!N:N,'MoDi Initiatives'!$E:$E,'Gap Analysis update'!$B21,'MoDi Initiatives'!$A:$A,'Gap Analysis update'!$A21,'MoDi Initiatives'!$B:$B,'Gap Analysis update'!P$2)-SUMIFS('MoDi Initiatives'!N:N,'MoDi Initiatives'!$E:$E,'Gap Analysis update'!$B21,'MoDi Initiatives'!$A:$A,'Gap Analysis update'!$A21,'MoDi Initiatives'!$C:$C,'Gap Analysis update'!$B$7,'MoDi Initiatives'!$B:$B,'Gap Analysis update'!P$2)</f>
        <v>0</v>
      </c>
      <c r="Q21" s="288">
        <f>SUMIFS('MoDi Initiatives'!O:O,'MoDi Initiatives'!$E:$E,'Gap Analysis update'!$B21,'MoDi Initiatives'!$A:$A,'Gap Analysis update'!$A21,'MoDi Initiatives'!$B:$B,'Gap Analysis update'!Q$2)-SUMIFS('MoDi Initiatives'!O:O,'MoDi Initiatives'!$E:$E,'Gap Analysis update'!$B21,'MoDi Initiatives'!$A:$A,'Gap Analysis update'!$A21,'MoDi Initiatives'!$C:$C,'Gap Analysis update'!$B$7,'MoDi Initiatives'!$B:$B,'Gap Analysis update'!Q$2)</f>
        <v>0</v>
      </c>
      <c r="R21" s="288">
        <f>SUMIFS('MoDi Initiatives'!P:P,'MoDi Initiatives'!$E:$E,'Gap Analysis update'!$B21,'MoDi Initiatives'!$A:$A,'Gap Analysis update'!$A21,'MoDi Initiatives'!$B:$B,'Gap Analysis update'!R$2)-SUMIFS('MoDi Initiatives'!P:P,'MoDi Initiatives'!$E:$E,'Gap Analysis update'!$B21,'MoDi Initiatives'!$A:$A,'Gap Analysis update'!$A21,'MoDi Initiatives'!$C:$C,'Gap Analysis update'!$B$7,'MoDi Initiatives'!$B:$B,'Gap Analysis update'!R$2)</f>
        <v>0</v>
      </c>
      <c r="S21" s="288">
        <f>SUMIFS('MoDi Initiatives'!Q:Q,'MoDi Initiatives'!$E:$E,'Gap Analysis update'!$B21,'MoDi Initiatives'!$A:$A,'Gap Analysis update'!$A21,'MoDi Initiatives'!$B:$B,'Gap Analysis update'!S$2)-SUMIFS('MoDi Initiatives'!Q:Q,'MoDi Initiatives'!$E:$E,'Gap Analysis update'!$B21,'MoDi Initiatives'!$A:$A,'Gap Analysis update'!$A21,'MoDi Initiatives'!$C:$C,'Gap Analysis update'!$B$7,'MoDi Initiatives'!$B:$B,'Gap Analysis update'!S$2)</f>
        <v>0</v>
      </c>
      <c r="T21" s="288">
        <f>SUMIFS('MoDi Initiatives'!R:R,'MoDi Initiatives'!$E:$E,'Gap Analysis update'!$B21,'MoDi Initiatives'!$A:$A,'Gap Analysis update'!$A21,'MoDi Initiatives'!$B:$B,'Gap Analysis update'!T$2)-SUMIFS('MoDi Initiatives'!R:R,'MoDi Initiatives'!$E:$E,'Gap Analysis update'!$B21,'MoDi Initiatives'!$A:$A,'Gap Analysis update'!$A21,'MoDi Initiatives'!$C:$C,'Gap Analysis update'!$B$7,'MoDi Initiatives'!$B:$B,'Gap Analysis update'!T$2)</f>
        <v>0</v>
      </c>
      <c r="U21" s="288">
        <f>SUMIFS('MoDi Initiatives'!S:S,'MoDi Initiatives'!$E:$E,'Gap Analysis update'!$B21,'MoDi Initiatives'!$A:$A,'Gap Analysis update'!$A21,'MoDi Initiatives'!$B:$B,'Gap Analysis update'!U$2)-SUMIFS('MoDi Initiatives'!S:S,'MoDi Initiatives'!$E:$E,'Gap Analysis update'!$B21,'MoDi Initiatives'!$A:$A,'Gap Analysis update'!$A21,'MoDi Initiatives'!$C:$C,'Gap Analysis update'!$B$7,'MoDi Initiatives'!$B:$B,'Gap Analysis update'!U$2)</f>
        <v>-7.664517588016187E-3</v>
      </c>
      <c r="V21" s="288">
        <f>SUMIFS('MoDi Initiatives'!T:T,'MoDi Initiatives'!$E:$E,'Gap Analysis update'!$B21,'MoDi Initiatives'!$A:$A,'Gap Analysis update'!$A21,'MoDi Initiatives'!$B:$B,'Gap Analysis update'!V$2)-SUMIFS('MoDi Initiatives'!T:T,'MoDi Initiatives'!$E:$E,'Gap Analysis update'!$B21,'MoDi Initiatives'!$A:$A,'Gap Analysis update'!$A21,'MoDi Initiatives'!$C:$C,'Gap Analysis update'!$B$7,'MoDi Initiatives'!$B:$B,'Gap Analysis update'!V$2)</f>
        <v>0</v>
      </c>
      <c r="W21" s="288">
        <f>SUMIFS('MoDi Initiatives'!U:U,'MoDi Initiatives'!$E:$E,'Gap Analysis update'!$B21,'MoDi Initiatives'!$A:$A,'Gap Analysis update'!$A21,'MoDi Initiatives'!$B:$B,'Gap Analysis update'!W$2)-SUMIFS('MoDi Initiatives'!U:U,'MoDi Initiatives'!$E:$E,'Gap Analysis update'!$B21,'MoDi Initiatives'!$A:$A,'Gap Analysis update'!$A21,'MoDi Initiatives'!$C:$C,'Gap Analysis update'!$B$7,'MoDi Initiatives'!$B:$B,'Gap Analysis update'!W$2)</f>
        <v>0</v>
      </c>
      <c r="X21" s="288">
        <f>SUMIFS('MoDi Initiatives'!V:V,'MoDi Initiatives'!$E:$E,'Gap Analysis update'!$B21,'MoDi Initiatives'!$A:$A,'Gap Analysis update'!$A21,'MoDi Initiatives'!$B:$B,'Gap Analysis update'!X$2)-SUMIFS('MoDi Initiatives'!V:V,'MoDi Initiatives'!$E:$E,'Gap Analysis update'!$B21,'MoDi Initiatives'!$A:$A,'Gap Analysis update'!$A21,'MoDi Initiatives'!$C:$C,'Gap Analysis update'!$B$7,'MoDi Initiatives'!$B:$B,'Gap Analysis update'!X$2)</f>
        <v>0</v>
      </c>
      <c r="Y21" s="288">
        <f>SUMIFS('MoDi Initiatives'!W:W,'MoDi Initiatives'!$E:$E,'Gap Analysis update'!$B21,'MoDi Initiatives'!$A:$A,'Gap Analysis update'!$A21,'MoDi Initiatives'!$B:$B,'Gap Analysis update'!Y$2)-SUMIFS('MoDi Initiatives'!W:W,'MoDi Initiatives'!$E:$E,'Gap Analysis update'!$B21,'MoDi Initiatives'!$A:$A,'Gap Analysis update'!$A21,'MoDi Initiatives'!$C:$C,'Gap Analysis update'!$B$7,'MoDi Initiatives'!$B:$B,'Gap Analysis update'!Y$2)</f>
        <v>0</v>
      </c>
      <c r="Z21" s="293"/>
      <c r="AB21" s="298">
        <f>SUMIFS('MoDi Initiatives'!H:H,'MoDi Initiatives'!$E:$E,'Gap Analysis update'!$B21,'MoDi Initiatives'!$A:$A,'Gap Analysis update'!$A21,'MoDi Initiatives'!$B:$B,'Gap Analysis update'!AB$2)-SUMIFS('MoDi Initiatives'!H:H,'MoDi Initiatives'!$E:$E,'Gap Analysis update'!$B21,'MoDi Initiatives'!$A:$A,'Gap Analysis update'!$A21,'MoDi Initiatives'!$B:$B,'Gap Analysis update'!AB$2,'MoDi Initiatives'!$C:$C,'Gap Analysis update'!$B$7)</f>
        <v>0</v>
      </c>
      <c r="AC21" s="298">
        <f>SUMIFS('MoDi Initiatives'!I:I,'MoDi Initiatives'!$E:$E,'Gap Analysis update'!$B21,'MoDi Initiatives'!$A:$A,'Gap Analysis update'!$A21,'MoDi Initiatives'!$B:$B,'Gap Analysis update'!AC$2)-SUMIFS('MoDi Initiatives'!I:I,'MoDi Initiatives'!$E:$E,'Gap Analysis update'!$B21,'MoDi Initiatives'!$A:$A,'Gap Analysis update'!$A21,'MoDi Initiatives'!$B:$B,'Gap Analysis update'!AC$2,'MoDi Initiatives'!$C:$C,'Gap Analysis update'!$B$7)</f>
        <v>0</v>
      </c>
      <c r="AD21" s="299">
        <f>SUMIFS('MoDi Initiatives'!J:J,'MoDi Initiatives'!$E:$E,'Gap Analysis update'!$B21,'MoDi Initiatives'!$A:$A,'Gap Analysis update'!$A21,'MoDi Initiatives'!$B:$B,'Gap Analysis update'!AD$2)-SUMIFS('MoDi Initiatives'!J:J,'MoDi Initiatives'!$E:$E,'Gap Analysis update'!$B21,'MoDi Initiatives'!$A:$A,'Gap Analysis update'!$A21,'MoDi Initiatives'!$B:$B,'Gap Analysis update'!AD$2,'MoDi Initiatives'!$C:$C,'Gap Analysis update'!$B$7)</f>
        <v>-7.6105652040609787E-3</v>
      </c>
      <c r="AE21" s="298">
        <f>SUMIFS('MoDi Initiatives'!K:K,'MoDi Initiatives'!$E:$E,'Gap Analysis update'!$B21,'MoDi Initiatives'!$A:$A,'Gap Analysis update'!$A21,'MoDi Initiatives'!$B:$B,'Gap Analysis update'!AE$2)-SUMIFS('MoDi Initiatives'!K:K,'MoDi Initiatives'!$E:$E,'Gap Analysis update'!$B21,'MoDi Initiatives'!$A:$A,'Gap Analysis update'!$A21,'MoDi Initiatives'!$B:$B,'Gap Analysis update'!AE$2,'MoDi Initiatives'!$C:$C,'Gap Analysis update'!$B$7)</f>
        <v>0</v>
      </c>
      <c r="AF21" s="298">
        <f>SUMIFS('MoDi Initiatives'!L:L,'MoDi Initiatives'!$E:$E,'Gap Analysis update'!$B21,'MoDi Initiatives'!$A:$A,'Gap Analysis update'!$A21,'MoDi Initiatives'!$B:$B,'Gap Analysis update'!AF$2)-SUMIFS('MoDi Initiatives'!L:L,'MoDi Initiatives'!$E:$E,'Gap Analysis update'!$B21,'MoDi Initiatives'!$A:$A,'Gap Analysis update'!$A21,'MoDi Initiatives'!$B:$B,'Gap Analysis update'!AF$2,'MoDi Initiatives'!$C:$C,'Gap Analysis update'!$B$7)</f>
        <v>0</v>
      </c>
      <c r="AG21" s="298">
        <f>SUMIFS('MoDi Initiatives'!M:M,'MoDi Initiatives'!$E:$E,'Gap Analysis update'!$B21,'MoDi Initiatives'!$A:$A,'Gap Analysis update'!$A21,'MoDi Initiatives'!$B:$B,'Gap Analysis update'!AG$2)-SUMIFS('MoDi Initiatives'!M:M,'MoDi Initiatives'!$E:$E,'Gap Analysis update'!$B21,'MoDi Initiatives'!$A:$A,'Gap Analysis update'!$A21,'MoDi Initiatives'!$B:$B,'Gap Analysis update'!AG$2,'MoDi Initiatives'!$C:$C,'Gap Analysis update'!$B$7)</f>
        <v>0</v>
      </c>
      <c r="AH21" s="298">
        <f>SUMIFS('MoDi Initiatives'!N:N,'MoDi Initiatives'!$E:$E,'Gap Analysis update'!$B21,'MoDi Initiatives'!$A:$A,'Gap Analysis update'!$A21,'MoDi Initiatives'!$B:$B,'Gap Analysis update'!AH$2)-SUMIFS('MoDi Initiatives'!N:N,'MoDi Initiatives'!$E:$E,'Gap Analysis update'!$B21,'MoDi Initiatives'!$A:$A,'Gap Analysis update'!$A21,'MoDi Initiatives'!$B:$B,'Gap Analysis update'!AH$2,'MoDi Initiatives'!$C:$C,'Gap Analysis update'!$B$7)</f>
        <v>0</v>
      </c>
      <c r="AI21" s="298">
        <f>SUMIFS('MoDi Initiatives'!O:O,'MoDi Initiatives'!$E:$E,'Gap Analysis update'!$B21,'MoDi Initiatives'!$A:$A,'Gap Analysis update'!$A21,'MoDi Initiatives'!$B:$B,'Gap Analysis update'!AI$2)-SUMIFS('MoDi Initiatives'!O:O,'MoDi Initiatives'!$E:$E,'Gap Analysis update'!$B21,'MoDi Initiatives'!$A:$A,'Gap Analysis update'!$A21,'MoDi Initiatives'!$B:$B,'Gap Analysis update'!AI$2,'MoDi Initiatives'!$C:$C,'Gap Analysis update'!$B$7)</f>
        <v>0</v>
      </c>
      <c r="AJ21" s="298">
        <f>SUMIFS('MoDi Initiatives'!P:P,'MoDi Initiatives'!$E:$E,'Gap Analysis update'!$B21,'MoDi Initiatives'!$A:$A,'Gap Analysis update'!$A21,'MoDi Initiatives'!$B:$B,'Gap Analysis update'!AJ$2)-SUMIFS('MoDi Initiatives'!P:P,'MoDi Initiatives'!$E:$E,'Gap Analysis update'!$B21,'MoDi Initiatives'!$A:$A,'Gap Analysis update'!$A21,'MoDi Initiatives'!$B:$B,'Gap Analysis update'!AJ$2,'MoDi Initiatives'!$C:$C,'Gap Analysis update'!$B$7)</f>
        <v>0</v>
      </c>
      <c r="AK21" s="298">
        <f>SUMIFS('MoDi Initiatives'!Q:Q,'MoDi Initiatives'!$E:$E,'Gap Analysis update'!$B21,'MoDi Initiatives'!$A:$A,'Gap Analysis update'!$A21,'MoDi Initiatives'!$B:$B,'Gap Analysis update'!AK$2)-SUMIFS('MoDi Initiatives'!Q:Q,'MoDi Initiatives'!$E:$E,'Gap Analysis update'!$B21,'MoDi Initiatives'!$A:$A,'Gap Analysis update'!$A21,'MoDi Initiatives'!$B:$B,'Gap Analysis update'!AK$2,'MoDi Initiatives'!$C:$C,'Gap Analysis update'!$B$7)</f>
        <v>0</v>
      </c>
      <c r="AL21" s="298">
        <f>SUMIFS('MoDi Initiatives'!R:R,'MoDi Initiatives'!$E:$E,'Gap Analysis update'!$B21,'MoDi Initiatives'!$A:$A,'Gap Analysis update'!$A21,'MoDi Initiatives'!$B:$B,'Gap Analysis update'!AL$2)-SUMIFS('MoDi Initiatives'!R:R,'MoDi Initiatives'!$E:$E,'Gap Analysis update'!$B21,'MoDi Initiatives'!$A:$A,'Gap Analysis update'!$A21,'MoDi Initiatives'!$B:$B,'Gap Analysis update'!AL$2,'MoDi Initiatives'!$C:$C,'Gap Analysis update'!$B$7)</f>
        <v>-7.664517588016187E-3</v>
      </c>
      <c r="AM21" s="299">
        <f>SUMIFS('MoDi Initiatives'!S:S,'MoDi Initiatives'!$E:$E,'Gap Analysis update'!$B21,'MoDi Initiatives'!$A:$A,'Gap Analysis update'!$A21,'MoDi Initiatives'!$B:$B,'Gap Analysis update'!AM$2)-SUMIFS('MoDi Initiatives'!S:S,'MoDi Initiatives'!$E:$E,'Gap Analysis update'!$B21,'MoDi Initiatives'!$A:$A,'Gap Analysis update'!$A21,'MoDi Initiatives'!$B:$B,'Gap Analysis update'!AM$2,'MoDi Initiatives'!$C:$C,'Gap Analysis update'!$B$7)</f>
        <v>0</v>
      </c>
      <c r="AN21" s="298">
        <f>SUMIFS('MoDi Initiatives'!T:T,'MoDi Initiatives'!$E:$E,'Gap Analysis update'!$B21,'MoDi Initiatives'!$A:$A,'Gap Analysis update'!$A21,'MoDi Initiatives'!$B:$B,'Gap Analysis update'!AN$2)-SUMIFS('MoDi Initiatives'!T:T,'MoDi Initiatives'!$E:$E,'Gap Analysis update'!$B21,'MoDi Initiatives'!$A:$A,'Gap Analysis update'!$A21,'MoDi Initiatives'!$B:$B,'Gap Analysis update'!AN$2,'MoDi Initiatives'!$C:$C,'Gap Analysis update'!$B$7)</f>
        <v>0</v>
      </c>
      <c r="AO21" s="298">
        <f>SUMIFS('MoDi Initiatives'!U:U,'MoDi Initiatives'!$E:$E,'Gap Analysis update'!$B21,'MoDi Initiatives'!$A:$A,'Gap Analysis update'!$A21,'MoDi Initiatives'!$B:$B,'Gap Analysis update'!AO$2)-SUMIFS('MoDi Initiatives'!U:U,'MoDi Initiatives'!$E:$E,'Gap Analysis update'!$B21,'MoDi Initiatives'!$A:$A,'Gap Analysis update'!$A21,'MoDi Initiatives'!$B:$B,'Gap Analysis update'!AO$2,'MoDi Initiatives'!$C:$C,'Gap Analysis update'!$B$7)</f>
        <v>0</v>
      </c>
      <c r="AP21" s="298">
        <f>SUMIFS('MoDi Initiatives'!V:V,'MoDi Initiatives'!$E:$E,'Gap Analysis update'!$B21,'MoDi Initiatives'!$A:$A,'Gap Analysis update'!$A21,'MoDi Initiatives'!$B:$B,'Gap Analysis update'!AP$2)-SUMIFS('MoDi Initiatives'!V:V,'MoDi Initiatives'!$E:$E,'Gap Analysis update'!$B21,'MoDi Initiatives'!$A:$A,'Gap Analysis update'!$A21,'MoDi Initiatives'!$B:$B,'Gap Analysis update'!AP$2,'MoDi Initiatives'!$C:$C,'Gap Analysis update'!$B$7)</f>
        <v>0</v>
      </c>
      <c r="AQ21" s="298">
        <f>SUMIFS('MoDi Initiatives'!W:W,'MoDi Initiatives'!$E:$E,'Gap Analysis update'!$B21,'MoDi Initiatives'!$A:$A,'Gap Analysis update'!$A21,'MoDi Initiatives'!$B:$B,'Gap Analysis update'!AQ$2)-SUMIFS('MoDi Initiatives'!W:W,'MoDi Initiatives'!$E:$E,'Gap Analysis update'!$B21,'MoDi Initiatives'!$A:$A,'Gap Analysis update'!$A21,'MoDi Initiatives'!$B:$B,'Gap Analysis update'!AQ$2,'MoDi Initiatives'!$C:$C,'Gap Analysis update'!$B$7)</f>
        <v>0</v>
      </c>
      <c r="AR21" s="293"/>
      <c r="AT21" s="298">
        <f t="shared" si="9"/>
        <v>0</v>
      </c>
      <c r="AU21" s="298">
        <f t="shared" si="9"/>
        <v>0</v>
      </c>
      <c r="AV21" s="298">
        <f t="shared" si="9"/>
        <v>-7.6105652040609787E-3</v>
      </c>
      <c r="AW21" s="298">
        <f t="shared" si="9"/>
        <v>7.664517588016187E-3</v>
      </c>
      <c r="AX21" s="298">
        <f t="shared" si="9"/>
        <v>0</v>
      </c>
      <c r="AY21" s="298">
        <f t="shared" si="9"/>
        <v>0</v>
      </c>
      <c r="AZ21" s="298">
        <f t="shared" si="9"/>
        <v>0</v>
      </c>
      <c r="BA21" s="298">
        <f t="shared" si="9"/>
        <v>0</v>
      </c>
      <c r="BB21" s="298">
        <f t="shared" si="9"/>
        <v>0</v>
      </c>
      <c r="BC21" s="298">
        <f t="shared" si="9"/>
        <v>0</v>
      </c>
      <c r="BD21" s="298">
        <f t="shared" si="9"/>
        <v>-7.664517588016187E-3</v>
      </c>
      <c r="BE21" s="298">
        <f t="shared" si="9"/>
        <v>7.664517588016187E-3</v>
      </c>
      <c r="BF21" s="298">
        <f t="shared" si="9"/>
        <v>0</v>
      </c>
      <c r="BG21" s="298">
        <f t="shared" si="9"/>
        <v>0</v>
      </c>
      <c r="BH21" s="298">
        <f t="shared" si="9"/>
        <v>0</v>
      </c>
      <c r="BI21" s="298">
        <f t="shared" si="9"/>
        <v>0</v>
      </c>
      <c r="BJ21" s="293"/>
      <c r="BK21" s="288"/>
      <c r="BL21" s="288"/>
      <c r="BM21" s="288"/>
      <c r="BN21" s="288"/>
      <c r="BO21" s="288"/>
      <c r="BP21" s="288"/>
      <c r="BQ21" s="288"/>
      <c r="BR21" s="288"/>
      <c r="BS21" s="288"/>
      <c r="BT21" s="288"/>
      <c r="BU21" s="288"/>
      <c r="BV21" s="288"/>
      <c r="BW21" s="288"/>
      <c r="BX21" s="288"/>
      <c r="BY21" s="288"/>
      <c r="BZ21" s="288"/>
      <c r="CA21" s="288"/>
      <c r="CB21" s="288"/>
    </row>
    <row r="22" spans="1:80" s="298" customFormat="1" ht="26">
      <c r="A22" s="296" t="s">
        <v>64</v>
      </c>
      <c r="B22" s="287" t="s">
        <v>58</v>
      </c>
      <c r="C22" s="288">
        <f t="shared" si="15"/>
        <v>-4.3873617254911628E-4</v>
      </c>
      <c r="D22" s="289">
        <f t="shared" si="16"/>
        <v>2.1282510337647213E-5</v>
      </c>
      <c r="E22" s="289">
        <f t="shared" si="8"/>
        <v>-4.1745366221146907E-4</v>
      </c>
      <c r="F22" s="286" t="s">
        <v>79</v>
      </c>
      <c r="G22" s="286"/>
      <c r="H22" s="297"/>
      <c r="J22" s="288">
        <f>SUMIFS('MoDi Initiatives'!H:H,'MoDi Initiatives'!$E:$E,'Gap Analysis update'!$B22,'MoDi Initiatives'!$A:$A,'Gap Analysis update'!$A22,'MoDi Initiatives'!$B:$B,'Gap Analysis update'!J$2)-SUMIFS('MoDi Initiatives'!H:H,'MoDi Initiatives'!$E:$E,'Gap Analysis update'!$B22,'MoDi Initiatives'!$A:$A,'Gap Analysis update'!$A22,'MoDi Initiatives'!$C:$C,'Gap Analysis update'!$B$7,'MoDi Initiatives'!$B:$B,'Gap Analysis update'!J$2)</f>
        <v>0</v>
      </c>
      <c r="K22" s="288">
        <f>SUMIFS('MoDi Initiatives'!I:I,'MoDi Initiatives'!$E:$E,'Gap Analysis update'!$B22,'MoDi Initiatives'!$A:$A,'Gap Analysis update'!$A22,'MoDi Initiatives'!$B:$B,'Gap Analysis update'!K$2)-SUMIFS('MoDi Initiatives'!I:I,'MoDi Initiatives'!$E:$E,'Gap Analysis update'!$B22,'MoDi Initiatives'!$A:$A,'Gap Analysis update'!$A22,'MoDi Initiatives'!$C:$C,'Gap Analysis update'!$B$7,'MoDi Initiatives'!$B:$B,'Gap Analysis update'!K$2)</f>
        <v>0</v>
      </c>
      <c r="L22" s="288">
        <f>SUMIFS('MoDi Initiatives'!J:J,'MoDi Initiatives'!$E:$E,'Gap Analysis update'!$B22,'MoDi Initiatives'!$A:$A,'Gap Analysis update'!$A22,'MoDi Initiatives'!$B:$B,'Gap Analysis update'!L$2)-SUMIFS('MoDi Initiatives'!J:J,'MoDi Initiatives'!$E:$E,'Gap Analysis update'!$B22,'MoDi Initiatives'!$A:$A,'Gap Analysis update'!$A22,'MoDi Initiatives'!$C:$C,'Gap Analysis update'!$B$7,'MoDi Initiatives'!$B:$B,'Gap Analysis update'!L$2)</f>
        <v>0</v>
      </c>
      <c r="M22" s="288">
        <f>SUMIFS('MoDi Initiatives'!K:K,'MoDi Initiatives'!$E:$E,'Gap Analysis update'!$B22,'MoDi Initiatives'!$A:$A,'Gap Analysis update'!$A22,'MoDi Initiatives'!$B:$B,'Gap Analysis update'!M$2)-SUMIFS('MoDi Initiatives'!K:K,'MoDi Initiatives'!$E:$E,'Gap Analysis update'!$B22,'MoDi Initiatives'!$A:$A,'Gap Analysis update'!$A22,'MoDi Initiatives'!$C:$C,'Gap Analysis update'!$B$7,'MoDi Initiatives'!$B:$B,'Gap Analysis update'!M$2)</f>
        <v>0</v>
      </c>
      <c r="N22" s="288">
        <f>SUMIFS('MoDi Initiatives'!L:L,'MoDi Initiatives'!$E:$E,'Gap Analysis update'!$B22,'MoDi Initiatives'!$A:$A,'Gap Analysis update'!$A22,'MoDi Initiatives'!$B:$B,'Gap Analysis update'!N$2)-SUMIFS('MoDi Initiatives'!L:L,'MoDi Initiatives'!$E:$E,'Gap Analysis update'!$B22,'MoDi Initiatives'!$A:$A,'Gap Analysis update'!$A22,'MoDi Initiatives'!$C:$C,'Gap Analysis update'!$B$7,'MoDi Initiatives'!$B:$B,'Gap Analysis update'!N$2)</f>
        <v>0</v>
      </c>
      <c r="O22" s="288">
        <f>SUMIFS('MoDi Initiatives'!M:M,'MoDi Initiatives'!$E:$E,'Gap Analysis update'!$B22,'MoDi Initiatives'!$A:$A,'Gap Analysis update'!$A22,'MoDi Initiatives'!$B:$B,'Gap Analysis update'!O$2)-SUMIFS('MoDi Initiatives'!M:M,'MoDi Initiatives'!$E:$E,'Gap Analysis update'!$B22,'MoDi Initiatives'!$A:$A,'Gap Analysis update'!$A22,'MoDi Initiatives'!$C:$C,'Gap Analysis update'!$B$7,'MoDi Initiatives'!$B:$B,'Gap Analysis update'!O$2)</f>
        <v>0</v>
      </c>
      <c r="P22" s="288">
        <f>SUMIFS('MoDi Initiatives'!N:N,'MoDi Initiatives'!$E:$E,'Gap Analysis update'!$B22,'MoDi Initiatives'!$A:$A,'Gap Analysis update'!$A22,'MoDi Initiatives'!$B:$B,'Gap Analysis update'!P$2)-SUMIFS('MoDi Initiatives'!N:N,'MoDi Initiatives'!$E:$E,'Gap Analysis update'!$B22,'MoDi Initiatives'!$A:$A,'Gap Analysis update'!$A22,'MoDi Initiatives'!$C:$C,'Gap Analysis update'!$B$7,'MoDi Initiatives'!$B:$B,'Gap Analysis update'!P$2)</f>
        <v>0</v>
      </c>
      <c r="Q22" s="288">
        <f>SUMIFS('MoDi Initiatives'!O:O,'MoDi Initiatives'!$E:$E,'Gap Analysis update'!$B22,'MoDi Initiatives'!$A:$A,'Gap Analysis update'!$A22,'MoDi Initiatives'!$B:$B,'Gap Analysis update'!Q$2)-SUMIFS('MoDi Initiatives'!O:O,'MoDi Initiatives'!$E:$E,'Gap Analysis update'!$B22,'MoDi Initiatives'!$A:$A,'Gap Analysis update'!$A22,'MoDi Initiatives'!$C:$C,'Gap Analysis update'!$B$7,'MoDi Initiatives'!$B:$B,'Gap Analysis update'!Q$2)</f>
        <v>0</v>
      </c>
      <c r="R22" s="288">
        <f>SUMIFS('MoDi Initiatives'!P:P,'MoDi Initiatives'!$E:$E,'Gap Analysis update'!$B22,'MoDi Initiatives'!$A:$A,'Gap Analysis update'!$A22,'MoDi Initiatives'!$B:$B,'Gap Analysis update'!R$2)-SUMIFS('MoDi Initiatives'!P:P,'MoDi Initiatives'!$E:$E,'Gap Analysis update'!$B22,'MoDi Initiatives'!$A:$A,'Gap Analysis update'!$A22,'MoDi Initiatives'!$C:$C,'Gap Analysis update'!$B$7,'MoDi Initiatives'!$B:$B,'Gap Analysis update'!R$2)</f>
        <v>0</v>
      </c>
      <c r="S22" s="288">
        <f>SUMIFS('MoDi Initiatives'!Q:Q,'MoDi Initiatives'!$E:$E,'Gap Analysis update'!$B22,'MoDi Initiatives'!$A:$A,'Gap Analysis update'!$A22,'MoDi Initiatives'!$B:$B,'Gap Analysis update'!S$2)-SUMIFS('MoDi Initiatives'!Q:Q,'MoDi Initiatives'!$E:$E,'Gap Analysis update'!$B22,'MoDi Initiatives'!$A:$A,'Gap Analysis update'!$A22,'MoDi Initiatives'!$C:$C,'Gap Analysis update'!$B$7,'MoDi Initiatives'!$B:$B,'Gap Analysis update'!S$2)</f>
        <v>0</v>
      </c>
      <c r="T22" s="288">
        <f>SUMIFS('MoDi Initiatives'!R:R,'MoDi Initiatives'!$E:$E,'Gap Analysis update'!$B22,'MoDi Initiatives'!$A:$A,'Gap Analysis update'!$A22,'MoDi Initiatives'!$B:$B,'Gap Analysis update'!T$2)-SUMIFS('MoDi Initiatives'!R:R,'MoDi Initiatives'!$E:$E,'Gap Analysis update'!$B22,'MoDi Initiatives'!$A:$A,'Gap Analysis update'!$A22,'MoDi Initiatives'!$C:$C,'Gap Analysis update'!$B$7,'MoDi Initiatives'!$B:$B,'Gap Analysis update'!T$2)</f>
        <v>0</v>
      </c>
      <c r="U22" s="288">
        <f>SUMIFS('MoDi Initiatives'!S:S,'MoDi Initiatives'!$E:$E,'Gap Analysis update'!$B22,'MoDi Initiatives'!$A:$A,'Gap Analysis update'!$A22,'MoDi Initiatives'!$B:$B,'Gap Analysis update'!U$2)-SUMIFS('MoDi Initiatives'!S:S,'MoDi Initiatives'!$E:$E,'Gap Analysis update'!$B22,'MoDi Initiatives'!$A:$A,'Gap Analysis update'!$A22,'MoDi Initiatives'!$C:$C,'Gap Analysis update'!$B$7,'MoDi Initiatives'!$B:$B,'Gap Analysis update'!U$2)</f>
        <v>0</v>
      </c>
      <c r="V22" s="288">
        <f>SUMIFS('MoDi Initiatives'!T:T,'MoDi Initiatives'!$E:$E,'Gap Analysis update'!$B22,'MoDi Initiatives'!$A:$A,'Gap Analysis update'!$A22,'MoDi Initiatives'!$B:$B,'Gap Analysis update'!V$2)-SUMIFS('MoDi Initiatives'!T:T,'MoDi Initiatives'!$E:$E,'Gap Analysis update'!$B22,'MoDi Initiatives'!$A:$A,'Gap Analysis update'!$A22,'MoDi Initiatives'!$C:$C,'Gap Analysis update'!$B$7,'MoDi Initiatives'!$B:$B,'Gap Analysis update'!V$2)</f>
        <v>0</v>
      </c>
      <c r="W22" s="288">
        <f>SUMIFS('MoDi Initiatives'!U:U,'MoDi Initiatives'!$E:$E,'Gap Analysis update'!$B22,'MoDi Initiatives'!$A:$A,'Gap Analysis update'!$A22,'MoDi Initiatives'!$B:$B,'Gap Analysis update'!W$2)-SUMIFS('MoDi Initiatives'!U:U,'MoDi Initiatives'!$E:$E,'Gap Analysis update'!$B22,'MoDi Initiatives'!$A:$A,'Gap Analysis update'!$A22,'MoDi Initiatives'!$C:$C,'Gap Analysis update'!$B$7,'MoDi Initiatives'!$B:$B,'Gap Analysis update'!W$2)</f>
        <v>0</v>
      </c>
      <c r="X22" s="288">
        <f>SUMIFS('MoDi Initiatives'!V:V,'MoDi Initiatives'!$E:$E,'Gap Analysis update'!$B22,'MoDi Initiatives'!$A:$A,'Gap Analysis update'!$A22,'MoDi Initiatives'!$B:$B,'Gap Analysis update'!X$2)-SUMIFS('MoDi Initiatives'!V:V,'MoDi Initiatives'!$E:$E,'Gap Analysis update'!$B22,'MoDi Initiatives'!$A:$A,'Gap Analysis update'!$A22,'MoDi Initiatives'!$C:$C,'Gap Analysis update'!$B$7,'MoDi Initiatives'!$B:$B,'Gap Analysis update'!X$2)</f>
        <v>0</v>
      </c>
      <c r="Y22" s="288">
        <f>SUMIFS('MoDi Initiatives'!W:W,'MoDi Initiatives'!$E:$E,'Gap Analysis update'!$B22,'MoDi Initiatives'!$A:$A,'Gap Analysis update'!$A22,'MoDi Initiatives'!$B:$B,'Gap Analysis update'!Y$2)-SUMIFS('MoDi Initiatives'!W:W,'MoDi Initiatives'!$E:$E,'Gap Analysis update'!$B22,'MoDi Initiatives'!$A:$A,'Gap Analysis update'!$A22,'MoDi Initiatives'!$C:$C,'Gap Analysis update'!$B$7,'MoDi Initiatives'!$B:$B,'Gap Analysis update'!Y$2)</f>
        <v>0</v>
      </c>
      <c r="Z22" s="293"/>
      <c r="AB22" s="298">
        <f>SUMIFS('MoDi Initiatives'!H:H,'MoDi Initiatives'!$E:$E,'Gap Analysis update'!$B22,'MoDi Initiatives'!$A:$A,'Gap Analysis update'!$A22,'MoDi Initiatives'!$B:$B,'Gap Analysis update'!AB$2)-SUMIFS('MoDi Initiatives'!H:H,'MoDi Initiatives'!$E:$E,'Gap Analysis update'!$B22,'MoDi Initiatives'!$A:$A,'Gap Analysis update'!$A22,'MoDi Initiatives'!$B:$B,'Gap Analysis update'!AB$2,'MoDi Initiatives'!$C:$C,'Gap Analysis update'!$B$7)</f>
        <v>-4.1079656524320562E-5</v>
      </c>
      <c r="AC22" s="298">
        <f>SUMIFS('MoDi Initiatives'!I:I,'MoDi Initiatives'!$E:$E,'Gap Analysis update'!$B22,'MoDi Initiatives'!$A:$A,'Gap Analysis update'!$A22,'MoDi Initiatives'!$B:$B,'Gap Analysis update'!AC$2)-SUMIFS('MoDi Initiatives'!I:I,'MoDi Initiatives'!$E:$E,'Gap Analysis update'!$B22,'MoDi Initiatives'!$A:$A,'Gap Analysis update'!$A22,'MoDi Initiatives'!$B:$B,'Gap Analysis update'!AC$2,'MoDi Initiatives'!$C:$C,'Gap Analysis update'!$B$7)</f>
        <v>-1.3974302402873667E-6</v>
      </c>
      <c r="AD22" s="298">
        <f>SUMIFS('MoDi Initiatives'!J:J,'MoDi Initiatives'!$E:$E,'Gap Analysis update'!$B22,'MoDi Initiatives'!$A:$A,'Gap Analysis update'!$A22,'MoDi Initiatives'!$B:$B,'Gap Analysis update'!AD$2)-SUMIFS('MoDi Initiatives'!J:J,'MoDi Initiatives'!$E:$E,'Gap Analysis update'!$B22,'MoDi Initiatives'!$A:$A,'Gap Analysis update'!$A22,'MoDi Initiatives'!$B:$B,'Gap Analysis update'!AD$2,'MoDi Initiatives'!$C:$C,'Gap Analysis update'!$B$7)</f>
        <v>-1.3879539973949816E-4</v>
      </c>
      <c r="AE22" s="298">
        <f>SUMIFS('MoDi Initiatives'!K:K,'MoDi Initiatives'!$E:$E,'Gap Analysis update'!$B22,'MoDi Initiatives'!$A:$A,'Gap Analysis update'!$A22,'MoDi Initiatives'!$B:$B,'Gap Analysis update'!AE$2)-SUMIFS('MoDi Initiatives'!K:K,'MoDi Initiatives'!$E:$E,'Gap Analysis update'!$B22,'MoDi Initiatives'!$A:$A,'Gap Analysis update'!$A22,'MoDi Initiatives'!$B:$B,'Gap Analysis update'!AE$2,'MoDi Initiatives'!$C:$C,'Gap Analysis update'!$B$7)</f>
        <v>0</v>
      </c>
      <c r="AF22" s="298">
        <f>SUMIFS('MoDi Initiatives'!L:L,'MoDi Initiatives'!$E:$E,'Gap Analysis update'!$B22,'MoDi Initiatives'!$A:$A,'Gap Analysis update'!$A22,'MoDi Initiatives'!$B:$B,'Gap Analysis update'!AF$2)-SUMIFS('MoDi Initiatives'!L:L,'MoDi Initiatives'!$E:$E,'Gap Analysis update'!$B22,'MoDi Initiatives'!$A:$A,'Gap Analysis update'!$A22,'MoDi Initiatives'!$B:$B,'Gap Analysis update'!AF$2,'MoDi Initiatives'!$C:$C,'Gap Analysis update'!$B$7)</f>
        <v>0</v>
      </c>
      <c r="AG22" s="298">
        <f>SUMIFS('MoDi Initiatives'!M:M,'MoDi Initiatives'!$E:$E,'Gap Analysis update'!$B22,'MoDi Initiatives'!$A:$A,'Gap Analysis update'!$A22,'MoDi Initiatives'!$B:$B,'Gap Analysis update'!AG$2)-SUMIFS('MoDi Initiatives'!M:M,'MoDi Initiatives'!$E:$E,'Gap Analysis update'!$B22,'MoDi Initiatives'!$A:$A,'Gap Analysis update'!$A22,'MoDi Initiatives'!$B:$B,'Gap Analysis update'!AG$2,'MoDi Initiatives'!$C:$C,'Gap Analysis update'!$B$7)</f>
        <v>-1.8265273653543316E-5</v>
      </c>
      <c r="AH22" s="298">
        <f>SUMIFS('MoDi Initiatives'!N:N,'MoDi Initiatives'!$E:$E,'Gap Analysis update'!$B22,'MoDi Initiatives'!$A:$A,'Gap Analysis update'!$A22,'MoDi Initiatives'!$B:$B,'Gap Analysis update'!AH$2)-SUMIFS('MoDi Initiatives'!N:N,'MoDi Initiatives'!$E:$E,'Gap Analysis update'!$B22,'MoDi Initiatives'!$A:$A,'Gap Analysis update'!$A22,'MoDi Initiatives'!$B:$B,'Gap Analysis update'!AH$2,'MoDi Initiatives'!$C:$C,'Gap Analysis update'!$B$7)</f>
        <v>-1.0480400620152343E-4</v>
      </c>
      <c r="AI22" s="298">
        <f>SUMIFS('MoDi Initiatives'!O:O,'MoDi Initiatives'!$E:$E,'Gap Analysis update'!$B22,'MoDi Initiatives'!$A:$A,'Gap Analysis update'!$A22,'MoDi Initiatives'!$B:$B,'Gap Analysis update'!AI$2)-SUMIFS('MoDi Initiatives'!O:O,'MoDi Initiatives'!$E:$E,'Gap Analysis update'!$B22,'MoDi Initiatives'!$A:$A,'Gap Analysis update'!$A22,'MoDi Initiatives'!$B:$B,'Gap Analysis update'!AI$2,'MoDi Initiatives'!$C:$C,'Gap Analysis update'!$B$7)</f>
        <v>-1.3439440618994342E-4</v>
      </c>
      <c r="AJ22" s="288">
        <f>SUMIFS('MoDi Initiatives'!P:P,'MoDi Initiatives'!$E:$E,'Gap Analysis update'!$B22,'MoDi Initiatives'!$A:$A,'Gap Analysis update'!$A22,'MoDi Initiatives'!$B:$B,'Gap Analysis update'!AJ$2)-SUMIFS('MoDi Initiatives'!P:P,'MoDi Initiatives'!$E:$E,'Gap Analysis update'!$B22,'MoDi Initiatives'!$A:$A,'Gap Analysis update'!$A22,'MoDi Initiatives'!$B:$B,'Gap Analysis update'!AJ$2,'MoDi Initiatives'!$C:$C,'Gap Analysis update'!$B$7)</f>
        <v>2.1282510337647213E-5</v>
      </c>
      <c r="AK22" s="298">
        <f>SUMIFS('MoDi Initiatives'!Q:Q,'MoDi Initiatives'!$E:$E,'Gap Analysis update'!$B22,'MoDi Initiatives'!$A:$A,'Gap Analysis update'!$A22,'MoDi Initiatives'!$B:$B,'Gap Analysis update'!AK$2)-SUMIFS('MoDi Initiatives'!Q:Q,'MoDi Initiatives'!$E:$E,'Gap Analysis update'!$B22,'MoDi Initiatives'!$A:$A,'Gap Analysis update'!$A22,'MoDi Initiatives'!$B:$B,'Gap Analysis update'!AK$2,'MoDi Initiatives'!$C:$C,'Gap Analysis update'!$B$7)</f>
        <v>0</v>
      </c>
      <c r="AL22" s="298">
        <f>SUMIFS('MoDi Initiatives'!R:R,'MoDi Initiatives'!$E:$E,'Gap Analysis update'!$B22,'MoDi Initiatives'!$A:$A,'Gap Analysis update'!$A22,'MoDi Initiatives'!$B:$B,'Gap Analysis update'!AL$2)-SUMIFS('MoDi Initiatives'!R:R,'MoDi Initiatives'!$E:$E,'Gap Analysis update'!$B22,'MoDi Initiatives'!$A:$A,'Gap Analysis update'!$A22,'MoDi Initiatives'!$B:$B,'Gap Analysis update'!AL$2,'MoDi Initiatives'!$C:$C,'Gap Analysis update'!$B$7)</f>
        <v>0</v>
      </c>
      <c r="AM22" s="298">
        <f>SUMIFS('MoDi Initiatives'!S:S,'MoDi Initiatives'!$E:$E,'Gap Analysis update'!$B22,'MoDi Initiatives'!$A:$A,'Gap Analysis update'!$A22,'MoDi Initiatives'!$B:$B,'Gap Analysis update'!AM$2)-SUMIFS('MoDi Initiatives'!S:S,'MoDi Initiatives'!$E:$E,'Gap Analysis update'!$B22,'MoDi Initiatives'!$A:$A,'Gap Analysis update'!$A22,'MoDi Initiatives'!$B:$B,'Gap Analysis update'!AM$2,'MoDi Initiatives'!$C:$C,'Gap Analysis update'!$B$7)</f>
        <v>0</v>
      </c>
      <c r="AN22" s="298">
        <f>SUMIFS('MoDi Initiatives'!T:T,'MoDi Initiatives'!$E:$E,'Gap Analysis update'!$B22,'MoDi Initiatives'!$A:$A,'Gap Analysis update'!$A22,'MoDi Initiatives'!$B:$B,'Gap Analysis update'!AN$2)-SUMIFS('MoDi Initiatives'!T:T,'MoDi Initiatives'!$E:$E,'Gap Analysis update'!$B22,'MoDi Initiatives'!$A:$A,'Gap Analysis update'!$A22,'MoDi Initiatives'!$B:$B,'Gap Analysis update'!AN$2,'MoDi Initiatives'!$C:$C,'Gap Analysis update'!$B$7)</f>
        <v>0</v>
      </c>
      <c r="AO22" s="298">
        <f>SUMIFS('MoDi Initiatives'!U:U,'MoDi Initiatives'!$E:$E,'Gap Analysis update'!$B22,'MoDi Initiatives'!$A:$A,'Gap Analysis update'!$A22,'MoDi Initiatives'!$B:$B,'Gap Analysis update'!AO$2)-SUMIFS('MoDi Initiatives'!U:U,'MoDi Initiatives'!$E:$E,'Gap Analysis update'!$B22,'MoDi Initiatives'!$A:$A,'Gap Analysis update'!$A22,'MoDi Initiatives'!$B:$B,'Gap Analysis update'!AO$2,'MoDi Initiatives'!$C:$C,'Gap Analysis update'!$B$7)</f>
        <v>0</v>
      </c>
      <c r="AP22" s="298">
        <f>SUMIFS('MoDi Initiatives'!V:V,'MoDi Initiatives'!$E:$E,'Gap Analysis update'!$B22,'MoDi Initiatives'!$A:$A,'Gap Analysis update'!$A22,'MoDi Initiatives'!$B:$B,'Gap Analysis update'!AP$2)-SUMIFS('MoDi Initiatives'!V:V,'MoDi Initiatives'!$E:$E,'Gap Analysis update'!$B22,'MoDi Initiatives'!$A:$A,'Gap Analysis update'!$A22,'MoDi Initiatives'!$B:$B,'Gap Analysis update'!AP$2,'MoDi Initiatives'!$C:$C,'Gap Analysis update'!$B$7)</f>
        <v>0</v>
      </c>
      <c r="AQ22" s="298">
        <f>SUMIFS('MoDi Initiatives'!W:W,'MoDi Initiatives'!$E:$E,'Gap Analysis update'!$B22,'MoDi Initiatives'!$A:$A,'Gap Analysis update'!$A22,'MoDi Initiatives'!$B:$B,'Gap Analysis update'!AQ$2)-SUMIFS('MoDi Initiatives'!W:W,'MoDi Initiatives'!$E:$E,'Gap Analysis update'!$B22,'MoDi Initiatives'!$A:$A,'Gap Analysis update'!$A22,'MoDi Initiatives'!$B:$B,'Gap Analysis update'!AQ$2,'MoDi Initiatives'!$C:$C,'Gap Analysis update'!$B$7)</f>
        <v>0</v>
      </c>
      <c r="AR22" s="293"/>
      <c r="AT22" s="298">
        <f t="shared" si="9"/>
        <v>-4.1079656524320562E-5</v>
      </c>
      <c r="AU22" s="298">
        <f t="shared" si="9"/>
        <v>-1.3974302402873667E-6</v>
      </c>
      <c r="AV22" s="298">
        <f t="shared" si="9"/>
        <v>-1.3879539973949816E-4</v>
      </c>
      <c r="AW22" s="298">
        <f t="shared" si="9"/>
        <v>0</v>
      </c>
      <c r="AX22" s="298">
        <f t="shared" si="9"/>
        <v>0</v>
      </c>
      <c r="AY22" s="298">
        <f t="shared" si="9"/>
        <v>-1.8265273653543316E-5</v>
      </c>
      <c r="AZ22" s="298">
        <f t="shared" si="9"/>
        <v>-1.0480400620152343E-4</v>
      </c>
      <c r="BA22" s="298">
        <f t="shared" si="9"/>
        <v>-1.3439440618994342E-4</v>
      </c>
      <c r="BB22" s="298">
        <f t="shared" si="9"/>
        <v>2.1282510337647213E-5</v>
      </c>
      <c r="BC22" s="298">
        <f t="shared" si="9"/>
        <v>0</v>
      </c>
      <c r="BD22" s="298">
        <f t="shared" si="9"/>
        <v>0</v>
      </c>
      <c r="BE22" s="298">
        <f t="shared" si="9"/>
        <v>0</v>
      </c>
      <c r="BF22" s="298">
        <f t="shared" si="9"/>
        <v>0</v>
      </c>
      <c r="BG22" s="298">
        <f t="shared" si="9"/>
        <v>0</v>
      </c>
      <c r="BH22" s="298">
        <f t="shared" si="9"/>
        <v>0</v>
      </c>
      <c r="BI22" s="298">
        <f t="shared" si="9"/>
        <v>0</v>
      </c>
      <c r="BJ22" s="293"/>
      <c r="BK22" s="288"/>
      <c r="BL22" s="288" t="s">
        <v>80</v>
      </c>
      <c r="BM22" s="288" t="s">
        <v>62</v>
      </c>
      <c r="BN22" s="288" t="s">
        <v>62</v>
      </c>
      <c r="BO22" s="288"/>
      <c r="BP22" s="288" t="s">
        <v>22</v>
      </c>
      <c r="BQ22" s="288"/>
      <c r="BR22" s="288" t="s">
        <v>62</v>
      </c>
      <c r="BS22" s="288" t="s">
        <v>62</v>
      </c>
      <c r="BT22" s="288" t="s">
        <v>81</v>
      </c>
      <c r="BU22" s="288"/>
      <c r="BV22" s="288"/>
      <c r="BW22" s="288"/>
      <c r="BX22" s="288"/>
      <c r="BY22" s="288"/>
      <c r="BZ22" s="288"/>
      <c r="CA22" s="288"/>
      <c r="CB22" s="288"/>
    </row>
    <row r="23" spans="1:80" s="299" customFormat="1" ht="12" customHeight="1">
      <c r="A23" s="300" t="s">
        <v>82</v>
      </c>
      <c r="B23" s="275" t="s">
        <v>20</v>
      </c>
      <c r="C23" s="276">
        <f>AI23-Q23</f>
        <v>2.5478310374560387E-3</v>
      </c>
      <c r="D23" s="277">
        <f>AQ23-Y23-C23</f>
        <v>2.8107942644289841E-3</v>
      </c>
      <c r="E23" s="277">
        <f t="shared" si="8"/>
        <v>5.3586253018850227E-3</v>
      </c>
      <c r="F23" s="278"/>
      <c r="G23" s="278"/>
      <c r="H23" s="285"/>
      <c r="I23" s="276">
        <v>0.95806469850202469</v>
      </c>
      <c r="J23" s="280">
        <f>+I23+J24+J25</f>
        <v>0.95806469850202347</v>
      </c>
      <c r="K23" s="280">
        <f t="shared" ref="K23:Y23" si="17">+J23+K24+K25</f>
        <v>0.95806469850202358</v>
      </c>
      <c r="L23" s="280">
        <f t="shared" si="17"/>
        <v>0.95806469850202358</v>
      </c>
      <c r="M23" s="280">
        <f t="shared" si="17"/>
        <v>0.95806469850202358</v>
      </c>
      <c r="N23" s="280">
        <f t="shared" si="17"/>
        <v>0.95806469850202336</v>
      </c>
      <c r="O23" s="280">
        <f t="shared" si="17"/>
        <v>0.96764534548704362</v>
      </c>
      <c r="P23" s="280">
        <f t="shared" si="17"/>
        <v>0.94113901913663522</v>
      </c>
      <c r="Q23" s="280">
        <f t="shared" si="17"/>
        <v>0.94113901913663522</v>
      </c>
      <c r="R23" s="280">
        <f t="shared" si="17"/>
        <v>0.94113901913663522</v>
      </c>
      <c r="S23" s="280">
        <f t="shared" si="17"/>
        <v>0.94113901913663522</v>
      </c>
      <c r="T23" s="280">
        <f t="shared" si="17"/>
        <v>0.933474501548619</v>
      </c>
      <c r="U23" s="280">
        <f t="shared" si="17"/>
        <v>0.933474501548619</v>
      </c>
      <c r="V23" s="280">
        <f t="shared" si="17"/>
        <v>0.92662499286496414</v>
      </c>
      <c r="W23" s="280">
        <f t="shared" si="17"/>
        <v>0.92662499286496414</v>
      </c>
      <c r="X23" s="280">
        <f t="shared" si="17"/>
        <v>0.92662499286496414</v>
      </c>
      <c r="Y23" s="280">
        <f t="shared" si="17"/>
        <v>0.92662499286496414</v>
      </c>
      <c r="Z23" s="285"/>
      <c r="AA23" s="276">
        <f>'[1]MoDi Initiatives'!F29</f>
        <v>0.95806469850202469</v>
      </c>
      <c r="AB23" s="280">
        <f>+AA23+AB24+AB25</f>
        <v>0.95806469850202469</v>
      </c>
      <c r="AC23" s="280">
        <f t="shared" ref="AC23:AS23" si="18">+AB23+AC24+AC25</f>
        <v>0.95823937728206099</v>
      </c>
      <c r="AD23" s="280">
        <f t="shared" si="18"/>
        <v>0.95823937728206154</v>
      </c>
      <c r="AE23" s="280">
        <f t="shared" si="18"/>
        <v>0.95823937728206154</v>
      </c>
      <c r="AF23" s="280">
        <f t="shared" si="18"/>
        <v>0.95823937728206166</v>
      </c>
      <c r="AG23" s="280">
        <f t="shared" si="18"/>
        <v>0.96032162792188869</v>
      </c>
      <c r="AH23" s="280">
        <f t="shared" si="18"/>
        <v>0.95991180595731529</v>
      </c>
      <c r="AI23" s="280">
        <f t="shared" si="18"/>
        <v>0.94368685017409126</v>
      </c>
      <c r="AJ23" s="280">
        <f>+AI23+AJ24+AJ25</f>
        <v>0.94374931790733507</v>
      </c>
      <c r="AK23" s="280">
        <f t="shared" si="18"/>
        <v>0.95366653130046775</v>
      </c>
      <c r="AL23" s="280">
        <f t="shared" si="18"/>
        <v>0.94600201371245152</v>
      </c>
      <c r="AM23" s="280">
        <f t="shared" si="18"/>
        <v>0.93437551008812547</v>
      </c>
      <c r="AN23" s="280">
        <f t="shared" si="18"/>
        <v>0.93198361816684916</v>
      </c>
      <c r="AO23" s="280">
        <f t="shared" si="18"/>
        <v>0.93198361816684916</v>
      </c>
      <c r="AP23" s="280">
        <f t="shared" si="18"/>
        <v>0.93198361816684916</v>
      </c>
      <c r="AQ23" s="282">
        <f t="shared" si="18"/>
        <v>0.93198361816684916</v>
      </c>
      <c r="AR23" s="280" t="e">
        <f t="shared" si="18"/>
        <v>#VALUE!</v>
      </c>
      <c r="AS23" s="280" t="e">
        <f t="shared" si="18"/>
        <v>#VALUE!</v>
      </c>
      <c r="AT23" s="284">
        <f t="shared" si="9"/>
        <v>1.2212453270876722E-15</v>
      </c>
      <c r="AU23" s="284">
        <f t="shared" si="9"/>
        <v>1.7467878003740722E-4</v>
      </c>
      <c r="AV23" s="284">
        <f t="shared" si="9"/>
        <v>1.7467878003796233E-4</v>
      </c>
      <c r="AW23" s="284">
        <f t="shared" si="9"/>
        <v>1.7467878003796233E-4</v>
      </c>
      <c r="AX23" s="284">
        <f t="shared" si="9"/>
        <v>1.746787800382954E-4</v>
      </c>
      <c r="AY23" s="284">
        <f t="shared" si="9"/>
        <v>-7.3237175651549302E-3</v>
      </c>
      <c r="AZ23" s="284">
        <f>AH23-P23</f>
        <v>1.8772786820680065E-2</v>
      </c>
      <c r="BA23" s="284">
        <f t="shared" si="9"/>
        <v>2.5478310374560387E-3</v>
      </c>
      <c r="BB23" s="284">
        <f>AJ23-R23</f>
        <v>2.6102987706998482E-3</v>
      </c>
      <c r="BC23" s="284">
        <f t="shared" si="9"/>
        <v>1.2527512163832522E-2</v>
      </c>
      <c r="BD23" s="284">
        <f t="shared" si="9"/>
        <v>1.2527512163832522E-2</v>
      </c>
      <c r="BE23" s="284">
        <f t="shared" si="9"/>
        <v>9.0100853950647597E-4</v>
      </c>
      <c r="BF23" s="284">
        <f t="shared" si="9"/>
        <v>5.3586253018850227E-3</v>
      </c>
      <c r="BG23" s="284">
        <f t="shared" si="9"/>
        <v>5.3586253018850227E-3</v>
      </c>
      <c r="BH23" s="284">
        <f t="shared" si="9"/>
        <v>5.3586253018850227E-3</v>
      </c>
      <c r="BI23" s="284">
        <f t="shared" si="9"/>
        <v>5.3586253018850227E-3</v>
      </c>
      <c r="BJ23" s="285"/>
      <c r="BK23" s="288"/>
      <c r="BL23" s="288"/>
      <c r="BM23" s="288"/>
      <c r="BN23" s="288"/>
      <c r="BO23" s="288"/>
      <c r="BP23" s="288"/>
      <c r="BQ23" s="288"/>
      <c r="BR23" s="288"/>
      <c r="BS23" s="288"/>
      <c r="BT23" s="288"/>
      <c r="BU23" s="288"/>
      <c r="BV23" s="288"/>
      <c r="BW23" s="288"/>
      <c r="BX23" s="288"/>
      <c r="BY23" s="288"/>
      <c r="BZ23" s="288"/>
      <c r="CA23" s="288"/>
      <c r="CB23" s="288"/>
    </row>
    <row r="24" spans="1:80" s="299" customFormat="1" ht="12" customHeight="1">
      <c r="A24" s="300" t="s">
        <v>82</v>
      </c>
      <c r="B24" s="275" t="s">
        <v>21</v>
      </c>
      <c r="C24" s="276">
        <f>SUM(AT24:BA24)</f>
        <v>1.8624290531626193E-2</v>
      </c>
      <c r="D24" s="277">
        <f>SUM(BB24:BI24)</f>
        <v>-1.4624789804092524E-2</v>
      </c>
      <c r="E24" s="277">
        <f t="shared" si="8"/>
        <v>3.9995007275336683E-3</v>
      </c>
      <c r="F24" s="278"/>
      <c r="G24" s="278"/>
      <c r="H24" s="285"/>
      <c r="I24" s="280"/>
      <c r="J24" s="280">
        <f t="shared" ref="J24:Y24" si="19">SUBTOTAL(9,J26:J31)</f>
        <v>-1.2715523078909996E-15</v>
      </c>
      <c r="K24" s="280">
        <f t="shared" si="19"/>
        <v>1.3010426069826053E-16</v>
      </c>
      <c r="L24" s="280">
        <f t="shared" si="19"/>
        <v>0</v>
      </c>
      <c r="M24" s="280">
        <f t="shared" si="19"/>
        <v>1.0408340855860843E-17</v>
      </c>
      <c r="N24" s="280">
        <f t="shared" si="19"/>
        <v>-1.6076459494170317E-2</v>
      </c>
      <c r="O24" s="280">
        <f t="shared" si="19"/>
        <v>9.5806469850202337E-3</v>
      </c>
      <c r="P24" s="280">
        <f t="shared" si="19"/>
        <v>-2.650632635040838E-2</v>
      </c>
      <c r="Q24" s="280">
        <f t="shared" si="19"/>
        <v>0</v>
      </c>
      <c r="R24" s="280">
        <f t="shared" si="19"/>
        <v>0</v>
      </c>
      <c r="S24" s="280">
        <f t="shared" si="19"/>
        <v>0</v>
      </c>
      <c r="T24" s="280">
        <f t="shared" si="19"/>
        <v>-7.664517588016187E-3</v>
      </c>
      <c r="U24" s="280">
        <f t="shared" si="19"/>
        <v>0</v>
      </c>
      <c r="V24" s="280">
        <f t="shared" si="19"/>
        <v>-6.8495086836548981E-3</v>
      </c>
      <c r="W24" s="280">
        <f t="shared" si="19"/>
        <v>0</v>
      </c>
      <c r="X24" s="280">
        <f t="shared" si="19"/>
        <v>0</v>
      </c>
      <c r="Y24" s="280">
        <f t="shared" si="19"/>
        <v>0</v>
      </c>
      <c r="Z24" s="285"/>
      <c r="AA24" s="285"/>
      <c r="AB24" s="280">
        <f>SUBTOTAL(9,AB26:AB31)</f>
        <v>-3.1225022567582528E-17</v>
      </c>
      <c r="AC24" s="280">
        <f t="shared" ref="AC24:AM24" si="20">SUBTOTAL(9,AC26:AC31)</f>
        <v>1.7467878003628984E-4</v>
      </c>
      <c r="AD24" s="280">
        <f t="shared" si="20"/>
        <v>5.2648857495896095E-16</v>
      </c>
      <c r="AE24" s="280">
        <f t="shared" si="20"/>
        <v>0</v>
      </c>
      <c r="AF24" s="280">
        <f t="shared" si="20"/>
        <v>1.6089560239684886E-16</v>
      </c>
      <c r="AG24" s="280">
        <f t="shared" si="20"/>
        <v>2.0822506398270255E-3</v>
      </c>
      <c r="AH24" s="280">
        <f t="shared" si="20"/>
        <v>-4.0982196457337792E-4</v>
      </c>
      <c r="AI24" s="280">
        <f t="shared" si="20"/>
        <v>-1.6224955783223995E-2</v>
      </c>
      <c r="AJ24" s="280">
        <f t="shared" si="20"/>
        <v>6.2467733243818171E-5</v>
      </c>
      <c r="AK24" s="280">
        <f t="shared" si="20"/>
        <v>-4.1448742997149297E-3</v>
      </c>
      <c r="AL24" s="280">
        <f t="shared" si="20"/>
        <v>-7.664517588016187E-3</v>
      </c>
      <c r="AM24" s="280">
        <f t="shared" si="20"/>
        <v>-1.4999999999999999E-2</v>
      </c>
      <c r="AN24" s="280">
        <f>SUBTOTAL(9,AN26:AN31)</f>
        <v>-2.3918919212763136E-3</v>
      </c>
      <c r="AO24" s="280">
        <f t="shared" ref="AO24:AQ24" si="21">SUBTOTAL(9,AO26:AO31)</f>
        <v>0</v>
      </c>
      <c r="AP24" s="280">
        <f t="shared" si="21"/>
        <v>0</v>
      </c>
      <c r="AQ24" s="280">
        <f t="shared" si="21"/>
        <v>0</v>
      </c>
      <c r="AR24" s="285"/>
      <c r="AS24" s="284">
        <f>I24-AA24</f>
        <v>0</v>
      </c>
      <c r="AT24" s="284">
        <f>AB24-J24</f>
        <v>1.2403272853234171E-15</v>
      </c>
      <c r="AU24" s="284">
        <f t="shared" si="9"/>
        <v>1.7467878003615974E-4</v>
      </c>
      <c r="AV24" s="284">
        <f t="shared" si="9"/>
        <v>5.2648857495896095E-16</v>
      </c>
      <c r="AW24" s="284">
        <f t="shared" si="9"/>
        <v>-1.0408340855860843E-17</v>
      </c>
      <c r="AX24" s="284">
        <f t="shared" si="9"/>
        <v>1.6076459494170477E-2</v>
      </c>
      <c r="AY24" s="284">
        <f t="shared" si="9"/>
        <v>-7.4983963451932083E-3</v>
      </c>
      <c r="AZ24" s="284">
        <f t="shared" si="9"/>
        <v>2.6096504385835002E-2</v>
      </c>
      <c r="BA24" s="284">
        <f t="shared" si="9"/>
        <v>-1.6224955783223995E-2</v>
      </c>
      <c r="BB24" s="284">
        <f t="shared" si="9"/>
        <v>6.2467733243818171E-5</v>
      </c>
      <c r="BC24" s="284">
        <f t="shared" si="9"/>
        <v>-4.1448742997149297E-3</v>
      </c>
      <c r="BD24" s="284">
        <f t="shared" si="9"/>
        <v>0</v>
      </c>
      <c r="BE24" s="284">
        <f t="shared" si="9"/>
        <v>-1.4999999999999999E-2</v>
      </c>
      <c r="BF24" s="284">
        <f t="shared" si="9"/>
        <v>4.4576167623785849E-3</v>
      </c>
      <c r="BG24" s="284">
        <f t="shared" si="9"/>
        <v>0</v>
      </c>
      <c r="BH24" s="284">
        <f t="shared" si="9"/>
        <v>0</v>
      </c>
      <c r="BI24" s="284">
        <f t="shared" si="9"/>
        <v>0</v>
      </c>
      <c r="BJ24" s="285"/>
      <c r="BK24" s="301"/>
      <c r="BL24" s="301"/>
      <c r="BM24" s="301"/>
      <c r="BN24" s="301"/>
      <c r="BO24" s="301"/>
      <c r="BP24" s="301"/>
      <c r="BQ24" s="301"/>
      <c r="BR24" s="301"/>
      <c r="BS24" s="301"/>
      <c r="BT24" s="301"/>
      <c r="BU24" s="301"/>
      <c r="BV24" s="301"/>
      <c r="BW24" s="301"/>
      <c r="BX24" s="301"/>
      <c r="BY24" s="301"/>
      <c r="BZ24" s="301"/>
      <c r="CA24" s="301"/>
      <c r="CB24" s="288"/>
    </row>
    <row r="25" spans="1:80" s="299" customFormat="1" ht="52">
      <c r="A25" s="300" t="s">
        <v>82</v>
      </c>
      <c r="B25" s="275" t="s">
        <v>22</v>
      </c>
      <c r="C25" s="276">
        <f>SUM(AT25:BA25)</f>
        <v>-1.6076459494170081E-2</v>
      </c>
      <c r="D25" s="277">
        <f>SUM(BB25:BI25)</f>
        <v>1.7435584068521564E-2</v>
      </c>
      <c r="E25" s="277">
        <f t="shared" si="8"/>
        <v>1.3591245743514828E-3</v>
      </c>
      <c r="F25" s="278"/>
      <c r="G25" s="275" t="s">
        <v>23</v>
      </c>
      <c r="H25" s="285"/>
      <c r="I25" s="280"/>
      <c r="J25" s="280">
        <f>SUMIFS('MoDi Initiatives'!H:H,'MoDi Initiatives'!$C:$C,'Gap Analysis update'!$B25,'MoDi Initiatives'!$A:$A,'Gap Analysis update'!$A25,'MoDi Initiatives'!$B:$B,'Gap Analysis update'!J$2)</f>
        <v>0</v>
      </c>
      <c r="K25" s="280">
        <f>SUMIFS('MoDi Initiatives'!I:I,'MoDi Initiatives'!$C:$C,'Gap Analysis update'!$B25,'MoDi Initiatives'!$A:$A,'Gap Analysis update'!$A25,'MoDi Initiatives'!$B:$B,'Gap Analysis update'!K$2)</f>
        <v>0</v>
      </c>
      <c r="L25" s="280">
        <f>SUMIFS('MoDi Initiatives'!J:J,'MoDi Initiatives'!$C:$C,'Gap Analysis update'!$B25,'MoDi Initiatives'!$A:$A,'Gap Analysis update'!$A25,'MoDi Initiatives'!$B:$B,'Gap Analysis update'!L$2)</f>
        <v>0</v>
      </c>
      <c r="M25" s="280">
        <f>SUMIFS('MoDi Initiatives'!K:K,'MoDi Initiatives'!$C:$C,'Gap Analysis update'!$B25,'MoDi Initiatives'!$A:$A,'Gap Analysis update'!$A25,'MoDi Initiatives'!$B:$B,'Gap Analysis update'!M$2)</f>
        <v>0</v>
      </c>
      <c r="N25" s="280">
        <f>SUMIFS('MoDi Initiatives'!L:L,'MoDi Initiatives'!$C:$C,'Gap Analysis update'!$B25,'MoDi Initiatives'!$A:$A,'Gap Analysis update'!$A25,'MoDi Initiatives'!$B:$B,'Gap Analysis update'!N$2)</f>
        <v>1.6076459494170081E-2</v>
      </c>
      <c r="O25" s="280">
        <f>SUMIFS('MoDi Initiatives'!M:M,'MoDi Initiatives'!$C:$C,'Gap Analysis update'!$B25,'MoDi Initiatives'!$A:$A,'Gap Analysis update'!$A25,'MoDi Initiatives'!$B:$B,'Gap Analysis update'!O$2)</f>
        <v>0</v>
      </c>
      <c r="P25" s="280">
        <f>SUMIFS('MoDi Initiatives'!N:N,'MoDi Initiatives'!$C:$C,'Gap Analysis update'!$B25,'MoDi Initiatives'!$A:$A,'Gap Analysis update'!$A25,'MoDi Initiatives'!$B:$B,'Gap Analysis update'!P$2)</f>
        <v>0</v>
      </c>
      <c r="Q25" s="280">
        <f>SUMIFS('MoDi Initiatives'!O:O,'MoDi Initiatives'!$C:$C,'Gap Analysis update'!$B25,'MoDi Initiatives'!$A:$A,'Gap Analysis update'!$A25,'MoDi Initiatives'!$B:$B,'Gap Analysis update'!Q$2)</f>
        <v>0</v>
      </c>
      <c r="R25" s="280">
        <f>SUMIFS('MoDi Initiatives'!P:P,'MoDi Initiatives'!$C:$C,'Gap Analysis update'!$B25,'MoDi Initiatives'!$A:$A,'Gap Analysis update'!$A25,'MoDi Initiatives'!$B:$B,'Gap Analysis update'!R$2)</f>
        <v>0</v>
      </c>
      <c r="S25" s="280">
        <f>SUMIFS('MoDi Initiatives'!Q:Q,'MoDi Initiatives'!$C:$C,'Gap Analysis update'!$B25,'MoDi Initiatives'!$A:$A,'Gap Analysis update'!$A25,'MoDi Initiatives'!$B:$B,'Gap Analysis update'!S$2)</f>
        <v>0</v>
      </c>
      <c r="T25" s="280">
        <f>SUMIFS('MoDi Initiatives'!R:R,'MoDi Initiatives'!$C:$C,'Gap Analysis update'!$B25,'MoDi Initiatives'!$A:$A,'Gap Analysis update'!$A25,'MoDi Initiatives'!$B:$B,'Gap Analysis update'!T$2)</f>
        <v>0</v>
      </c>
      <c r="U25" s="280">
        <f>SUMIFS('MoDi Initiatives'!S:S,'MoDi Initiatives'!$C:$C,'Gap Analysis update'!$B25,'MoDi Initiatives'!$A:$A,'Gap Analysis update'!$A25,'MoDi Initiatives'!$B:$B,'Gap Analysis update'!U$2)</f>
        <v>0</v>
      </c>
      <c r="V25" s="280">
        <f>SUMIFS('MoDi Initiatives'!T:T,'MoDi Initiatives'!$C:$C,'Gap Analysis update'!$B25,'MoDi Initiatives'!$A:$A,'Gap Analysis update'!$A25,'MoDi Initiatives'!$B:$B,'Gap Analysis update'!V$2)</f>
        <v>0</v>
      </c>
      <c r="W25" s="280">
        <f>SUMIFS('MoDi Initiatives'!U:U,'MoDi Initiatives'!$C:$C,'Gap Analysis update'!$B25,'MoDi Initiatives'!$A:$A,'Gap Analysis update'!$A25,'MoDi Initiatives'!$B:$B,'Gap Analysis update'!W$2)</f>
        <v>0</v>
      </c>
      <c r="X25" s="280">
        <f>SUMIFS('MoDi Initiatives'!V:V,'MoDi Initiatives'!$C:$C,'Gap Analysis update'!$B25,'MoDi Initiatives'!$A:$A,'Gap Analysis update'!$A25,'MoDi Initiatives'!$B:$B,'Gap Analysis update'!X$2)</f>
        <v>0</v>
      </c>
      <c r="Y25" s="280">
        <f>SUMIFS('MoDi Initiatives'!W:W,'MoDi Initiatives'!$C:$C,'Gap Analysis update'!$B25,'MoDi Initiatives'!$A:$A,'Gap Analysis update'!$A25,'MoDi Initiatives'!$B:$B,'Gap Analysis update'!Y$2)</f>
        <v>0</v>
      </c>
      <c r="Z25" s="285"/>
      <c r="AA25" s="280"/>
      <c r="AB25" s="280">
        <f>SUMIFS('MoDi Initiatives'!H:H,'MoDi Initiatives'!$C:$C,'Gap Analysis update'!$B25,'MoDi Initiatives'!$A:$A,'Gap Analysis update'!$A25,'MoDi Initiatives'!$B:$B,'Gap Analysis update'!AB$2)</f>
        <v>0</v>
      </c>
      <c r="AC25" s="280">
        <f>SUMIFS('MoDi Initiatives'!I:I,'MoDi Initiatives'!$C:$C,'Gap Analysis update'!$B25,'MoDi Initiatives'!$A:$A,'Gap Analysis update'!$A25,'MoDi Initiatives'!$B:$B,'Gap Analysis update'!AC$2)</f>
        <v>0</v>
      </c>
      <c r="AD25" s="280">
        <f>SUMIFS('MoDi Initiatives'!J:J,'MoDi Initiatives'!$C:$C,'Gap Analysis update'!$B25,'MoDi Initiatives'!$A:$A,'Gap Analysis update'!$A25,'MoDi Initiatives'!$B:$B,'Gap Analysis update'!AD$2)</f>
        <v>0</v>
      </c>
      <c r="AE25" s="280">
        <f>SUMIFS('MoDi Initiatives'!K:K,'MoDi Initiatives'!$C:$C,'Gap Analysis update'!$B25,'MoDi Initiatives'!$A:$A,'Gap Analysis update'!$A25,'MoDi Initiatives'!$B:$B,'Gap Analysis update'!AE$2)</f>
        <v>0</v>
      </c>
      <c r="AF25" s="280">
        <f>SUMIFS('MoDi Initiatives'!L:L,'MoDi Initiatives'!$C:$C,'Gap Analysis update'!$B25,'MoDi Initiatives'!$A:$A,'Gap Analysis update'!$A25,'MoDi Initiatives'!$B:$B,'Gap Analysis update'!AF$2)</f>
        <v>0</v>
      </c>
      <c r="AG25" s="280">
        <f>SUMIFS('MoDi Initiatives'!M:M,'MoDi Initiatives'!$C:$C,'Gap Analysis update'!$B25,'MoDi Initiatives'!$A:$A,'Gap Analysis update'!$A25,'MoDi Initiatives'!$B:$B,'Gap Analysis update'!AG$2)</f>
        <v>0</v>
      </c>
      <c r="AH25" s="280">
        <f>SUMIFS('MoDi Initiatives'!N:N,'MoDi Initiatives'!$C:$C,'Gap Analysis update'!$B25,'MoDi Initiatives'!$A:$A,'Gap Analysis update'!$A25,'MoDi Initiatives'!$B:$B,'Gap Analysis update'!AH$2)</f>
        <v>0</v>
      </c>
      <c r="AI25" s="280">
        <f>SUMIFS('MoDi Initiatives'!O:O,'MoDi Initiatives'!$C:$C,'Gap Analysis update'!$B25,'MoDi Initiatives'!$A:$A,'Gap Analysis update'!$A25,'MoDi Initiatives'!$B:$B,'Gap Analysis update'!AI$2)</f>
        <v>0</v>
      </c>
      <c r="AJ25" s="280">
        <f>SUMIFS('MoDi Initiatives'!P:P,'MoDi Initiatives'!$C:$C,'Gap Analysis update'!$B25,'MoDi Initiatives'!$A:$A,'Gap Analysis update'!$A25,'MoDi Initiatives'!$B:$B,'Gap Analysis update'!AJ$2)</f>
        <v>0</v>
      </c>
      <c r="AK25" s="280">
        <f>SUMIFS('MoDi Initiatives'!Q:Q,'MoDi Initiatives'!$C:$C,'Gap Analysis update'!$B25,'MoDi Initiatives'!$A:$A,'Gap Analysis update'!$A25,'MoDi Initiatives'!$B:$B,'Gap Analysis update'!AK$2)</f>
        <v>1.4062087692847587E-2</v>
      </c>
      <c r="AL25" s="280">
        <f>SUMIFS('MoDi Initiatives'!R:R,'MoDi Initiatives'!$C:$C,'Gap Analysis update'!$B25,'MoDi Initiatives'!$A:$A,'Gap Analysis update'!$A25,'MoDi Initiatives'!$B:$B,'Gap Analysis update'!AL$2)</f>
        <v>0</v>
      </c>
      <c r="AM25" s="280">
        <f>SUMIFS('MoDi Initiatives'!S:S,'MoDi Initiatives'!$C:$C,'Gap Analysis update'!$B25,'MoDi Initiatives'!$A:$A,'Gap Analysis update'!$A25,'MoDi Initiatives'!$B:$B,'Gap Analysis update'!AM$2)</f>
        <v>3.3734963756739777E-3</v>
      </c>
      <c r="AN25" s="280">
        <f>SUMIFS('MoDi Initiatives'!T:T,'MoDi Initiatives'!$C:$C,'Gap Analysis update'!$B25,'MoDi Initiatives'!$A:$A,'Gap Analysis update'!$A25,'MoDi Initiatives'!$B:$B,'Gap Analysis update'!AN$2)</f>
        <v>0</v>
      </c>
      <c r="AO25" s="280">
        <f>SUMIFS('MoDi Initiatives'!U:U,'MoDi Initiatives'!$C:$C,'Gap Analysis update'!$B25,'MoDi Initiatives'!$A:$A,'Gap Analysis update'!$A25,'MoDi Initiatives'!$B:$B,'Gap Analysis update'!AO$2)</f>
        <v>0</v>
      </c>
      <c r="AP25" s="280">
        <f>SUMIFS('MoDi Initiatives'!V:V,'MoDi Initiatives'!$C:$C,'Gap Analysis update'!$B25,'MoDi Initiatives'!$A:$A,'Gap Analysis update'!$A25,'MoDi Initiatives'!$B:$B,'Gap Analysis update'!AP$2)</f>
        <v>0</v>
      </c>
      <c r="AQ25" s="280">
        <f>SUMIFS('MoDi Initiatives'!W:W,'MoDi Initiatives'!$C:$C,'Gap Analysis update'!$B25,'MoDi Initiatives'!$A:$A,'Gap Analysis update'!$A25,'MoDi Initiatives'!$B:$B,'Gap Analysis update'!AQ$2)</f>
        <v>0</v>
      </c>
      <c r="AR25" s="280" t="e">
        <f>SUMIFS('[1]MoDi Initiatives'!W:W,'[1]MoDi Initiatives'!$B:$B,'Gap Analysis update'!AR$2,'[1]MoDi Initiatives'!$A:$A,'Gap Analysis update'!$A25,'[1]MoDi Initiatives'!$C:$C,"Inflation")</f>
        <v>#VALUE!</v>
      </c>
      <c r="AS25" s="284">
        <f>I25-AA25</f>
        <v>0</v>
      </c>
      <c r="AT25" s="284">
        <f t="shared" ref="AT25:BI34" si="22">AB25-J25</f>
        <v>0</v>
      </c>
      <c r="AU25" s="284">
        <f t="shared" si="22"/>
        <v>0</v>
      </c>
      <c r="AV25" s="284">
        <f t="shared" si="22"/>
        <v>0</v>
      </c>
      <c r="AW25" s="284">
        <f t="shared" si="22"/>
        <v>0</v>
      </c>
      <c r="AX25" s="284">
        <f>AF25-N25</f>
        <v>-1.6076459494170081E-2</v>
      </c>
      <c r="AY25" s="284">
        <f t="shared" si="22"/>
        <v>0</v>
      </c>
      <c r="AZ25" s="284">
        <f>AH25-P25</f>
        <v>0</v>
      </c>
      <c r="BA25" s="284">
        <f t="shared" si="22"/>
        <v>0</v>
      </c>
      <c r="BB25" s="284">
        <f>AJ25-R25</f>
        <v>0</v>
      </c>
      <c r="BC25" s="284">
        <f t="shared" si="22"/>
        <v>1.4062087692847587E-2</v>
      </c>
      <c r="BD25" s="284">
        <f t="shared" si="22"/>
        <v>0</v>
      </c>
      <c r="BE25" s="284">
        <f t="shared" si="22"/>
        <v>3.3734963756739777E-3</v>
      </c>
      <c r="BF25" s="284">
        <f t="shared" si="22"/>
        <v>0</v>
      </c>
      <c r="BG25" s="284">
        <f t="shared" si="22"/>
        <v>0</v>
      </c>
      <c r="BH25" s="284">
        <f t="shared" si="22"/>
        <v>0</v>
      </c>
      <c r="BI25" s="284">
        <f t="shared" si="22"/>
        <v>0</v>
      </c>
      <c r="BJ25" s="285"/>
      <c r="BK25" s="301"/>
      <c r="BL25" s="301"/>
      <c r="BM25" s="301"/>
      <c r="BN25" s="301"/>
      <c r="BO25" s="301"/>
      <c r="BP25" s="301"/>
      <c r="BQ25" s="301"/>
      <c r="BR25" s="301"/>
      <c r="BS25" s="301"/>
      <c r="BT25" s="301"/>
      <c r="BU25" s="301"/>
      <c r="BV25" s="301"/>
      <c r="BW25" s="301"/>
      <c r="BX25" s="301"/>
      <c r="BY25" s="301"/>
      <c r="BZ25" s="301"/>
      <c r="CA25" s="301"/>
      <c r="CB25" s="288"/>
    </row>
    <row r="26" spans="1:80" s="298" customFormat="1" ht="145.5" customHeight="1">
      <c r="A26" s="296" t="s">
        <v>82</v>
      </c>
      <c r="B26" s="287" t="s">
        <v>24</v>
      </c>
      <c r="C26" s="288">
        <f t="shared" ref="C26:C31" si="23">SUM(AS26:BA26)</f>
        <v>0</v>
      </c>
      <c r="D26" s="289">
        <f t="shared" ref="D26:D31" si="24">SUM(BB26:BI26)</f>
        <v>0</v>
      </c>
      <c r="E26" s="289">
        <f t="shared" si="8"/>
        <v>0</v>
      </c>
      <c r="F26" s="286" t="s">
        <v>83</v>
      </c>
      <c r="G26" s="286" t="s">
        <v>84</v>
      </c>
      <c r="H26" s="297"/>
      <c r="J26" s="288">
        <f>SUMIFS('MoDi Initiatives'!H:H,'MoDi Initiatives'!$E:$E,'Gap Analysis update'!$B26,'MoDi Initiatives'!$A:$A,'Gap Analysis update'!$A26,'MoDi Initiatives'!$B:$B,'Gap Analysis update'!J$2)-SUMIFS('MoDi Initiatives'!H:H,'MoDi Initiatives'!$E:$E,'Gap Analysis update'!$B26,'MoDi Initiatives'!$A:$A,'Gap Analysis update'!$A26,'MoDi Initiatives'!$C:$C,'Gap Analysis update'!$B$7,'MoDi Initiatives'!$B:$B,'Gap Analysis update'!J$2)</f>
        <v>0</v>
      </c>
      <c r="K26" s="288">
        <f>SUMIFS('MoDi Initiatives'!I:I,'MoDi Initiatives'!$E:$E,'Gap Analysis update'!$B26,'MoDi Initiatives'!$A:$A,'Gap Analysis update'!$A26,'MoDi Initiatives'!$B:$B,'Gap Analysis update'!K$2)-SUMIFS('MoDi Initiatives'!I:I,'MoDi Initiatives'!$E:$E,'Gap Analysis update'!$B26,'MoDi Initiatives'!$A:$A,'Gap Analysis update'!$A26,'MoDi Initiatives'!$C:$C,'Gap Analysis update'!$B$7,'MoDi Initiatives'!$B:$B,'Gap Analysis update'!K$2)</f>
        <v>0</v>
      </c>
      <c r="L26" s="288">
        <f>SUMIFS('MoDi Initiatives'!J:J,'MoDi Initiatives'!$E:$E,'Gap Analysis update'!$B26,'MoDi Initiatives'!$A:$A,'Gap Analysis update'!$A26,'MoDi Initiatives'!$B:$B,'Gap Analysis update'!L$2)-SUMIFS('MoDi Initiatives'!J:J,'MoDi Initiatives'!$E:$E,'Gap Analysis update'!$B26,'MoDi Initiatives'!$A:$A,'Gap Analysis update'!$A26,'MoDi Initiatives'!$C:$C,'Gap Analysis update'!$B$7,'MoDi Initiatives'!$B:$B,'Gap Analysis update'!L$2)</f>
        <v>0</v>
      </c>
      <c r="M26" s="288">
        <f>SUMIFS('MoDi Initiatives'!K:K,'MoDi Initiatives'!$E:$E,'Gap Analysis update'!$B26,'MoDi Initiatives'!$A:$A,'Gap Analysis update'!$A26,'MoDi Initiatives'!$B:$B,'Gap Analysis update'!M$2)-SUMIFS('MoDi Initiatives'!K:K,'MoDi Initiatives'!$E:$E,'Gap Analysis update'!$B26,'MoDi Initiatives'!$A:$A,'Gap Analysis update'!$A26,'MoDi Initiatives'!$C:$C,'Gap Analysis update'!$B$7,'MoDi Initiatives'!$B:$B,'Gap Analysis update'!M$2)</f>
        <v>0</v>
      </c>
      <c r="N26" s="288">
        <f>SUMIFS('MoDi Initiatives'!L:L,'MoDi Initiatives'!$E:$E,'Gap Analysis update'!$B26,'MoDi Initiatives'!$A:$A,'Gap Analysis update'!$A26,'MoDi Initiatives'!$B:$B,'Gap Analysis update'!N$2)-SUMIFS('MoDi Initiatives'!L:L,'MoDi Initiatives'!$E:$E,'Gap Analysis update'!$B26,'MoDi Initiatives'!$A:$A,'Gap Analysis update'!$A26,'MoDi Initiatives'!$C:$C,'Gap Analysis update'!$B$7,'MoDi Initiatives'!$B:$B,'Gap Analysis update'!N$2)</f>
        <v>0</v>
      </c>
      <c r="O26" s="288">
        <f>SUMIFS('MoDi Initiatives'!M:M,'MoDi Initiatives'!$E:$E,'Gap Analysis update'!$B26,'MoDi Initiatives'!$A:$A,'Gap Analysis update'!$A26,'MoDi Initiatives'!$B:$B,'Gap Analysis update'!O$2)-SUMIFS('MoDi Initiatives'!M:M,'MoDi Initiatives'!$E:$E,'Gap Analysis update'!$B26,'MoDi Initiatives'!$A:$A,'Gap Analysis update'!$A26,'MoDi Initiatives'!$C:$C,'Gap Analysis update'!$B$7,'MoDi Initiatives'!$B:$B,'Gap Analysis update'!O$2)</f>
        <v>0</v>
      </c>
      <c r="P26" s="288">
        <f>SUMIFS('MoDi Initiatives'!N:N,'MoDi Initiatives'!$E:$E,'Gap Analysis update'!$B26,'MoDi Initiatives'!$A:$A,'Gap Analysis update'!$A26,'MoDi Initiatives'!$B:$B,'Gap Analysis update'!P$2)-SUMIFS('MoDi Initiatives'!N:N,'MoDi Initiatives'!$E:$E,'Gap Analysis update'!$B26,'MoDi Initiatives'!$A:$A,'Gap Analysis update'!$A26,'MoDi Initiatives'!$C:$C,'Gap Analysis update'!$B$7,'MoDi Initiatives'!$B:$B,'Gap Analysis update'!P$2)</f>
        <v>0</v>
      </c>
      <c r="Q26" s="288">
        <f>SUMIFS('MoDi Initiatives'!O:O,'MoDi Initiatives'!$E:$E,'Gap Analysis update'!$B26,'MoDi Initiatives'!$A:$A,'Gap Analysis update'!$A26,'MoDi Initiatives'!$B:$B,'Gap Analysis update'!Q$2)-SUMIFS('MoDi Initiatives'!O:O,'MoDi Initiatives'!$E:$E,'Gap Analysis update'!$B26,'MoDi Initiatives'!$A:$A,'Gap Analysis update'!$A26,'MoDi Initiatives'!$C:$C,'Gap Analysis update'!$B$7,'MoDi Initiatives'!$B:$B,'Gap Analysis update'!Q$2)</f>
        <v>0</v>
      </c>
      <c r="R26" s="288">
        <f>SUMIFS('MoDi Initiatives'!P:P,'MoDi Initiatives'!$E:$E,'Gap Analysis update'!$B26,'MoDi Initiatives'!$A:$A,'Gap Analysis update'!$A26,'MoDi Initiatives'!$B:$B,'Gap Analysis update'!R$2)-SUMIFS('MoDi Initiatives'!P:P,'MoDi Initiatives'!$E:$E,'Gap Analysis update'!$B26,'MoDi Initiatives'!$A:$A,'Gap Analysis update'!$A26,'MoDi Initiatives'!$C:$C,'Gap Analysis update'!$B$7,'MoDi Initiatives'!$B:$B,'Gap Analysis update'!R$2)</f>
        <v>0</v>
      </c>
      <c r="S26" s="288">
        <f>SUMIFS('MoDi Initiatives'!Q:Q,'MoDi Initiatives'!$E:$E,'Gap Analysis update'!$B26,'MoDi Initiatives'!$A:$A,'Gap Analysis update'!$A26,'MoDi Initiatives'!$B:$B,'Gap Analysis update'!S$2)-SUMIFS('MoDi Initiatives'!Q:Q,'MoDi Initiatives'!$E:$E,'Gap Analysis update'!$B26,'MoDi Initiatives'!$A:$A,'Gap Analysis update'!$A26,'MoDi Initiatives'!$C:$C,'Gap Analysis update'!$B$7,'MoDi Initiatives'!$B:$B,'Gap Analysis update'!S$2)</f>
        <v>0</v>
      </c>
      <c r="T26" s="288">
        <f>SUMIFS('MoDi Initiatives'!R:R,'MoDi Initiatives'!$E:$E,'Gap Analysis update'!$B26,'MoDi Initiatives'!$A:$A,'Gap Analysis update'!$A26,'MoDi Initiatives'!$B:$B,'Gap Analysis update'!T$2)-SUMIFS('MoDi Initiatives'!R:R,'MoDi Initiatives'!$E:$E,'Gap Analysis update'!$B26,'MoDi Initiatives'!$A:$A,'Gap Analysis update'!$A26,'MoDi Initiatives'!$C:$C,'Gap Analysis update'!$B$7,'MoDi Initiatives'!$B:$B,'Gap Analysis update'!T$2)</f>
        <v>0</v>
      </c>
      <c r="U26" s="288">
        <f>SUMIFS('MoDi Initiatives'!S:S,'MoDi Initiatives'!$E:$E,'Gap Analysis update'!$B26,'MoDi Initiatives'!$A:$A,'Gap Analysis update'!$A26,'MoDi Initiatives'!$B:$B,'Gap Analysis update'!U$2)-SUMIFS('MoDi Initiatives'!S:S,'MoDi Initiatives'!$E:$E,'Gap Analysis update'!$B26,'MoDi Initiatives'!$A:$A,'Gap Analysis update'!$A26,'MoDi Initiatives'!$C:$C,'Gap Analysis update'!$B$7,'MoDi Initiatives'!$B:$B,'Gap Analysis update'!U$2)</f>
        <v>0</v>
      </c>
      <c r="V26" s="288">
        <f>SUMIFS('MoDi Initiatives'!T:T,'MoDi Initiatives'!$E:$E,'Gap Analysis update'!$B26,'MoDi Initiatives'!$A:$A,'Gap Analysis update'!$A26,'MoDi Initiatives'!$B:$B,'Gap Analysis update'!V$2)-SUMIFS('MoDi Initiatives'!T:T,'MoDi Initiatives'!$E:$E,'Gap Analysis update'!$B26,'MoDi Initiatives'!$A:$A,'Gap Analysis update'!$A26,'MoDi Initiatives'!$C:$C,'Gap Analysis update'!$B$7,'MoDi Initiatives'!$B:$B,'Gap Analysis update'!V$2)</f>
        <v>0</v>
      </c>
      <c r="W26" s="288">
        <f>SUMIFS('MoDi Initiatives'!U:U,'MoDi Initiatives'!$E:$E,'Gap Analysis update'!$B26,'MoDi Initiatives'!$A:$A,'Gap Analysis update'!$A26,'MoDi Initiatives'!$B:$B,'Gap Analysis update'!W$2)-SUMIFS('MoDi Initiatives'!U:U,'MoDi Initiatives'!$E:$E,'Gap Analysis update'!$B26,'MoDi Initiatives'!$A:$A,'Gap Analysis update'!$A26,'MoDi Initiatives'!$C:$C,'Gap Analysis update'!$B$7,'MoDi Initiatives'!$B:$B,'Gap Analysis update'!W$2)</f>
        <v>0</v>
      </c>
      <c r="X26" s="288">
        <f>SUMIFS('MoDi Initiatives'!V:V,'MoDi Initiatives'!$E:$E,'Gap Analysis update'!$B26,'MoDi Initiatives'!$A:$A,'Gap Analysis update'!$A26,'MoDi Initiatives'!$B:$B,'Gap Analysis update'!X$2)-SUMIFS('MoDi Initiatives'!V:V,'MoDi Initiatives'!$E:$E,'Gap Analysis update'!$B26,'MoDi Initiatives'!$A:$A,'Gap Analysis update'!$A26,'MoDi Initiatives'!$C:$C,'Gap Analysis update'!$B$7,'MoDi Initiatives'!$B:$B,'Gap Analysis update'!X$2)</f>
        <v>0</v>
      </c>
      <c r="Y26" s="288">
        <f>SUMIFS('MoDi Initiatives'!W:W,'MoDi Initiatives'!$E:$E,'Gap Analysis update'!$B26,'MoDi Initiatives'!$A:$A,'Gap Analysis update'!$A26,'MoDi Initiatives'!$B:$B,'Gap Analysis update'!Y$2)-SUMIFS('MoDi Initiatives'!W:W,'MoDi Initiatives'!$E:$E,'Gap Analysis update'!$B26,'MoDi Initiatives'!$A:$A,'Gap Analysis update'!$A26,'MoDi Initiatives'!$C:$C,'Gap Analysis update'!$B$7,'MoDi Initiatives'!$B:$B,'Gap Analysis update'!Y$2)</f>
        <v>0</v>
      </c>
      <c r="Z26" s="293"/>
      <c r="AB26" s="298">
        <f>SUMIFS('MoDi Initiatives'!H:H,'MoDi Initiatives'!$E:$E,'Gap Analysis update'!$B26,'MoDi Initiatives'!$A:$A,'Gap Analysis update'!$A26,'MoDi Initiatives'!$B:$B,'Gap Analysis update'!AB$2)-SUMIFS('MoDi Initiatives'!H:H,'MoDi Initiatives'!$E:$E,'Gap Analysis update'!$B26,'MoDi Initiatives'!$A:$A,'Gap Analysis update'!$A26,'MoDi Initiatives'!$B:$B,'Gap Analysis update'!AB$2,'MoDi Initiatives'!$C:$C,'Gap Analysis update'!$B$7)</f>
        <v>0</v>
      </c>
      <c r="AC26" s="288">
        <f>SUMIFS('MoDi Initiatives'!I:I,'MoDi Initiatives'!$E:$E,'Gap Analysis update'!$B26,'MoDi Initiatives'!$A:$A,'Gap Analysis update'!$A26,'MoDi Initiatives'!$B:$B,'Gap Analysis update'!AC$2)-SUMIFS('MoDi Initiatives'!I:I,'MoDi Initiatives'!$E:$E,'Gap Analysis update'!$B26,'MoDi Initiatives'!$A:$A,'Gap Analysis update'!$A26,'MoDi Initiatives'!$B:$B,'Gap Analysis update'!AC$2,'MoDi Initiatives'!$C:$C,'Gap Analysis update'!$B$7)</f>
        <v>0</v>
      </c>
      <c r="AD26" s="288">
        <f>SUMIFS('MoDi Initiatives'!J:J,'MoDi Initiatives'!$E:$E,'Gap Analysis update'!$B26,'MoDi Initiatives'!$A:$A,'Gap Analysis update'!$A26,'MoDi Initiatives'!$B:$B,'Gap Analysis update'!AD$2)-SUMIFS('MoDi Initiatives'!J:J,'MoDi Initiatives'!$E:$E,'Gap Analysis update'!$B26,'MoDi Initiatives'!$A:$A,'Gap Analysis update'!$A26,'MoDi Initiatives'!$B:$B,'Gap Analysis update'!AD$2,'MoDi Initiatives'!$C:$C,'Gap Analysis update'!$B$7)</f>
        <v>0</v>
      </c>
      <c r="AE26" s="298">
        <f>SUMIFS('MoDi Initiatives'!K:K,'MoDi Initiatives'!$E:$E,'Gap Analysis update'!$B26,'MoDi Initiatives'!$A:$A,'Gap Analysis update'!$A26,'MoDi Initiatives'!$B:$B,'Gap Analysis update'!AE$2)-SUMIFS('MoDi Initiatives'!K:K,'MoDi Initiatives'!$E:$E,'Gap Analysis update'!$B26,'MoDi Initiatives'!$A:$A,'Gap Analysis update'!$A26,'MoDi Initiatives'!$B:$B,'Gap Analysis update'!AE$2,'MoDi Initiatives'!$C:$C,'Gap Analysis update'!$B$7)</f>
        <v>0</v>
      </c>
      <c r="AF26" s="298">
        <f>SUMIFS('MoDi Initiatives'!L:L,'MoDi Initiatives'!$E:$E,'Gap Analysis update'!$B26,'MoDi Initiatives'!$A:$A,'Gap Analysis update'!$A26,'MoDi Initiatives'!$B:$B,'Gap Analysis update'!AF$2)-SUMIFS('MoDi Initiatives'!L:L,'MoDi Initiatives'!$E:$E,'Gap Analysis update'!$B26,'MoDi Initiatives'!$A:$A,'Gap Analysis update'!$A26,'MoDi Initiatives'!$B:$B,'Gap Analysis update'!AF$2,'MoDi Initiatives'!$C:$C,'Gap Analysis update'!$B$7)</f>
        <v>0</v>
      </c>
      <c r="AG26" s="298">
        <f>SUMIFS('MoDi Initiatives'!M:M,'MoDi Initiatives'!$E:$E,'Gap Analysis update'!$B26,'MoDi Initiatives'!$A:$A,'Gap Analysis update'!$A26,'MoDi Initiatives'!$B:$B,'Gap Analysis update'!AG$2)-SUMIFS('MoDi Initiatives'!M:M,'MoDi Initiatives'!$E:$E,'Gap Analysis update'!$B26,'MoDi Initiatives'!$A:$A,'Gap Analysis update'!$A26,'MoDi Initiatives'!$B:$B,'Gap Analysis update'!AG$2,'MoDi Initiatives'!$C:$C,'Gap Analysis update'!$B$7)</f>
        <v>0</v>
      </c>
      <c r="AH26" s="298">
        <f>SUMIFS('MoDi Initiatives'!N:N,'MoDi Initiatives'!$E:$E,'Gap Analysis update'!$B26,'MoDi Initiatives'!$A:$A,'Gap Analysis update'!$A26,'MoDi Initiatives'!$B:$B,'Gap Analysis update'!AH$2)-SUMIFS('MoDi Initiatives'!N:N,'MoDi Initiatives'!$E:$E,'Gap Analysis update'!$B26,'MoDi Initiatives'!$A:$A,'Gap Analysis update'!$A26,'MoDi Initiatives'!$B:$B,'Gap Analysis update'!AH$2,'MoDi Initiatives'!$C:$C,'Gap Analysis update'!$B$7)</f>
        <v>0</v>
      </c>
      <c r="AI26" s="298">
        <f>SUMIFS('MoDi Initiatives'!O:O,'MoDi Initiatives'!$E:$E,'Gap Analysis update'!$B26,'MoDi Initiatives'!$A:$A,'Gap Analysis update'!$A26,'MoDi Initiatives'!$B:$B,'Gap Analysis update'!AI$2)-SUMIFS('MoDi Initiatives'!O:O,'MoDi Initiatives'!$E:$E,'Gap Analysis update'!$B26,'MoDi Initiatives'!$A:$A,'Gap Analysis update'!$A26,'MoDi Initiatives'!$B:$B,'Gap Analysis update'!AI$2,'MoDi Initiatives'!$C:$C,'Gap Analysis update'!$B$7)</f>
        <v>0</v>
      </c>
      <c r="AJ26" s="288">
        <f>SUMIFS('MoDi Initiatives'!P:P,'MoDi Initiatives'!$E:$E,'Gap Analysis update'!$B26,'MoDi Initiatives'!$A:$A,'Gap Analysis update'!$A26,'MoDi Initiatives'!$B:$B,'Gap Analysis update'!AJ$2)-SUMIFS('MoDi Initiatives'!P:P,'MoDi Initiatives'!$E:$E,'Gap Analysis update'!$B26,'MoDi Initiatives'!$A:$A,'Gap Analysis update'!$A26,'MoDi Initiatives'!$B:$B,'Gap Analysis update'!AJ$2,'MoDi Initiatives'!$C:$C,'Gap Analysis update'!$B$7)</f>
        <v>0</v>
      </c>
      <c r="AK26" s="298">
        <f>SUMIFS('MoDi Initiatives'!Q:Q,'MoDi Initiatives'!$E:$E,'Gap Analysis update'!$B26,'MoDi Initiatives'!$A:$A,'Gap Analysis update'!$A26,'MoDi Initiatives'!$B:$B,'Gap Analysis update'!AK$2)-SUMIFS('MoDi Initiatives'!Q:Q,'MoDi Initiatives'!$E:$E,'Gap Analysis update'!$B26,'MoDi Initiatives'!$A:$A,'Gap Analysis update'!$A26,'MoDi Initiatives'!$B:$B,'Gap Analysis update'!AK$2,'MoDi Initiatives'!$C:$C,'Gap Analysis update'!$B$7)</f>
        <v>0</v>
      </c>
      <c r="AL26" s="298">
        <f>SUMIFS('MoDi Initiatives'!R:R,'MoDi Initiatives'!$E:$E,'Gap Analysis update'!$B26,'MoDi Initiatives'!$A:$A,'Gap Analysis update'!$A26,'MoDi Initiatives'!$B:$B,'Gap Analysis update'!AL$2)-SUMIFS('MoDi Initiatives'!R:R,'MoDi Initiatives'!$E:$E,'Gap Analysis update'!$B26,'MoDi Initiatives'!$A:$A,'Gap Analysis update'!$A26,'MoDi Initiatives'!$B:$B,'Gap Analysis update'!AL$2,'MoDi Initiatives'!$C:$C,'Gap Analysis update'!$B$7)</f>
        <v>0</v>
      </c>
      <c r="AM26" s="298">
        <f>SUMIFS('MoDi Initiatives'!S:S,'MoDi Initiatives'!$E:$E,'Gap Analysis update'!$B26,'MoDi Initiatives'!$A:$A,'Gap Analysis update'!$A26,'MoDi Initiatives'!$B:$B,'Gap Analysis update'!AM$2)-SUMIFS('MoDi Initiatives'!S:S,'MoDi Initiatives'!$E:$E,'Gap Analysis update'!$B26,'MoDi Initiatives'!$A:$A,'Gap Analysis update'!$A26,'MoDi Initiatives'!$B:$B,'Gap Analysis update'!AM$2,'MoDi Initiatives'!$C:$C,'Gap Analysis update'!$B$7)</f>
        <v>0</v>
      </c>
      <c r="AN26" s="298">
        <f>SUMIFS('MoDi Initiatives'!T:T,'MoDi Initiatives'!$E:$E,'Gap Analysis update'!$B26,'MoDi Initiatives'!$A:$A,'Gap Analysis update'!$A26,'MoDi Initiatives'!$B:$B,'Gap Analysis update'!AN$2)-SUMIFS('MoDi Initiatives'!T:T,'MoDi Initiatives'!$E:$E,'Gap Analysis update'!$B26,'MoDi Initiatives'!$A:$A,'Gap Analysis update'!$A26,'MoDi Initiatives'!$B:$B,'Gap Analysis update'!AN$2,'MoDi Initiatives'!$C:$C,'Gap Analysis update'!$B$7)</f>
        <v>0</v>
      </c>
      <c r="AO26" s="298">
        <f>SUMIFS('MoDi Initiatives'!U:U,'MoDi Initiatives'!$E:$E,'Gap Analysis update'!$B26,'MoDi Initiatives'!$A:$A,'Gap Analysis update'!$A26,'MoDi Initiatives'!$B:$B,'Gap Analysis update'!AO$2)-SUMIFS('MoDi Initiatives'!U:U,'MoDi Initiatives'!$E:$E,'Gap Analysis update'!$B26,'MoDi Initiatives'!$A:$A,'Gap Analysis update'!$A26,'MoDi Initiatives'!$B:$B,'Gap Analysis update'!AO$2,'MoDi Initiatives'!$C:$C,'Gap Analysis update'!$B$7)</f>
        <v>0</v>
      </c>
      <c r="AP26" s="298">
        <f>SUMIFS('MoDi Initiatives'!V:V,'MoDi Initiatives'!$E:$E,'Gap Analysis update'!$B26,'MoDi Initiatives'!$A:$A,'Gap Analysis update'!$A26,'MoDi Initiatives'!$B:$B,'Gap Analysis update'!AP$2)-SUMIFS('MoDi Initiatives'!V:V,'MoDi Initiatives'!$E:$E,'Gap Analysis update'!$B26,'MoDi Initiatives'!$A:$A,'Gap Analysis update'!$A26,'MoDi Initiatives'!$B:$B,'Gap Analysis update'!AP$2,'MoDi Initiatives'!$C:$C,'Gap Analysis update'!$B$7)</f>
        <v>0</v>
      </c>
      <c r="AQ26" s="298">
        <f>SUMIFS('MoDi Initiatives'!W:W,'MoDi Initiatives'!$E:$E,'Gap Analysis update'!$B26,'MoDi Initiatives'!$A:$A,'Gap Analysis update'!$A26,'MoDi Initiatives'!$B:$B,'Gap Analysis update'!AQ$2)-SUMIFS('MoDi Initiatives'!W:W,'MoDi Initiatives'!$E:$E,'Gap Analysis update'!$B26,'MoDi Initiatives'!$A:$A,'Gap Analysis update'!$A26,'MoDi Initiatives'!$B:$B,'Gap Analysis update'!AQ$2,'MoDi Initiatives'!$C:$C,'Gap Analysis update'!$B$7)</f>
        <v>0</v>
      </c>
      <c r="AR26" s="293"/>
      <c r="AT26" s="298">
        <f t="shared" si="22"/>
        <v>0</v>
      </c>
      <c r="AU26" s="288">
        <f t="shared" si="22"/>
        <v>0</v>
      </c>
      <c r="AV26" s="288">
        <f t="shared" si="22"/>
        <v>0</v>
      </c>
      <c r="AW26" s="288">
        <f t="shared" si="22"/>
        <v>0</v>
      </c>
      <c r="AX26" s="298">
        <f t="shared" si="22"/>
        <v>0</v>
      </c>
      <c r="AY26" s="298">
        <f t="shared" si="22"/>
        <v>0</v>
      </c>
      <c r="AZ26" s="298">
        <f>AH26-P26</f>
        <v>0</v>
      </c>
      <c r="BA26" s="298">
        <f t="shared" si="22"/>
        <v>0</v>
      </c>
      <c r="BB26" s="298">
        <f t="shared" si="22"/>
        <v>0</v>
      </c>
      <c r="BC26" s="298">
        <f t="shared" si="22"/>
        <v>0</v>
      </c>
      <c r="BD26" s="298">
        <f t="shared" si="22"/>
        <v>0</v>
      </c>
      <c r="BE26" s="298">
        <f t="shared" si="22"/>
        <v>0</v>
      </c>
      <c r="BF26" s="298">
        <f t="shared" si="22"/>
        <v>0</v>
      </c>
      <c r="BG26" s="298">
        <f t="shared" si="22"/>
        <v>0</v>
      </c>
      <c r="BH26" s="298">
        <f t="shared" si="22"/>
        <v>0</v>
      </c>
      <c r="BI26" s="298">
        <f t="shared" si="22"/>
        <v>0</v>
      </c>
      <c r="BJ26" s="293"/>
      <c r="BK26" s="288"/>
      <c r="BL26" s="288"/>
      <c r="BM26" s="288"/>
      <c r="BN26" s="288"/>
      <c r="BO26" s="288"/>
      <c r="BP26" s="288" t="s">
        <v>22</v>
      </c>
      <c r="BQ26" s="288" t="s">
        <v>29</v>
      </c>
      <c r="BR26" s="288" t="s">
        <v>85</v>
      </c>
      <c r="BS26" s="288" t="s">
        <v>86</v>
      </c>
      <c r="BT26" s="288" t="s">
        <v>87</v>
      </c>
      <c r="BU26" s="288"/>
      <c r="BV26" s="288"/>
      <c r="BW26" s="288"/>
      <c r="BX26" s="288"/>
      <c r="BY26" s="288"/>
      <c r="BZ26" s="288"/>
      <c r="CA26" s="288"/>
      <c r="CB26" s="288"/>
    </row>
    <row r="27" spans="1:80" s="298" customFormat="1" ht="228.75" customHeight="1">
      <c r="A27" s="296" t="s">
        <v>82</v>
      </c>
      <c r="B27" s="287" t="s">
        <v>33</v>
      </c>
      <c r="C27" s="288">
        <f t="shared" si="23"/>
        <v>1.3012979275343707E-2</v>
      </c>
      <c r="D27" s="289">
        <f t="shared" si="24"/>
        <v>-1.5932741645388975E-2</v>
      </c>
      <c r="E27" s="289">
        <f t="shared" si="8"/>
        <v>-2.9197623700452681E-3</v>
      </c>
      <c r="F27" s="286" t="s">
        <v>34</v>
      </c>
      <c r="G27" s="286" t="s">
        <v>35</v>
      </c>
      <c r="H27" s="297"/>
      <c r="J27" s="291">
        <f>SUMIFS('MoDi Initiatives'!H:H,'MoDi Initiatives'!$E:$E,'Gap Analysis update'!$B27,'MoDi Initiatives'!$A:$A,'Gap Analysis update'!$A27,'MoDi Initiatives'!$B:$B,'Gap Analysis update'!J$2)-SUMIFS('MoDi Initiatives'!H:H,'MoDi Initiatives'!$E:$E,'Gap Analysis update'!$B27,'MoDi Initiatives'!$A:$A,'Gap Analysis update'!$A27,'MoDi Initiatives'!$C:$C,'Gap Analysis update'!$B$7,'MoDi Initiatives'!$B:$B,'Gap Analysis update'!J$2)</f>
        <v>-8.1541770043510684E-3</v>
      </c>
      <c r="K27" s="291">
        <f>SUMIFS('MoDi Initiatives'!I:I,'MoDi Initiatives'!$E:$E,'Gap Analysis update'!$B27,'MoDi Initiatives'!$A:$A,'Gap Analysis update'!$A27,'MoDi Initiatives'!$B:$B,'Gap Analysis update'!K$2)-SUMIFS('MoDi Initiatives'!I:I,'MoDi Initiatives'!$E:$E,'Gap Analysis update'!$B27,'MoDi Initiatives'!$A:$A,'Gap Analysis update'!$A27,'MoDi Initiatives'!$C:$C,'Gap Analysis update'!$B$7,'MoDi Initiatives'!$B:$B,'Gap Analysis update'!K$2)</f>
        <v>-1.2611793766729653E-2</v>
      </c>
      <c r="L27" s="288">
        <f>SUMIFS('MoDi Initiatives'!J:J,'MoDi Initiatives'!$E:$E,'Gap Analysis update'!$B27,'MoDi Initiatives'!$A:$A,'Gap Analysis update'!$A27,'MoDi Initiatives'!$B:$B,'Gap Analysis update'!L$2)-SUMIFS('MoDi Initiatives'!J:J,'MoDi Initiatives'!$E:$E,'Gap Analysis update'!$B27,'MoDi Initiatives'!$A:$A,'Gap Analysis update'!$A27,'MoDi Initiatives'!$C:$C,'Gap Analysis update'!$B$7,'MoDi Initiatives'!$B:$B,'Gap Analysis update'!L$2)</f>
        <v>0</v>
      </c>
      <c r="M27" s="288">
        <f>SUMIFS('MoDi Initiatives'!K:K,'MoDi Initiatives'!$E:$E,'Gap Analysis update'!$B27,'MoDi Initiatives'!$A:$A,'Gap Analysis update'!$A27,'MoDi Initiatives'!$B:$B,'Gap Analysis update'!M$2)-SUMIFS('MoDi Initiatives'!K:K,'MoDi Initiatives'!$E:$E,'Gap Analysis update'!$B27,'MoDi Initiatives'!$A:$A,'Gap Analysis update'!$A27,'MoDi Initiatives'!$C:$C,'Gap Analysis update'!$B$7,'MoDi Initiatives'!$B:$B,'Gap Analysis update'!M$2)</f>
        <v>0</v>
      </c>
      <c r="N27" s="288">
        <f>SUMIFS('MoDi Initiatives'!L:L,'MoDi Initiatives'!$E:$E,'Gap Analysis update'!$B27,'MoDi Initiatives'!$A:$A,'Gap Analysis update'!$A27,'MoDi Initiatives'!$B:$B,'Gap Analysis update'!N$2)-SUMIFS('MoDi Initiatives'!L:L,'MoDi Initiatives'!$E:$E,'Gap Analysis update'!$B27,'MoDi Initiatives'!$A:$A,'Gap Analysis update'!$A27,'MoDi Initiatives'!$C:$C,'Gap Analysis update'!$B$7,'MoDi Initiatives'!$B:$B,'Gap Analysis update'!N$2)</f>
        <v>0</v>
      </c>
      <c r="O27" s="288">
        <f>SUMIFS('MoDi Initiatives'!M:M,'MoDi Initiatives'!$E:$E,'Gap Analysis update'!$B27,'MoDi Initiatives'!$A:$A,'Gap Analysis update'!$A27,'MoDi Initiatives'!$B:$B,'Gap Analysis update'!O$2)-SUMIFS('MoDi Initiatives'!M:M,'MoDi Initiatives'!$E:$E,'Gap Analysis update'!$B27,'MoDi Initiatives'!$A:$A,'Gap Analysis update'!$A27,'MoDi Initiatives'!$C:$C,'Gap Analysis update'!$B$7,'MoDi Initiatives'!$B:$B,'Gap Analysis update'!O$2)</f>
        <v>0</v>
      </c>
      <c r="P27" s="371">
        <f>SUMIFS('MoDi Initiatives'!N:N,'MoDi Initiatives'!$E:$E,'Gap Analysis update'!$B27,'MoDi Initiatives'!$A:$A,'Gap Analysis update'!$A27,'MoDi Initiatives'!$B:$B,'Gap Analysis update'!P$2)-SUMIFS('MoDi Initiatives'!N:N,'MoDi Initiatives'!$E:$E,'Gap Analysis update'!$B27,'MoDi Initiatives'!$A:$A,'Gap Analysis update'!$A27,'MoDi Initiatives'!$C:$C,'Gap Analysis update'!$B$7,'MoDi Initiatives'!$B:$B,'Gap Analysis update'!P$2)</f>
        <v>-2.7777475771222061E-2</v>
      </c>
      <c r="Q27" s="288">
        <f>SUMIFS('MoDi Initiatives'!O:O,'MoDi Initiatives'!$E:$E,'Gap Analysis update'!$B27,'MoDi Initiatives'!$A:$A,'Gap Analysis update'!$A27,'MoDi Initiatives'!$B:$B,'Gap Analysis update'!Q$2)-SUMIFS('MoDi Initiatives'!O:O,'MoDi Initiatives'!$E:$E,'Gap Analysis update'!$B27,'MoDi Initiatives'!$A:$A,'Gap Analysis update'!$A27,'MoDi Initiatives'!$C:$C,'Gap Analysis update'!$B$7,'MoDi Initiatives'!$B:$B,'Gap Analysis update'!Q$2)</f>
        <v>0</v>
      </c>
      <c r="R27" s="288">
        <f>SUMIFS('MoDi Initiatives'!P:P,'MoDi Initiatives'!$E:$E,'Gap Analysis update'!$B27,'MoDi Initiatives'!$A:$A,'Gap Analysis update'!$A27,'MoDi Initiatives'!$B:$B,'Gap Analysis update'!R$2)-SUMIFS('MoDi Initiatives'!P:P,'MoDi Initiatives'!$E:$E,'Gap Analysis update'!$B27,'MoDi Initiatives'!$A:$A,'Gap Analysis update'!$A27,'MoDi Initiatives'!$C:$C,'Gap Analysis update'!$B$7,'MoDi Initiatives'!$B:$B,'Gap Analysis update'!R$2)</f>
        <v>0</v>
      </c>
      <c r="S27" s="288">
        <f>SUMIFS('MoDi Initiatives'!Q:Q,'MoDi Initiatives'!$E:$E,'Gap Analysis update'!$B27,'MoDi Initiatives'!$A:$A,'Gap Analysis update'!$A27,'MoDi Initiatives'!$B:$B,'Gap Analysis update'!S$2)-SUMIFS('MoDi Initiatives'!Q:Q,'MoDi Initiatives'!$E:$E,'Gap Analysis update'!$B27,'MoDi Initiatives'!$A:$A,'Gap Analysis update'!$A27,'MoDi Initiatives'!$C:$C,'Gap Analysis update'!$B$7,'MoDi Initiatives'!$B:$B,'Gap Analysis update'!S$2)</f>
        <v>0</v>
      </c>
      <c r="T27" s="288">
        <f>SUMIFS('MoDi Initiatives'!R:R,'MoDi Initiatives'!$E:$E,'Gap Analysis update'!$B27,'MoDi Initiatives'!$A:$A,'Gap Analysis update'!$A27,'MoDi Initiatives'!$B:$B,'Gap Analysis update'!T$2)-SUMIFS('MoDi Initiatives'!R:R,'MoDi Initiatives'!$E:$E,'Gap Analysis update'!$B27,'MoDi Initiatives'!$A:$A,'Gap Analysis update'!$A27,'MoDi Initiatives'!$C:$C,'Gap Analysis update'!$B$7,'MoDi Initiatives'!$B:$B,'Gap Analysis update'!T$2)</f>
        <v>0</v>
      </c>
      <c r="U27" s="288">
        <f>SUMIFS('MoDi Initiatives'!S:S,'MoDi Initiatives'!$E:$E,'Gap Analysis update'!$B27,'MoDi Initiatives'!$A:$A,'Gap Analysis update'!$A27,'MoDi Initiatives'!$B:$B,'Gap Analysis update'!U$2)-SUMIFS('MoDi Initiatives'!S:S,'MoDi Initiatives'!$E:$E,'Gap Analysis update'!$B27,'MoDi Initiatives'!$A:$A,'Gap Analysis update'!$A27,'MoDi Initiatives'!$C:$C,'Gap Analysis update'!$B$7,'MoDi Initiatives'!$B:$B,'Gap Analysis update'!U$2)</f>
        <v>0</v>
      </c>
      <c r="V27" s="292">
        <f>SUMIFS('MoDi Initiatives'!T:T,'MoDi Initiatives'!$E:$E,'Gap Analysis update'!$B27,'MoDi Initiatives'!$A:$A,'Gap Analysis update'!$A27,'MoDi Initiatives'!$B:$B,'Gap Analysis update'!V$2)-SUMIFS('MoDi Initiatives'!T:T,'MoDi Initiatives'!$E:$E,'Gap Analysis update'!$B27,'MoDi Initiatives'!$A:$A,'Gap Analysis update'!$A27,'MoDi Initiatives'!$C:$C,'Gap Analysis update'!$B$7,'MoDi Initiatives'!$B:$B,'Gap Analysis update'!V$2)</f>
        <v>-6.8495086836548981E-3</v>
      </c>
      <c r="W27" s="288">
        <f>SUMIFS('MoDi Initiatives'!U:U,'MoDi Initiatives'!$E:$E,'Gap Analysis update'!$B27,'MoDi Initiatives'!$A:$A,'Gap Analysis update'!$A27,'MoDi Initiatives'!$B:$B,'Gap Analysis update'!W$2)-SUMIFS('MoDi Initiatives'!U:U,'MoDi Initiatives'!$E:$E,'Gap Analysis update'!$B27,'MoDi Initiatives'!$A:$A,'Gap Analysis update'!$A27,'MoDi Initiatives'!$C:$C,'Gap Analysis update'!$B$7,'MoDi Initiatives'!$B:$B,'Gap Analysis update'!W$2)</f>
        <v>0</v>
      </c>
      <c r="X27" s="288">
        <f>SUMIFS('MoDi Initiatives'!V:V,'MoDi Initiatives'!$E:$E,'Gap Analysis update'!$B27,'MoDi Initiatives'!$A:$A,'Gap Analysis update'!$A27,'MoDi Initiatives'!$B:$B,'Gap Analysis update'!X$2)-SUMIFS('MoDi Initiatives'!V:V,'MoDi Initiatives'!$E:$E,'Gap Analysis update'!$B27,'MoDi Initiatives'!$A:$A,'Gap Analysis update'!$A27,'MoDi Initiatives'!$C:$C,'Gap Analysis update'!$B$7,'MoDi Initiatives'!$B:$B,'Gap Analysis update'!X$2)</f>
        <v>0</v>
      </c>
      <c r="Y27" s="288">
        <f>SUMIFS('MoDi Initiatives'!W:W,'MoDi Initiatives'!$E:$E,'Gap Analysis update'!$B27,'MoDi Initiatives'!$A:$A,'Gap Analysis update'!$A27,'MoDi Initiatives'!$B:$B,'Gap Analysis update'!Y$2)-SUMIFS('MoDi Initiatives'!W:W,'MoDi Initiatives'!$E:$E,'Gap Analysis update'!$B27,'MoDi Initiatives'!$A:$A,'Gap Analysis update'!$A27,'MoDi Initiatives'!$C:$C,'Gap Analysis update'!$B$7,'MoDi Initiatives'!$B:$B,'Gap Analysis update'!Y$2)</f>
        <v>0</v>
      </c>
      <c r="Z27" s="293"/>
      <c r="AB27" s="298">
        <f>SUMIFS('MoDi Initiatives'!H:H,'MoDi Initiatives'!$E:$E,'Gap Analysis update'!$B27,'MoDi Initiatives'!$A:$A,'Gap Analysis update'!$A27,'MoDi Initiatives'!$B:$B,'Gap Analysis update'!AB$2)-SUMIFS('MoDi Initiatives'!H:H,'MoDi Initiatives'!$E:$E,'Gap Analysis update'!$B27,'MoDi Initiatives'!$A:$A,'Gap Analysis update'!$A27,'MoDi Initiatives'!$B:$B,'Gap Analysis update'!AB$2,'MoDi Initiatives'!$C:$C,'Gap Analysis update'!$B$7)</f>
        <v>-1.5003685688005981E-2</v>
      </c>
      <c r="AC27" s="298">
        <f>SUMIFS('MoDi Initiatives'!I:I,'MoDi Initiatives'!$E:$E,'Gap Analysis update'!$B27,'MoDi Initiatives'!$A:$A,'Gap Analysis update'!$A27,'MoDi Initiatives'!$B:$B,'Gap Analysis update'!AC$2)-SUMIFS('MoDi Initiatives'!I:I,'MoDi Initiatives'!$E:$E,'Gap Analysis update'!$B27,'MoDi Initiatives'!$A:$A,'Gap Analysis update'!$A27,'MoDi Initiatives'!$B:$B,'Gap Analysis update'!AC$2,'MoDi Initiatives'!$C:$C,'Gap Analysis update'!$B$7)</f>
        <v>-1.087223600580144E-3</v>
      </c>
      <c r="AD27" s="298">
        <f>SUMIFS('MoDi Initiatives'!J:J,'MoDi Initiatives'!$E:$E,'Gap Analysis update'!$B27,'MoDi Initiatives'!$A:$A,'Gap Analysis update'!$A27,'MoDi Initiatives'!$B:$B,'Gap Analysis update'!AD$2)-SUMIFS('MoDi Initiatives'!J:J,'MoDi Initiatives'!$E:$E,'Gap Analysis update'!$B27,'MoDi Initiatives'!$A:$A,'Gap Analysis update'!$A27,'MoDi Initiatives'!$B:$B,'Gap Analysis update'!AD$2,'MoDi Initiatives'!$C:$C,'Gap Analysis update'!$B$7)</f>
        <v>0</v>
      </c>
      <c r="AE27" s="298">
        <f>SUMIFS('MoDi Initiatives'!K:K,'MoDi Initiatives'!$E:$E,'Gap Analysis update'!$B27,'MoDi Initiatives'!$A:$A,'Gap Analysis update'!$A27,'MoDi Initiatives'!$B:$B,'Gap Analysis update'!AE$2)-SUMIFS('MoDi Initiatives'!K:K,'MoDi Initiatives'!$E:$E,'Gap Analysis update'!$B27,'MoDi Initiatives'!$A:$A,'Gap Analysis update'!$A27,'MoDi Initiatives'!$B:$B,'Gap Analysis update'!AE$2,'MoDi Initiatives'!$C:$C,'Gap Analysis update'!$B$7)</f>
        <v>0</v>
      </c>
      <c r="AF27" s="298">
        <f>SUMIFS('MoDi Initiatives'!L:L,'MoDi Initiatives'!$E:$E,'Gap Analysis update'!$B27,'MoDi Initiatives'!$A:$A,'Gap Analysis update'!$A27,'MoDi Initiatives'!$B:$B,'Gap Analysis update'!AF$2)-SUMIFS('MoDi Initiatives'!L:L,'MoDi Initiatives'!$E:$E,'Gap Analysis update'!$B27,'MoDi Initiatives'!$A:$A,'Gap Analysis update'!$A27,'MoDi Initiatives'!$B:$B,'Gap Analysis update'!AF$2,'MoDi Initiatives'!$C:$C,'Gap Analysis update'!$B$7)</f>
        <v>-2.9137592495547845E-3</v>
      </c>
      <c r="AG27" s="298">
        <f>SUMIFS('MoDi Initiatives'!M:M,'MoDi Initiatives'!$E:$E,'Gap Analysis update'!$B27,'MoDi Initiatives'!$A:$A,'Gap Analysis update'!$A27,'MoDi Initiatives'!$B:$B,'Gap Analysis update'!AG$2)-SUMIFS('MoDi Initiatives'!M:M,'MoDi Initiatives'!$E:$E,'Gap Analysis update'!$B27,'MoDi Initiatives'!$A:$A,'Gap Analysis update'!$A27,'MoDi Initiatives'!$B:$B,'Gap Analysis update'!AG$2,'MoDi Initiatives'!$C:$C,'Gap Analysis update'!$B$7)</f>
        <v>0</v>
      </c>
      <c r="AH27" s="298">
        <f>SUMIFS('MoDi Initiatives'!N:N,'MoDi Initiatives'!$E:$E,'Gap Analysis update'!$B27,'MoDi Initiatives'!$A:$A,'Gap Analysis update'!$A27,'MoDi Initiatives'!$B:$B,'Gap Analysis update'!AH$2)-SUMIFS('MoDi Initiatives'!N:N,'MoDi Initiatives'!$E:$E,'Gap Analysis update'!$B27,'MoDi Initiatives'!$A:$A,'Gap Analysis update'!$A27,'MoDi Initiatives'!$B:$B,'Gap Analysis update'!AH$2,'MoDi Initiatives'!$C:$C,'Gap Analysis update'!$B$7)</f>
        <v>-4.3488944023205702E-4</v>
      </c>
      <c r="AI27" s="298">
        <f>SUMIFS('MoDi Initiatives'!O:O,'MoDi Initiatives'!$E:$E,'Gap Analysis update'!$B27,'MoDi Initiatives'!$A:$A,'Gap Analysis update'!$A27,'MoDi Initiatives'!$B:$B,'Gap Analysis update'!AI$2)-SUMIFS('MoDi Initiatives'!O:O,'MoDi Initiatives'!$E:$E,'Gap Analysis update'!$B27,'MoDi Initiatives'!$A:$A,'Gap Analysis update'!$A27,'MoDi Initiatives'!$B:$B,'Gap Analysis update'!AI$2,'MoDi Initiatives'!$C:$C,'Gap Analysis update'!$B$7)</f>
        <v>-1.609090928858611E-2</v>
      </c>
      <c r="AJ27" s="288">
        <f>SUMIFS('MoDi Initiatives'!P:P,'MoDi Initiatives'!$E:$E,'Gap Analysis update'!$B27,'MoDi Initiatives'!$A:$A,'Gap Analysis update'!$A27,'MoDi Initiatives'!$B:$B,'Gap Analysis update'!AJ$2)-SUMIFS('MoDi Initiatives'!P:P,'MoDi Initiatives'!$E:$E,'Gap Analysis update'!$B27,'MoDi Initiatives'!$A:$A,'Gap Analysis update'!$A27,'MoDi Initiatives'!$B:$B,'Gap Analysis update'!AJ$2,'MoDi Initiatives'!$C:$C,'Gap Analysis update'!$B$7)</f>
        <v>0</v>
      </c>
      <c r="AK27" s="298">
        <f>SUMIFS('MoDi Initiatives'!Q:Q,'MoDi Initiatives'!$E:$E,'Gap Analysis update'!$B27,'MoDi Initiatives'!$A:$A,'Gap Analysis update'!$A27,'MoDi Initiatives'!$B:$B,'Gap Analysis update'!AK$2)-SUMIFS('MoDi Initiatives'!Q:Q,'MoDi Initiatives'!$E:$E,'Gap Analysis update'!$B27,'MoDi Initiatives'!$A:$A,'Gap Analysis update'!$A27,'MoDi Initiatives'!$B:$B,'Gap Analysis update'!AK$2,'MoDi Initiatives'!$C:$C,'Gap Analysis update'!$B$7)</f>
        <v>-5.3903584077675598E-3</v>
      </c>
      <c r="AL27" s="298">
        <f>SUMIFS('MoDi Initiatives'!R:R,'MoDi Initiatives'!$E:$E,'Gap Analysis update'!$B27,'MoDi Initiatives'!$A:$A,'Gap Analysis update'!$A27,'MoDi Initiatives'!$B:$B,'Gap Analysis update'!AL$2)-SUMIFS('MoDi Initiatives'!R:R,'MoDi Initiatives'!$E:$E,'Gap Analysis update'!$B27,'MoDi Initiatives'!$A:$A,'Gap Analysis update'!$A27,'MoDi Initiatives'!$B:$B,'Gap Analysis update'!AL$2,'MoDi Initiatives'!$C:$C,'Gap Analysis update'!$B$7)</f>
        <v>0</v>
      </c>
      <c r="AM27" s="298">
        <f>SUMIFS('MoDi Initiatives'!S:S,'MoDi Initiatives'!$E:$E,'Gap Analysis update'!$B27,'MoDi Initiatives'!$A:$A,'Gap Analysis update'!$A27,'MoDi Initiatives'!$B:$B,'Gap Analysis update'!AM$2)-SUMIFS('MoDi Initiatives'!S:S,'MoDi Initiatives'!$E:$E,'Gap Analysis update'!$B27,'MoDi Initiatives'!$A:$A,'Gap Analysis update'!$A27,'MoDi Initiatives'!$B:$B,'Gap Analysis update'!AM$2,'MoDi Initiatives'!$C:$C,'Gap Analysis update'!$B$7)</f>
        <v>-1.4999999999999999E-2</v>
      </c>
      <c r="AN27" s="298">
        <f>SUMIFS('MoDi Initiatives'!T:T,'MoDi Initiatives'!$E:$E,'Gap Analysis update'!$B27,'MoDi Initiatives'!$A:$A,'Gap Analysis update'!$A27,'MoDi Initiatives'!$B:$B,'Gap Analysis update'!AN$2)-SUMIFS('MoDi Initiatives'!T:T,'MoDi Initiatives'!$E:$E,'Gap Analysis update'!$B27,'MoDi Initiatives'!$A:$A,'Gap Analysis update'!$A27,'MoDi Initiatives'!$B:$B,'Gap Analysis update'!AN$2,'MoDi Initiatives'!$C:$C,'Gap Analysis update'!$B$7)</f>
        <v>-2.3918919212763136E-3</v>
      </c>
      <c r="AO27" s="298">
        <f>SUMIFS('MoDi Initiatives'!U:U,'MoDi Initiatives'!$E:$E,'Gap Analysis update'!$B27,'MoDi Initiatives'!$A:$A,'Gap Analysis update'!$A27,'MoDi Initiatives'!$B:$B,'Gap Analysis update'!AO$2)-SUMIFS('MoDi Initiatives'!U:U,'MoDi Initiatives'!$E:$E,'Gap Analysis update'!$B27,'MoDi Initiatives'!$A:$A,'Gap Analysis update'!$A27,'MoDi Initiatives'!$B:$B,'Gap Analysis update'!AO$2,'MoDi Initiatives'!$C:$C,'Gap Analysis update'!$B$7)</f>
        <v>0</v>
      </c>
      <c r="AP27" s="298">
        <f>SUMIFS('MoDi Initiatives'!V:V,'MoDi Initiatives'!$E:$E,'Gap Analysis update'!$B27,'MoDi Initiatives'!$A:$A,'Gap Analysis update'!$A27,'MoDi Initiatives'!$B:$B,'Gap Analysis update'!AP$2)-SUMIFS('MoDi Initiatives'!V:V,'MoDi Initiatives'!$E:$E,'Gap Analysis update'!$B27,'MoDi Initiatives'!$A:$A,'Gap Analysis update'!$A27,'MoDi Initiatives'!$B:$B,'Gap Analysis update'!AP$2,'MoDi Initiatives'!$C:$C,'Gap Analysis update'!$B$7)</f>
        <v>0</v>
      </c>
      <c r="AQ27" s="298">
        <f>SUMIFS('MoDi Initiatives'!W:W,'MoDi Initiatives'!$E:$E,'Gap Analysis update'!$B27,'MoDi Initiatives'!$A:$A,'Gap Analysis update'!$A27,'MoDi Initiatives'!$B:$B,'Gap Analysis update'!AQ$2)-SUMIFS('MoDi Initiatives'!W:W,'MoDi Initiatives'!$E:$E,'Gap Analysis update'!$B27,'MoDi Initiatives'!$A:$A,'Gap Analysis update'!$A27,'MoDi Initiatives'!$B:$B,'Gap Analysis update'!AQ$2,'MoDi Initiatives'!$C:$C,'Gap Analysis update'!$B$7)</f>
        <v>0</v>
      </c>
      <c r="AR27" s="293"/>
      <c r="AT27" s="298">
        <f t="shared" si="22"/>
        <v>-6.8495086836549129E-3</v>
      </c>
      <c r="AU27" s="298">
        <f t="shared" si="22"/>
        <v>1.1524570166149509E-2</v>
      </c>
      <c r="AV27" s="298">
        <f t="shared" si="22"/>
        <v>0</v>
      </c>
      <c r="AW27" s="298">
        <f t="shared" si="22"/>
        <v>0</v>
      </c>
      <c r="AX27" s="298">
        <f t="shared" si="22"/>
        <v>-2.9137592495547845E-3</v>
      </c>
      <c r="AY27" s="298">
        <f t="shared" si="22"/>
        <v>0</v>
      </c>
      <c r="AZ27" s="298">
        <f t="shared" si="22"/>
        <v>2.7342586330990005E-2</v>
      </c>
      <c r="BA27" s="298">
        <f t="shared" si="22"/>
        <v>-1.609090928858611E-2</v>
      </c>
      <c r="BB27" s="292">
        <f t="shared" si="22"/>
        <v>0</v>
      </c>
      <c r="BC27" s="298">
        <f t="shared" si="22"/>
        <v>-5.3903584077675598E-3</v>
      </c>
      <c r="BD27" s="298">
        <f t="shared" si="22"/>
        <v>0</v>
      </c>
      <c r="BE27" s="298">
        <f t="shared" si="22"/>
        <v>-1.4999999999999999E-2</v>
      </c>
      <c r="BF27" s="298">
        <f t="shared" si="22"/>
        <v>4.4576167623785849E-3</v>
      </c>
      <c r="BG27" s="298">
        <f t="shared" si="22"/>
        <v>0</v>
      </c>
      <c r="BH27" s="298">
        <f t="shared" si="22"/>
        <v>0</v>
      </c>
      <c r="BI27" s="298">
        <f t="shared" si="22"/>
        <v>0</v>
      </c>
      <c r="BJ27" s="293"/>
      <c r="BK27" s="288"/>
      <c r="BL27" s="288" t="s">
        <v>36</v>
      </c>
      <c r="BM27" s="288" t="s">
        <v>37</v>
      </c>
      <c r="BN27" s="288"/>
      <c r="BO27" s="288"/>
      <c r="BP27" s="288" t="s">
        <v>38</v>
      </c>
      <c r="BQ27" s="288"/>
      <c r="BR27" s="288" t="s">
        <v>39</v>
      </c>
      <c r="BS27" s="288" t="s">
        <v>40</v>
      </c>
      <c r="BT27" s="288" t="s">
        <v>41</v>
      </c>
      <c r="BU27" s="288"/>
      <c r="BV27" s="288"/>
      <c r="BW27" s="288"/>
      <c r="BX27" s="288" t="s">
        <v>42</v>
      </c>
      <c r="BY27" s="288"/>
      <c r="BZ27" s="288"/>
      <c r="CA27" s="288"/>
      <c r="CB27" s="288"/>
    </row>
    <row r="28" spans="1:80" s="298" customFormat="1" ht="107.25" customHeight="1">
      <c r="A28" s="296" t="s">
        <v>82</v>
      </c>
      <c r="B28" s="287" t="s">
        <v>43</v>
      </c>
      <c r="C28" s="288">
        <f t="shared" si="23"/>
        <v>5.897983635110321E-3</v>
      </c>
      <c r="D28" s="289">
        <f t="shared" si="24"/>
        <v>1.2454841080526305E-3</v>
      </c>
      <c r="E28" s="289">
        <f t="shared" si="8"/>
        <v>7.1434677431629519E-3</v>
      </c>
      <c r="F28" s="286" t="s">
        <v>88</v>
      </c>
      <c r="G28" s="286" t="s">
        <v>89</v>
      </c>
      <c r="H28" s="297"/>
      <c r="J28" s="288">
        <f>SUMIFS('MoDi Initiatives'!H:H,'MoDi Initiatives'!$E:$E,'Gap Analysis update'!$B28,'MoDi Initiatives'!$A:$A,'Gap Analysis update'!$A28,'MoDi Initiatives'!$B:$B,'Gap Analysis update'!J$2)-SUMIFS('MoDi Initiatives'!H:H,'MoDi Initiatives'!$E:$E,'Gap Analysis update'!$B28,'MoDi Initiatives'!$A:$A,'Gap Analysis update'!$A28,'MoDi Initiatives'!$C:$C,'Gap Analysis update'!$B$7,'MoDi Initiatives'!$B:$B,'Gap Analysis update'!J$2)</f>
        <v>0</v>
      </c>
      <c r="K28" s="288">
        <f>SUMIFS('MoDi Initiatives'!I:I,'MoDi Initiatives'!$E:$E,'Gap Analysis update'!$B28,'MoDi Initiatives'!$A:$A,'Gap Analysis update'!$A28,'MoDi Initiatives'!$B:$B,'Gap Analysis update'!K$2)-SUMIFS('MoDi Initiatives'!I:I,'MoDi Initiatives'!$E:$E,'Gap Analysis update'!$B28,'MoDi Initiatives'!$A:$A,'Gap Analysis update'!$A28,'MoDi Initiatives'!$C:$C,'Gap Analysis update'!$B$7,'MoDi Initiatives'!$B:$B,'Gap Analysis update'!K$2)</f>
        <v>0</v>
      </c>
      <c r="L28" s="288">
        <f>SUMIFS('MoDi Initiatives'!J:J,'MoDi Initiatives'!$E:$E,'Gap Analysis update'!$B28,'MoDi Initiatives'!$A:$A,'Gap Analysis update'!$A28,'MoDi Initiatives'!$B:$B,'Gap Analysis update'!L$2)-SUMIFS('MoDi Initiatives'!J:J,'MoDi Initiatives'!$E:$E,'Gap Analysis update'!$B28,'MoDi Initiatives'!$A:$A,'Gap Analysis update'!$A28,'MoDi Initiatives'!$C:$C,'Gap Analysis update'!$B$7,'MoDi Initiatives'!$B:$B,'Gap Analysis update'!L$2)</f>
        <v>0</v>
      </c>
      <c r="M28" s="288">
        <f>SUMIFS('MoDi Initiatives'!K:K,'MoDi Initiatives'!$E:$E,'Gap Analysis update'!$B28,'MoDi Initiatives'!$A:$A,'Gap Analysis update'!$A28,'MoDi Initiatives'!$B:$B,'Gap Analysis update'!M$2)-SUMIFS('MoDi Initiatives'!K:K,'MoDi Initiatives'!$E:$E,'Gap Analysis update'!$B28,'MoDi Initiatives'!$A:$A,'Gap Analysis update'!$A28,'MoDi Initiatives'!$C:$C,'Gap Analysis update'!$B$7,'MoDi Initiatives'!$B:$B,'Gap Analysis update'!M$2)</f>
        <v>0</v>
      </c>
      <c r="N28" s="288">
        <f>SUMIFS('MoDi Initiatives'!L:L,'MoDi Initiatives'!$E:$E,'Gap Analysis update'!$B28,'MoDi Initiatives'!$A:$A,'Gap Analysis update'!$A28,'MoDi Initiatives'!$B:$B,'Gap Analysis update'!N$2)-SUMIFS('MoDi Initiatives'!L:L,'MoDi Initiatives'!$E:$E,'Gap Analysis update'!$B28,'MoDi Initiatives'!$A:$A,'Gap Analysis update'!$A28,'MoDi Initiatives'!$C:$C,'Gap Analysis update'!$B$7,'MoDi Initiatives'!$B:$B,'Gap Analysis update'!N$2)</f>
        <v>0</v>
      </c>
      <c r="O28" s="288">
        <f>SUMIFS('MoDi Initiatives'!M:M,'MoDi Initiatives'!$E:$E,'Gap Analysis update'!$B28,'MoDi Initiatives'!$A:$A,'Gap Analysis update'!$A28,'MoDi Initiatives'!$B:$B,'Gap Analysis update'!O$2)-SUMIFS('MoDi Initiatives'!M:M,'MoDi Initiatives'!$E:$E,'Gap Analysis update'!$B28,'MoDi Initiatives'!$A:$A,'Gap Analysis update'!$A28,'MoDi Initiatives'!$C:$C,'Gap Analysis update'!$B$7,'MoDi Initiatives'!$B:$B,'Gap Analysis update'!O$2)</f>
        <v>0</v>
      </c>
      <c r="P28" s="371">
        <f>SUMIFS('MoDi Initiatives'!N:N,'MoDi Initiatives'!$E:$E,'Gap Analysis update'!$B28,'MoDi Initiatives'!$A:$A,'Gap Analysis update'!$A28,'MoDi Initiatives'!$B:$B,'Gap Analysis update'!P$2)-SUMIFS('MoDi Initiatives'!N:N,'MoDi Initiatives'!$E:$E,'Gap Analysis update'!$B28,'MoDi Initiatives'!$A:$A,'Gap Analysis update'!$A28,'MoDi Initiatives'!$C:$C,'Gap Analysis update'!$B$7,'MoDi Initiatives'!$B:$B,'Gap Analysis update'!P$2)</f>
        <v>-3.8322587940080935E-3</v>
      </c>
      <c r="Q28" s="288">
        <f>SUMIFS('MoDi Initiatives'!O:O,'MoDi Initiatives'!$E:$E,'Gap Analysis update'!$B28,'MoDi Initiatives'!$A:$A,'Gap Analysis update'!$A28,'MoDi Initiatives'!$B:$B,'Gap Analysis update'!Q$2)-SUMIFS('MoDi Initiatives'!O:O,'MoDi Initiatives'!$E:$E,'Gap Analysis update'!$B28,'MoDi Initiatives'!$A:$A,'Gap Analysis update'!$A28,'MoDi Initiatives'!$C:$C,'Gap Analysis update'!$B$7,'MoDi Initiatives'!$B:$B,'Gap Analysis update'!Q$2)</f>
        <v>0</v>
      </c>
      <c r="R28" s="288">
        <f>SUMIFS('MoDi Initiatives'!P:P,'MoDi Initiatives'!$E:$E,'Gap Analysis update'!$B28,'MoDi Initiatives'!$A:$A,'Gap Analysis update'!$A28,'MoDi Initiatives'!$B:$B,'Gap Analysis update'!R$2)-SUMIFS('MoDi Initiatives'!P:P,'MoDi Initiatives'!$E:$E,'Gap Analysis update'!$B28,'MoDi Initiatives'!$A:$A,'Gap Analysis update'!$A28,'MoDi Initiatives'!$C:$C,'Gap Analysis update'!$B$7,'MoDi Initiatives'!$B:$B,'Gap Analysis update'!R$2)</f>
        <v>0</v>
      </c>
      <c r="S28" s="288">
        <f>SUMIFS('MoDi Initiatives'!Q:Q,'MoDi Initiatives'!$E:$E,'Gap Analysis update'!$B28,'MoDi Initiatives'!$A:$A,'Gap Analysis update'!$A28,'MoDi Initiatives'!$B:$B,'Gap Analysis update'!S$2)-SUMIFS('MoDi Initiatives'!Q:Q,'MoDi Initiatives'!$E:$E,'Gap Analysis update'!$B28,'MoDi Initiatives'!$A:$A,'Gap Analysis update'!$A28,'MoDi Initiatives'!$C:$C,'Gap Analysis update'!$B$7,'MoDi Initiatives'!$B:$B,'Gap Analysis update'!S$2)</f>
        <v>0</v>
      </c>
      <c r="T28" s="288">
        <f>SUMIFS('MoDi Initiatives'!R:R,'MoDi Initiatives'!$E:$E,'Gap Analysis update'!$B28,'MoDi Initiatives'!$A:$A,'Gap Analysis update'!$A28,'MoDi Initiatives'!$B:$B,'Gap Analysis update'!T$2)-SUMIFS('MoDi Initiatives'!R:R,'MoDi Initiatives'!$E:$E,'Gap Analysis update'!$B28,'MoDi Initiatives'!$A:$A,'Gap Analysis update'!$A28,'MoDi Initiatives'!$C:$C,'Gap Analysis update'!$B$7,'MoDi Initiatives'!$B:$B,'Gap Analysis update'!T$2)</f>
        <v>0</v>
      </c>
      <c r="U28" s="288">
        <f>SUMIFS('MoDi Initiatives'!S:S,'MoDi Initiatives'!$E:$E,'Gap Analysis update'!$B28,'MoDi Initiatives'!$A:$A,'Gap Analysis update'!$A28,'MoDi Initiatives'!$B:$B,'Gap Analysis update'!U$2)-SUMIFS('MoDi Initiatives'!S:S,'MoDi Initiatives'!$E:$E,'Gap Analysis update'!$B28,'MoDi Initiatives'!$A:$A,'Gap Analysis update'!$A28,'MoDi Initiatives'!$C:$C,'Gap Analysis update'!$B$7,'MoDi Initiatives'!$B:$B,'Gap Analysis update'!U$2)</f>
        <v>0</v>
      </c>
      <c r="V28" s="288">
        <f>SUMIFS('MoDi Initiatives'!T:T,'MoDi Initiatives'!$E:$E,'Gap Analysis update'!$B28,'MoDi Initiatives'!$A:$A,'Gap Analysis update'!$A28,'MoDi Initiatives'!$B:$B,'Gap Analysis update'!V$2)-SUMIFS('MoDi Initiatives'!T:T,'MoDi Initiatives'!$E:$E,'Gap Analysis update'!$B28,'MoDi Initiatives'!$A:$A,'Gap Analysis update'!$A28,'MoDi Initiatives'!$C:$C,'Gap Analysis update'!$B$7,'MoDi Initiatives'!$B:$B,'Gap Analysis update'!V$2)</f>
        <v>0</v>
      </c>
      <c r="W28" s="288">
        <f>SUMIFS('MoDi Initiatives'!U:U,'MoDi Initiatives'!$E:$E,'Gap Analysis update'!$B28,'MoDi Initiatives'!$A:$A,'Gap Analysis update'!$A28,'MoDi Initiatives'!$B:$B,'Gap Analysis update'!W$2)-SUMIFS('MoDi Initiatives'!U:U,'MoDi Initiatives'!$E:$E,'Gap Analysis update'!$B28,'MoDi Initiatives'!$A:$A,'Gap Analysis update'!$A28,'MoDi Initiatives'!$C:$C,'Gap Analysis update'!$B$7,'MoDi Initiatives'!$B:$B,'Gap Analysis update'!W$2)</f>
        <v>0</v>
      </c>
      <c r="X28" s="288">
        <f>SUMIFS('MoDi Initiatives'!V:V,'MoDi Initiatives'!$E:$E,'Gap Analysis update'!$B28,'MoDi Initiatives'!$A:$A,'Gap Analysis update'!$A28,'MoDi Initiatives'!$B:$B,'Gap Analysis update'!X$2)-SUMIFS('MoDi Initiatives'!V:V,'MoDi Initiatives'!$E:$E,'Gap Analysis update'!$B28,'MoDi Initiatives'!$A:$A,'Gap Analysis update'!$A28,'MoDi Initiatives'!$C:$C,'Gap Analysis update'!$B$7,'MoDi Initiatives'!$B:$B,'Gap Analysis update'!X$2)</f>
        <v>0</v>
      </c>
      <c r="Y28" s="288">
        <f>SUMIFS('MoDi Initiatives'!W:W,'MoDi Initiatives'!$E:$E,'Gap Analysis update'!$B28,'MoDi Initiatives'!$A:$A,'Gap Analysis update'!$A28,'MoDi Initiatives'!$B:$B,'Gap Analysis update'!Y$2)-SUMIFS('MoDi Initiatives'!W:W,'MoDi Initiatives'!$E:$E,'Gap Analysis update'!$B28,'MoDi Initiatives'!$A:$A,'Gap Analysis update'!$A28,'MoDi Initiatives'!$C:$C,'Gap Analysis update'!$B$7,'MoDi Initiatives'!$B:$B,'Gap Analysis update'!Y$2)</f>
        <v>0</v>
      </c>
      <c r="Z28" s="293"/>
      <c r="AB28" s="298">
        <f>SUMIFS('MoDi Initiatives'!H:H,'MoDi Initiatives'!$E:$E,'Gap Analysis update'!$B28,'MoDi Initiatives'!$A:$A,'Gap Analysis update'!$A28,'MoDi Initiatives'!$B:$B,'Gap Analysis update'!AB$2)-SUMIFS('MoDi Initiatives'!H:H,'MoDi Initiatives'!$E:$E,'Gap Analysis update'!$B28,'MoDi Initiatives'!$A:$A,'Gap Analysis update'!$A28,'MoDi Initiatives'!$B:$B,'Gap Analysis update'!AB$2,'MoDi Initiatives'!$C:$C,'Gap Analysis update'!$B$7)</f>
        <v>0</v>
      </c>
      <c r="AC28" s="298">
        <f>SUMIFS('MoDi Initiatives'!I:I,'MoDi Initiatives'!$E:$E,'Gap Analysis update'!$B28,'MoDi Initiatives'!$A:$A,'Gap Analysis update'!$A28,'MoDi Initiatives'!$B:$B,'Gap Analysis update'!AC$2)-SUMIFS('MoDi Initiatives'!I:I,'MoDi Initiatives'!$E:$E,'Gap Analysis update'!$B28,'MoDi Initiatives'!$A:$A,'Gap Analysis update'!$A28,'MoDi Initiatives'!$B:$B,'Gap Analysis update'!AC$2,'MoDi Initiatives'!$C:$C,'Gap Analysis update'!$B$7)</f>
        <v>0</v>
      </c>
      <c r="AD28" s="298">
        <f>SUMIFS('MoDi Initiatives'!J:J,'MoDi Initiatives'!$E:$E,'Gap Analysis update'!$B28,'MoDi Initiatives'!$A:$A,'Gap Analysis update'!$A28,'MoDi Initiatives'!$B:$B,'Gap Analysis update'!AD$2)-SUMIFS('MoDi Initiatives'!J:J,'MoDi Initiatives'!$E:$E,'Gap Analysis update'!$B28,'MoDi Initiatives'!$A:$A,'Gap Analysis update'!$A28,'MoDi Initiatives'!$B:$B,'Gap Analysis update'!AD$2,'MoDi Initiatives'!$C:$C,'Gap Analysis update'!$B$7)</f>
        <v>0</v>
      </c>
      <c r="AE28" s="298">
        <f>SUMIFS('MoDi Initiatives'!K:K,'MoDi Initiatives'!$E:$E,'Gap Analysis update'!$B28,'MoDi Initiatives'!$A:$A,'Gap Analysis update'!$A28,'MoDi Initiatives'!$B:$B,'Gap Analysis update'!AE$2)-SUMIFS('MoDi Initiatives'!K:K,'MoDi Initiatives'!$E:$E,'Gap Analysis update'!$B28,'MoDi Initiatives'!$A:$A,'Gap Analysis update'!$A28,'MoDi Initiatives'!$B:$B,'Gap Analysis update'!AE$2,'MoDi Initiatives'!$C:$C,'Gap Analysis update'!$B$7)</f>
        <v>0</v>
      </c>
      <c r="AF28" s="298">
        <f>SUMIFS('MoDi Initiatives'!L:L,'MoDi Initiatives'!$E:$E,'Gap Analysis update'!$B28,'MoDi Initiatives'!$A:$A,'Gap Analysis update'!$A28,'MoDi Initiatives'!$B:$B,'Gap Analysis update'!AF$2)-SUMIFS('MoDi Initiatives'!L:L,'MoDi Initiatives'!$E:$E,'Gap Analysis update'!$B28,'MoDi Initiatives'!$A:$A,'Gap Analysis update'!$A28,'MoDi Initiatives'!$B:$B,'Gap Analysis update'!AF$2,'MoDi Initiatives'!$C:$C,'Gap Analysis update'!$B$7)</f>
        <v>0</v>
      </c>
      <c r="AG28" s="298">
        <f>SUMIFS('MoDi Initiatives'!M:M,'MoDi Initiatives'!$E:$E,'Gap Analysis update'!$B28,'MoDi Initiatives'!$A:$A,'Gap Analysis update'!$A28,'MoDi Initiatives'!$B:$B,'Gap Analysis update'!AG$2)-SUMIFS('MoDi Initiatives'!M:M,'MoDi Initiatives'!$E:$E,'Gap Analysis update'!$B28,'MoDi Initiatives'!$A:$A,'Gap Analysis update'!$A28,'MoDi Initiatives'!$B:$B,'Gap Analysis update'!AG$2,'MoDi Initiatives'!$C:$C,'Gap Analysis update'!$B$7)</f>
        <v>2.0657248411022275E-3</v>
      </c>
      <c r="AH28" s="298">
        <f>SUMIFS('MoDi Initiatives'!N:N,'MoDi Initiatives'!$E:$E,'Gap Analysis update'!$B28,'MoDi Initiatives'!$A:$A,'Gap Analysis update'!$A28,'MoDi Initiatives'!$B:$B,'Gap Analysis update'!AH$2)-SUMIFS('MoDi Initiatives'!N:N,'MoDi Initiatives'!$E:$E,'Gap Analysis update'!$B28,'MoDi Initiatives'!$A:$A,'Gap Analysis update'!$A28,'MoDi Initiatives'!$B:$B,'Gap Analysis update'!AH$2,'MoDi Initiatives'!$C:$C,'Gap Analysis update'!$B$7)</f>
        <v>0</v>
      </c>
      <c r="AI28" s="298">
        <f>SUMIFS('MoDi Initiatives'!O:O,'MoDi Initiatives'!$E:$E,'Gap Analysis update'!$B28,'MoDi Initiatives'!$A:$A,'Gap Analysis update'!$A28,'MoDi Initiatives'!$B:$B,'Gap Analysis update'!AI$2)-SUMIFS('MoDi Initiatives'!O:O,'MoDi Initiatives'!$E:$E,'Gap Analysis update'!$B28,'MoDi Initiatives'!$A:$A,'Gap Analysis update'!$A28,'MoDi Initiatives'!$B:$B,'Gap Analysis update'!AI$2,'MoDi Initiatives'!$C:$C,'Gap Analysis update'!$B$7)</f>
        <v>0</v>
      </c>
      <c r="AJ28" s="288">
        <f>SUMIFS('MoDi Initiatives'!P:P,'MoDi Initiatives'!$E:$E,'Gap Analysis update'!$B28,'MoDi Initiatives'!$A:$A,'Gap Analysis update'!$A28,'MoDi Initiatives'!$B:$B,'Gap Analysis update'!AJ$2)-SUMIFS('MoDi Initiatives'!P:P,'MoDi Initiatives'!$E:$E,'Gap Analysis update'!$B28,'MoDi Initiatives'!$A:$A,'Gap Analysis update'!$A28,'MoDi Initiatives'!$B:$B,'Gap Analysis update'!AJ$2,'MoDi Initiatives'!$C:$C,'Gap Analysis update'!$B$7)</f>
        <v>0</v>
      </c>
      <c r="AK28" s="298">
        <f>SUMIFS('MoDi Initiatives'!Q:Q,'MoDi Initiatives'!$E:$E,'Gap Analysis update'!$B28,'MoDi Initiatives'!$A:$A,'Gap Analysis update'!$A28,'MoDi Initiatives'!$B:$B,'Gap Analysis update'!AK$2)-SUMIFS('MoDi Initiatives'!Q:Q,'MoDi Initiatives'!$E:$E,'Gap Analysis update'!$B28,'MoDi Initiatives'!$A:$A,'Gap Analysis update'!$A28,'MoDi Initiatives'!$B:$B,'Gap Analysis update'!AK$2,'MoDi Initiatives'!$C:$C,'Gap Analysis update'!$B$7)</f>
        <v>1.2454841080526305E-3</v>
      </c>
      <c r="AL28" s="298">
        <f>SUMIFS('MoDi Initiatives'!R:R,'MoDi Initiatives'!$E:$E,'Gap Analysis update'!$B28,'MoDi Initiatives'!$A:$A,'Gap Analysis update'!$A28,'MoDi Initiatives'!$B:$B,'Gap Analysis update'!AL$2)-SUMIFS('MoDi Initiatives'!R:R,'MoDi Initiatives'!$E:$E,'Gap Analysis update'!$B28,'MoDi Initiatives'!$A:$A,'Gap Analysis update'!$A28,'MoDi Initiatives'!$B:$B,'Gap Analysis update'!AL$2,'MoDi Initiatives'!$C:$C,'Gap Analysis update'!$B$7)</f>
        <v>0</v>
      </c>
      <c r="AM28" s="298">
        <f>SUMIFS('MoDi Initiatives'!S:S,'MoDi Initiatives'!$E:$E,'Gap Analysis update'!$B28,'MoDi Initiatives'!$A:$A,'Gap Analysis update'!$A28,'MoDi Initiatives'!$B:$B,'Gap Analysis update'!AM$2)-SUMIFS('MoDi Initiatives'!S:S,'MoDi Initiatives'!$E:$E,'Gap Analysis update'!$B28,'MoDi Initiatives'!$A:$A,'Gap Analysis update'!$A28,'MoDi Initiatives'!$B:$B,'Gap Analysis update'!AM$2,'MoDi Initiatives'!$C:$C,'Gap Analysis update'!$B$7)</f>
        <v>0</v>
      </c>
      <c r="AN28" s="298">
        <f>SUMIFS('MoDi Initiatives'!T:T,'MoDi Initiatives'!$E:$E,'Gap Analysis update'!$B28,'MoDi Initiatives'!$A:$A,'Gap Analysis update'!$A28,'MoDi Initiatives'!$B:$B,'Gap Analysis update'!AN$2)-SUMIFS('MoDi Initiatives'!T:T,'MoDi Initiatives'!$E:$E,'Gap Analysis update'!$B28,'MoDi Initiatives'!$A:$A,'Gap Analysis update'!$A28,'MoDi Initiatives'!$B:$B,'Gap Analysis update'!AN$2,'MoDi Initiatives'!$C:$C,'Gap Analysis update'!$B$7)</f>
        <v>0</v>
      </c>
      <c r="AO28" s="298">
        <f>SUMIFS('MoDi Initiatives'!U:U,'MoDi Initiatives'!$E:$E,'Gap Analysis update'!$B28,'MoDi Initiatives'!$A:$A,'Gap Analysis update'!$A28,'MoDi Initiatives'!$B:$B,'Gap Analysis update'!AO$2)-SUMIFS('MoDi Initiatives'!U:U,'MoDi Initiatives'!$E:$E,'Gap Analysis update'!$B28,'MoDi Initiatives'!$A:$A,'Gap Analysis update'!$A28,'MoDi Initiatives'!$B:$B,'Gap Analysis update'!AO$2,'MoDi Initiatives'!$C:$C,'Gap Analysis update'!$B$7)</f>
        <v>0</v>
      </c>
      <c r="AP28" s="298">
        <f>SUMIFS('MoDi Initiatives'!V:V,'MoDi Initiatives'!$E:$E,'Gap Analysis update'!$B28,'MoDi Initiatives'!$A:$A,'Gap Analysis update'!$A28,'MoDi Initiatives'!$B:$B,'Gap Analysis update'!AP$2)-SUMIFS('MoDi Initiatives'!V:V,'MoDi Initiatives'!$E:$E,'Gap Analysis update'!$B28,'MoDi Initiatives'!$A:$A,'Gap Analysis update'!$A28,'MoDi Initiatives'!$B:$B,'Gap Analysis update'!AP$2,'MoDi Initiatives'!$C:$C,'Gap Analysis update'!$B$7)</f>
        <v>0</v>
      </c>
      <c r="AQ28" s="298">
        <f>SUMIFS('MoDi Initiatives'!W:W,'MoDi Initiatives'!$E:$E,'Gap Analysis update'!$B28,'MoDi Initiatives'!$A:$A,'Gap Analysis update'!$A28,'MoDi Initiatives'!$B:$B,'Gap Analysis update'!AQ$2)-SUMIFS('MoDi Initiatives'!W:W,'MoDi Initiatives'!$E:$E,'Gap Analysis update'!$B28,'MoDi Initiatives'!$A:$A,'Gap Analysis update'!$A28,'MoDi Initiatives'!$B:$B,'Gap Analysis update'!AQ$2,'MoDi Initiatives'!$C:$C,'Gap Analysis update'!$B$7)</f>
        <v>0</v>
      </c>
      <c r="AR28" s="293"/>
      <c r="AT28" s="298">
        <f t="shared" si="22"/>
        <v>0</v>
      </c>
      <c r="AU28" s="298">
        <f t="shared" si="22"/>
        <v>0</v>
      </c>
      <c r="AV28" s="298">
        <f t="shared" si="22"/>
        <v>0</v>
      </c>
      <c r="AW28" s="298">
        <f t="shared" si="22"/>
        <v>0</v>
      </c>
      <c r="AX28" s="298">
        <f t="shared" si="22"/>
        <v>0</v>
      </c>
      <c r="AY28" s="299">
        <f t="shared" si="22"/>
        <v>2.0657248411022275E-3</v>
      </c>
      <c r="AZ28" s="298">
        <f t="shared" si="22"/>
        <v>3.8322587940080935E-3</v>
      </c>
      <c r="BA28" s="298">
        <f t="shared" si="22"/>
        <v>0</v>
      </c>
      <c r="BB28" s="298">
        <f t="shared" si="22"/>
        <v>0</v>
      </c>
      <c r="BC28" s="299">
        <f t="shared" si="22"/>
        <v>1.2454841080526305E-3</v>
      </c>
      <c r="BD28" s="298">
        <f t="shared" si="22"/>
        <v>0</v>
      </c>
      <c r="BE28" s="298">
        <f t="shared" si="22"/>
        <v>0</v>
      </c>
      <c r="BF28" s="298">
        <f t="shared" si="22"/>
        <v>0</v>
      </c>
      <c r="BG28" s="298">
        <f t="shared" si="22"/>
        <v>0</v>
      </c>
      <c r="BH28" s="298">
        <f t="shared" si="22"/>
        <v>0</v>
      </c>
      <c r="BI28" s="298">
        <f t="shared" si="22"/>
        <v>0</v>
      </c>
      <c r="BJ28" s="293"/>
      <c r="BK28" s="288"/>
      <c r="BL28" s="288"/>
      <c r="BM28" s="288"/>
      <c r="BN28" s="288"/>
      <c r="BO28" s="288"/>
      <c r="BP28" s="288" t="s">
        <v>22</v>
      </c>
      <c r="BQ28" s="288" t="s">
        <v>46</v>
      </c>
      <c r="BR28" s="288" t="s">
        <v>29</v>
      </c>
      <c r="BS28" s="288"/>
      <c r="BT28" s="288" t="s">
        <v>47</v>
      </c>
      <c r="BU28" s="288" t="s">
        <v>48</v>
      </c>
      <c r="BV28" s="288"/>
      <c r="BW28" s="288"/>
      <c r="BX28" s="288"/>
      <c r="BY28" s="288"/>
      <c r="BZ28" s="288"/>
      <c r="CA28" s="288"/>
      <c r="CB28" s="288"/>
    </row>
    <row r="29" spans="1:80" s="298" customFormat="1" ht="65">
      <c r="A29" s="296" t="s">
        <v>82</v>
      </c>
      <c r="B29" s="287" t="s">
        <v>49</v>
      </c>
      <c r="C29" s="288">
        <f t="shared" si="23"/>
        <v>0</v>
      </c>
      <c r="D29" s="289">
        <f t="shared" si="24"/>
        <v>0</v>
      </c>
      <c r="E29" s="289">
        <f t="shared" si="8"/>
        <v>0</v>
      </c>
      <c r="F29" s="286" t="s">
        <v>50</v>
      </c>
      <c r="G29" s="286"/>
      <c r="H29" s="297"/>
      <c r="J29" s="288">
        <f>SUMIFS('MoDi Initiatives'!H:H,'MoDi Initiatives'!$E:$E,'Gap Analysis update'!$B29,'MoDi Initiatives'!$A:$A,'Gap Analysis update'!$A29,'MoDi Initiatives'!$B:$B,'Gap Analysis update'!J$2)-SUMIFS('MoDi Initiatives'!H:H,'MoDi Initiatives'!$E:$E,'Gap Analysis update'!$B29,'MoDi Initiatives'!$A:$A,'Gap Analysis update'!$A29,'MoDi Initiatives'!$C:$C,'Gap Analysis update'!$B$7,'MoDi Initiatives'!$B:$B,'Gap Analysis update'!J$2)</f>
        <v>0</v>
      </c>
      <c r="K29" s="288">
        <f>SUMIFS('MoDi Initiatives'!I:I,'MoDi Initiatives'!$E:$E,'Gap Analysis update'!$B29,'MoDi Initiatives'!$A:$A,'Gap Analysis update'!$A29,'MoDi Initiatives'!$B:$B,'Gap Analysis update'!K$2)-SUMIFS('MoDi Initiatives'!I:I,'MoDi Initiatives'!$E:$E,'Gap Analysis update'!$B29,'MoDi Initiatives'!$A:$A,'Gap Analysis update'!$A29,'MoDi Initiatives'!$C:$C,'Gap Analysis update'!$B$7,'MoDi Initiatives'!$B:$B,'Gap Analysis update'!K$2)</f>
        <v>0</v>
      </c>
      <c r="L29" s="288">
        <f>SUMIFS('MoDi Initiatives'!J:J,'MoDi Initiatives'!$E:$E,'Gap Analysis update'!$B29,'MoDi Initiatives'!$A:$A,'Gap Analysis update'!$A29,'MoDi Initiatives'!$B:$B,'Gap Analysis update'!L$2)-SUMIFS('MoDi Initiatives'!J:J,'MoDi Initiatives'!$E:$E,'Gap Analysis update'!$B29,'MoDi Initiatives'!$A:$A,'Gap Analysis update'!$A29,'MoDi Initiatives'!$C:$C,'Gap Analysis update'!$B$7,'MoDi Initiatives'!$B:$B,'Gap Analysis update'!L$2)</f>
        <v>0</v>
      </c>
      <c r="M29" s="288">
        <f>SUMIFS('MoDi Initiatives'!K:K,'MoDi Initiatives'!$E:$E,'Gap Analysis update'!$B29,'MoDi Initiatives'!$A:$A,'Gap Analysis update'!$A29,'MoDi Initiatives'!$B:$B,'Gap Analysis update'!M$2)-SUMIFS('MoDi Initiatives'!K:K,'MoDi Initiatives'!$E:$E,'Gap Analysis update'!$B29,'MoDi Initiatives'!$A:$A,'Gap Analysis update'!$A29,'MoDi Initiatives'!$C:$C,'Gap Analysis update'!$B$7,'MoDi Initiatives'!$B:$B,'Gap Analysis update'!M$2)</f>
        <v>0</v>
      </c>
      <c r="N29" s="288">
        <f>SUMIFS('MoDi Initiatives'!L:L,'MoDi Initiatives'!$E:$E,'Gap Analysis update'!$B29,'MoDi Initiatives'!$A:$A,'Gap Analysis update'!$A29,'MoDi Initiatives'!$B:$B,'Gap Analysis update'!N$2)-SUMIFS('MoDi Initiatives'!L:L,'MoDi Initiatives'!$E:$E,'Gap Analysis update'!$B29,'MoDi Initiatives'!$A:$A,'Gap Analysis update'!$A29,'MoDi Initiatives'!$C:$C,'Gap Analysis update'!$B$7,'MoDi Initiatives'!$B:$B,'Gap Analysis update'!N$2)</f>
        <v>0</v>
      </c>
      <c r="O29" s="288">
        <f>SUMIFS('MoDi Initiatives'!M:M,'MoDi Initiatives'!$E:$E,'Gap Analysis update'!$B29,'MoDi Initiatives'!$A:$A,'Gap Analysis update'!$A29,'MoDi Initiatives'!$B:$B,'Gap Analysis update'!O$2)-SUMIFS('MoDi Initiatives'!M:M,'MoDi Initiatives'!$E:$E,'Gap Analysis update'!$B29,'MoDi Initiatives'!$A:$A,'Gap Analysis update'!$A29,'MoDi Initiatives'!$C:$C,'Gap Analysis update'!$B$7,'MoDi Initiatives'!$B:$B,'Gap Analysis update'!O$2)</f>
        <v>0</v>
      </c>
      <c r="P29" s="288">
        <f>SUMIFS('MoDi Initiatives'!N:N,'MoDi Initiatives'!$E:$E,'Gap Analysis update'!$B29,'MoDi Initiatives'!$A:$A,'Gap Analysis update'!$A29,'MoDi Initiatives'!$B:$B,'Gap Analysis update'!P$2)-SUMIFS('MoDi Initiatives'!N:N,'MoDi Initiatives'!$E:$E,'Gap Analysis update'!$B29,'MoDi Initiatives'!$A:$A,'Gap Analysis update'!$A29,'MoDi Initiatives'!$C:$C,'Gap Analysis update'!$B$7,'MoDi Initiatives'!$B:$B,'Gap Analysis update'!P$2)</f>
        <v>0</v>
      </c>
      <c r="Q29" s="288">
        <f>SUMIFS('MoDi Initiatives'!O:O,'MoDi Initiatives'!$E:$E,'Gap Analysis update'!$B29,'MoDi Initiatives'!$A:$A,'Gap Analysis update'!$A29,'MoDi Initiatives'!$B:$B,'Gap Analysis update'!Q$2)-SUMIFS('MoDi Initiatives'!O:O,'MoDi Initiatives'!$E:$E,'Gap Analysis update'!$B29,'MoDi Initiatives'!$A:$A,'Gap Analysis update'!$A29,'MoDi Initiatives'!$C:$C,'Gap Analysis update'!$B$7,'MoDi Initiatives'!$B:$B,'Gap Analysis update'!Q$2)</f>
        <v>0</v>
      </c>
      <c r="R29" s="288">
        <f>SUMIFS('MoDi Initiatives'!P:P,'MoDi Initiatives'!$E:$E,'Gap Analysis update'!$B29,'MoDi Initiatives'!$A:$A,'Gap Analysis update'!$A29,'MoDi Initiatives'!$B:$B,'Gap Analysis update'!R$2)-SUMIFS('MoDi Initiatives'!P:P,'MoDi Initiatives'!$E:$E,'Gap Analysis update'!$B29,'MoDi Initiatives'!$A:$A,'Gap Analysis update'!$A29,'MoDi Initiatives'!$C:$C,'Gap Analysis update'!$B$7,'MoDi Initiatives'!$B:$B,'Gap Analysis update'!R$2)</f>
        <v>0</v>
      </c>
      <c r="S29" s="288">
        <f>SUMIFS('MoDi Initiatives'!Q:Q,'MoDi Initiatives'!$E:$E,'Gap Analysis update'!$B29,'MoDi Initiatives'!$A:$A,'Gap Analysis update'!$A29,'MoDi Initiatives'!$B:$B,'Gap Analysis update'!S$2)-SUMIFS('MoDi Initiatives'!Q:Q,'MoDi Initiatives'!$E:$E,'Gap Analysis update'!$B29,'MoDi Initiatives'!$A:$A,'Gap Analysis update'!$A29,'MoDi Initiatives'!$C:$C,'Gap Analysis update'!$B$7,'MoDi Initiatives'!$B:$B,'Gap Analysis update'!S$2)</f>
        <v>0</v>
      </c>
      <c r="T29" s="288">
        <f>SUMIFS('MoDi Initiatives'!R:R,'MoDi Initiatives'!$E:$E,'Gap Analysis update'!$B29,'MoDi Initiatives'!$A:$A,'Gap Analysis update'!$A29,'MoDi Initiatives'!$B:$B,'Gap Analysis update'!T$2)-SUMIFS('MoDi Initiatives'!R:R,'MoDi Initiatives'!$E:$E,'Gap Analysis update'!$B29,'MoDi Initiatives'!$A:$A,'Gap Analysis update'!$A29,'MoDi Initiatives'!$C:$C,'Gap Analysis update'!$B$7,'MoDi Initiatives'!$B:$B,'Gap Analysis update'!T$2)</f>
        <v>0</v>
      </c>
      <c r="U29" s="288">
        <f>SUMIFS('MoDi Initiatives'!S:S,'MoDi Initiatives'!$E:$E,'Gap Analysis update'!$B29,'MoDi Initiatives'!$A:$A,'Gap Analysis update'!$A29,'MoDi Initiatives'!$B:$B,'Gap Analysis update'!U$2)-SUMIFS('MoDi Initiatives'!S:S,'MoDi Initiatives'!$E:$E,'Gap Analysis update'!$B29,'MoDi Initiatives'!$A:$A,'Gap Analysis update'!$A29,'MoDi Initiatives'!$C:$C,'Gap Analysis update'!$B$7,'MoDi Initiatives'!$B:$B,'Gap Analysis update'!U$2)</f>
        <v>0</v>
      </c>
      <c r="V29" s="288">
        <f>SUMIFS('MoDi Initiatives'!T:T,'MoDi Initiatives'!$E:$E,'Gap Analysis update'!$B29,'MoDi Initiatives'!$A:$A,'Gap Analysis update'!$A29,'MoDi Initiatives'!$B:$B,'Gap Analysis update'!V$2)-SUMIFS('MoDi Initiatives'!T:T,'MoDi Initiatives'!$E:$E,'Gap Analysis update'!$B29,'MoDi Initiatives'!$A:$A,'Gap Analysis update'!$A29,'MoDi Initiatives'!$C:$C,'Gap Analysis update'!$B$7,'MoDi Initiatives'!$B:$B,'Gap Analysis update'!V$2)</f>
        <v>0</v>
      </c>
      <c r="W29" s="288">
        <f>SUMIFS('MoDi Initiatives'!U:U,'MoDi Initiatives'!$E:$E,'Gap Analysis update'!$B29,'MoDi Initiatives'!$A:$A,'Gap Analysis update'!$A29,'MoDi Initiatives'!$B:$B,'Gap Analysis update'!W$2)-SUMIFS('MoDi Initiatives'!U:U,'MoDi Initiatives'!$E:$E,'Gap Analysis update'!$B29,'MoDi Initiatives'!$A:$A,'Gap Analysis update'!$A29,'MoDi Initiatives'!$C:$C,'Gap Analysis update'!$B$7,'MoDi Initiatives'!$B:$B,'Gap Analysis update'!W$2)</f>
        <v>0</v>
      </c>
      <c r="X29" s="288">
        <f>SUMIFS('MoDi Initiatives'!V:V,'MoDi Initiatives'!$E:$E,'Gap Analysis update'!$B29,'MoDi Initiatives'!$A:$A,'Gap Analysis update'!$A29,'MoDi Initiatives'!$B:$B,'Gap Analysis update'!X$2)-SUMIFS('MoDi Initiatives'!V:V,'MoDi Initiatives'!$E:$E,'Gap Analysis update'!$B29,'MoDi Initiatives'!$A:$A,'Gap Analysis update'!$A29,'MoDi Initiatives'!$C:$C,'Gap Analysis update'!$B$7,'MoDi Initiatives'!$B:$B,'Gap Analysis update'!X$2)</f>
        <v>0</v>
      </c>
      <c r="Y29" s="288">
        <f>SUMIFS('MoDi Initiatives'!W:W,'MoDi Initiatives'!$E:$E,'Gap Analysis update'!$B29,'MoDi Initiatives'!$A:$A,'Gap Analysis update'!$A29,'MoDi Initiatives'!$B:$B,'Gap Analysis update'!Y$2)-SUMIFS('MoDi Initiatives'!W:W,'MoDi Initiatives'!$E:$E,'Gap Analysis update'!$B29,'MoDi Initiatives'!$A:$A,'Gap Analysis update'!$A29,'MoDi Initiatives'!$C:$C,'Gap Analysis update'!$B$7,'MoDi Initiatives'!$B:$B,'Gap Analysis update'!Y$2)</f>
        <v>0</v>
      </c>
      <c r="Z29" s="293"/>
      <c r="AB29" s="298">
        <f>SUMIFS('MoDi Initiatives'!H:H,'MoDi Initiatives'!$E:$E,'Gap Analysis update'!$B29,'MoDi Initiatives'!$A:$A,'Gap Analysis update'!$A29,'MoDi Initiatives'!$B:$B,'Gap Analysis update'!AB$2)-SUMIFS('MoDi Initiatives'!H:H,'MoDi Initiatives'!$E:$E,'Gap Analysis update'!$B29,'MoDi Initiatives'!$A:$A,'Gap Analysis update'!$A29,'MoDi Initiatives'!$B:$B,'Gap Analysis update'!AB$2,'MoDi Initiatives'!$C:$C,'Gap Analysis update'!$B$7)</f>
        <v>0</v>
      </c>
      <c r="AC29" s="298">
        <f>SUMIFS('MoDi Initiatives'!I:I,'MoDi Initiatives'!$E:$E,'Gap Analysis update'!$B29,'MoDi Initiatives'!$A:$A,'Gap Analysis update'!$A29,'MoDi Initiatives'!$B:$B,'Gap Analysis update'!AC$2)-SUMIFS('MoDi Initiatives'!I:I,'MoDi Initiatives'!$E:$E,'Gap Analysis update'!$B29,'MoDi Initiatives'!$A:$A,'Gap Analysis update'!$A29,'MoDi Initiatives'!$B:$B,'Gap Analysis update'!AC$2,'MoDi Initiatives'!$C:$C,'Gap Analysis update'!$B$7)</f>
        <v>0</v>
      </c>
      <c r="AD29" s="298">
        <f>SUMIFS('MoDi Initiatives'!J:J,'MoDi Initiatives'!$E:$E,'Gap Analysis update'!$B29,'MoDi Initiatives'!$A:$A,'Gap Analysis update'!$A29,'MoDi Initiatives'!$B:$B,'Gap Analysis update'!AD$2)-SUMIFS('MoDi Initiatives'!J:J,'MoDi Initiatives'!$E:$E,'Gap Analysis update'!$B29,'MoDi Initiatives'!$A:$A,'Gap Analysis update'!$A29,'MoDi Initiatives'!$B:$B,'Gap Analysis update'!AD$2,'MoDi Initiatives'!$C:$C,'Gap Analysis update'!$B$7)</f>
        <v>0</v>
      </c>
      <c r="AE29" s="298">
        <f>SUMIFS('MoDi Initiatives'!K:K,'MoDi Initiatives'!$E:$E,'Gap Analysis update'!$B29,'MoDi Initiatives'!$A:$A,'Gap Analysis update'!$A29,'MoDi Initiatives'!$B:$B,'Gap Analysis update'!AE$2)-SUMIFS('MoDi Initiatives'!K:K,'MoDi Initiatives'!$E:$E,'Gap Analysis update'!$B29,'MoDi Initiatives'!$A:$A,'Gap Analysis update'!$A29,'MoDi Initiatives'!$B:$B,'Gap Analysis update'!AE$2,'MoDi Initiatives'!$C:$C,'Gap Analysis update'!$B$7)</f>
        <v>0</v>
      </c>
      <c r="AF29" s="298">
        <f>SUMIFS('MoDi Initiatives'!L:L,'MoDi Initiatives'!$E:$E,'Gap Analysis update'!$B29,'MoDi Initiatives'!$A:$A,'Gap Analysis update'!$A29,'MoDi Initiatives'!$B:$B,'Gap Analysis update'!AF$2)-SUMIFS('MoDi Initiatives'!L:L,'MoDi Initiatives'!$E:$E,'Gap Analysis update'!$B29,'MoDi Initiatives'!$A:$A,'Gap Analysis update'!$A29,'MoDi Initiatives'!$B:$B,'Gap Analysis update'!AF$2,'MoDi Initiatives'!$C:$C,'Gap Analysis update'!$B$7)</f>
        <v>0</v>
      </c>
      <c r="AG29" s="298">
        <f>SUMIFS('MoDi Initiatives'!M:M,'MoDi Initiatives'!$E:$E,'Gap Analysis update'!$B29,'MoDi Initiatives'!$A:$A,'Gap Analysis update'!$A29,'MoDi Initiatives'!$B:$B,'Gap Analysis update'!AG$2)-SUMIFS('MoDi Initiatives'!M:M,'MoDi Initiatives'!$E:$E,'Gap Analysis update'!$B29,'MoDi Initiatives'!$A:$A,'Gap Analysis update'!$A29,'MoDi Initiatives'!$B:$B,'Gap Analysis update'!AG$2,'MoDi Initiatives'!$C:$C,'Gap Analysis update'!$B$7)</f>
        <v>0</v>
      </c>
      <c r="AH29" s="298">
        <f>SUMIFS('MoDi Initiatives'!N:N,'MoDi Initiatives'!$E:$E,'Gap Analysis update'!$B29,'MoDi Initiatives'!$A:$A,'Gap Analysis update'!$A29,'MoDi Initiatives'!$B:$B,'Gap Analysis update'!AH$2)-SUMIFS('MoDi Initiatives'!N:N,'MoDi Initiatives'!$E:$E,'Gap Analysis update'!$B29,'MoDi Initiatives'!$A:$A,'Gap Analysis update'!$A29,'MoDi Initiatives'!$B:$B,'Gap Analysis update'!AH$2,'MoDi Initiatives'!$C:$C,'Gap Analysis update'!$B$7)</f>
        <v>0</v>
      </c>
      <c r="AI29" s="298">
        <f>SUMIFS('MoDi Initiatives'!O:O,'MoDi Initiatives'!$E:$E,'Gap Analysis update'!$B29,'MoDi Initiatives'!$A:$A,'Gap Analysis update'!$A29,'MoDi Initiatives'!$B:$B,'Gap Analysis update'!AI$2)-SUMIFS('MoDi Initiatives'!O:O,'MoDi Initiatives'!$E:$E,'Gap Analysis update'!$B29,'MoDi Initiatives'!$A:$A,'Gap Analysis update'!$A29,'MoDi Initiatives'!$B:$B,'Gap Analysis update'!AI$2,'MoDi Initiatives'!$C:$C,'Gap Analysis update'!$B$7)</f>
        <v>0</v>
      </c>
      <c r="AJ29" s="288">
        <f>SUMIFS('MoDi Initiatives'!P:P,'MoDi Initiatives'!$E:$E,'Gap Analysis update'!$B29,'MoDi Initiatives'!$A:$A,'Gap Analysis update'!$A29,'MoDi Initiatives'!$B:$B,'Gap Analysis update'!AJ$2)-SUMIFS('MoDi Initiatives'!P:P,'MoDi Initiatives'!$E:$E,'Gap Analysis update'!$B29,'MoDi Initiatives'!$A:$A,'Gap Analysis update'!$A29,'MoDi Initiatives'!$B:$B,'Gap Analysis update'!AJ$2,'MoDi Initiatives'!$C:$C,'Gap Analysis update'!$B$7)</f>
        <v>0</v>
      </c>
      <c r="AK29" s="298">
        <f>SUMIFS('MoDi Initiatives'!Q:Q,'MoDi Initiatives'!$E:$E,'Gap Analysis update'!$B29,'MoDi Initiatives'!$A:$A,'Gap Analysis update'!$A29,'MoDi Initiatives'!$B:$B,'Gap Analysis update'!AK$2)-SUMIFS('MoDi Initiatives'!Q:Q,'MoDi Initiatives'!$E:$E,'Gap Analysis update'!$B29,'MoDi Initiatives'!$A:$A,'Gap Analysis update'!$A29,'MoDi Initiatives'!$B:$B,'Gap Analysis update'!AK$2,'MoDi Initiatives'!$C:$C,'Gap Analysis update'!$B$7)</f>
        <v>0</v>
      </c>
      <c r="AL29" s="298">
        <f>SUMIFS('MoDi Initiatives'!R:R,'MoDi Initiatives'!$E:$E,'Gap Analysis update'!$B29,'MoDi Initiatives'!$A:$A,'Gap Analysis update'!$A29,'MoDi Initiatives'!$B:$B,'Gap Analysis update'!AL$2)-SUMIFS('MoDi Initiatives'!R:R,'MoDi Initiatives'!$E:$E,'Gap Analysis update'!$B29,'MoDi Initiatives'!$A:$A,'Gap Analysis update'!$A29,'MoDi Initiatives'!$B:$B,'Gap Analysis update'!AL$2,'MoDi Initiatives'!$C:$C,'Gap Analysis update'!$B$7)</f>
        <v>0</v>
      </c>
      <c r="AM29" s="298">
        <f>SUMIFS('MoDi Initiatives'!S:S,'MoDi Initiatives'!$E:$E,'Gap Analysis update'!$B29,'MoDi Initiatives'!$A:$A,'Gap Analysis update'!$A29,'MoDi Initiatives'!$B:$B,'Gap Analysis update'!AM$2)-SUMIFS('MoDi Initiatives'!S:S,'MoDi Initiatives'!$E:$E,'Gap Analysis update'!$B29,'MoDi Initiatives'!$A:$A,'Gap Analysis update'!$A29,'MoDi Initiatives'!$B:$B,'Gap Analysis update'!AM$2,'MoDi Initiatives'!$C:$C,'Gap Analysis update'!$B$7)</f>
        <v>0</v>
      </c>
      <c r="AN29" s="298">
        <f>SUMIFS('MoDi Initiatives'!T:T,'MoDi Initiatives'!$E:$E,'Gap Analysis update'!$B29,'MoDi Initiatives'!$A:$A,'Gap Analysis update'!$A29,'MoDi Initiatives'!$B:$B,'Gap Analysis update'!AN$2)-SUMIFS('MoDi Initiatives'!T:T,'MoDi Initiatives'!$E:$E,'Gap Analysis update'!$B29,'MoDi Initiatives'!$A:$A,'Gap Analysis update'!$A29,'MoDi Initiatives'!$B:$B,'Gap Analysis update'!AN$2,'MoDi Initiatives'!$C:$C,'Gap Analysis update'!$B$7)</f>
        <v>0</v>
      </c>
      <c r="AO29" s="298">
        <f>SUMIFS('MoDi Initiatives'!U:U,'MoDi Initiatives'!$E:$E,'Gap Analysis update'!$B29,'MoDi Initiatives'!$A:$A,'Gap Analysis update'!$A29,'MoDi Initiatives'!$B:$B,'Gap Analysis update'!AO$2)-SUMIFS('MoDi Initiatives'!U:U,'MoDi Initiatives'!$E:$E,'Gap Analysis update'!$B29,'MoDi Initiatives'!$A:$A,'Gap Analysis update'!$A29,'MoDi Initiatives'!$B:$B,'Gap Analysis update'!AO$2,'MoDi Initiatives'!$C:$C,'Gap Analysis update'!$B$7)</f>
        <v>0</v>
      </c>
      <c r="AP29" s="298">
        <f>SUMIFS('MoDi Initiatives'!V:V,'MoDi Initiatives'!$E:$E,'Gap Analysis update'!$B29,'MoDi Initiatives'!$A:$A,'Gap Analysis update'!$A29,'MoDi Initiatives'!$B:$B,'Gap Analysis update'!AP$2)-SUMIFS('MoDi Initiatives'!V:V,'MoDi Initiatives'!$E:$E,'Gap Analysis update'!$B29,'MoDi Initiatives'!$A:$A,'Gap Analysis update'!$A29,'MoDi Initiatives'!$B:$B,'Gap Analysis update'!AP$2,'MoDi Initiatives'!$C:$C,'Gap Analysis update'!$B$7)</f>
        <v>0</v>
      </c>
      <c r="AQ29" s="298">
        <f>SUMIFS('MoDi Initiatives'!W:W,'MoDi Initiatives'!$E:$E,'Gap Analysis update'!$B29,'MoDi Initiatives'!$A:$A,'Gap Analysis update'!$A29,'MoDi Initiatives'!$B:$B,'Gap Analysis update'!AQ$2)-SUMIFS('MoDi Initiatives'!W:W,'MoDi Initiatives'!$E:$E,'Gap Analysis update'!$B29,'MoDi Initiatives'!$A:$A,'Gap Analysis update'!$A29,'MoDi Initiatives'!$B:$B,'Gap Analysis update'!AQ$2,'MoDi Initiatives'!$C:$C,'Gap Analysis update'!$B$7)</f>
        <v>0</v>
      </c>
      <c r="AR29" s="293"/>
      <c r="AT29" s="298">
        <f t="shared" si="22"/>
        <v>0</v>
      </c>
      <c r="AU29" s="298">
        <f t="shared" si="22"/>
        <v>0</v>
      </c>
      <c r="AV29" s="298">
        <f t="shared" si="22"/>
        <v>0</v>
      </c>
      <c r="AW29" s="298">
        <f t="shared" si="22"/>
        <v>0</v>
      </c>
      <c r="AX29" s="298">
        <f t="shared" si="22"/>
        <v>0</v>
      </c>
      <c r="AY29" s="298">
        <f t="shared" si="22"/>
        <v>0</v>
      </c>
      <c r="AZ29" s="298">
        <f t="shared" si="22"/>
        <v>0</v>
      </c>
      <c r="BA29" s="298">
        <f t="shared" si="22"/>
        <v>0</v>
      </c>
      <c r="BB29" s="298">
        <f t="shared" si="22"/>
        <v>0</v>
      </c>
      <c r="BC29" s="298">
        <f t="shared" si="22"/>
        <v>0</v>
      </c>
      <c r="BD29" s="298">
        <f t="shared" si="22"/>
        <v>0</v>
      </c>
      <c r="BE29" s="298">
        <f t="shared" si="22"/>
        <v>0</v>
      </c>
      <c r="BF29" s="298">
        <f t="shared" si="22"/>
        <v>0</v>
      </c>
      <c r="BG29" s="298">
        <f t="shared" si="22"/>
        <v>0</v>
      </c>
      <c r="BH29" s="298">
        <f t="shared" si="22"/>
        <v>0</v>
      </c>
      <c r="BI29" s="298">
        <f t="shared" si="22"/>
        <v>0</v>
      </c>
      <c r="BJ29" s="293"/>
      <c r="BK29" s="288"/>
      <c r="BL29" s="288"/>
      <c r="BM29" s="288" t="s">
        <v>51</v>
      </c>
      <c r="BN29" s="288"/>
      <c r="BO29" s="288"/>
      <c r="BP29" s="288" t="s">
        <v>22</v>
      </c>
      <c r="BQ29" s="288"/>
      <c r="BR29" s="288" t="s">
        <v>52</v>
      </c>
      <c r="BS29" s="288" t="s">
        <v>51</v>
      </c>
      <c r="BT29" s="288" t="s">
        <v>22</v>
      </c>
      <c r="BU29" s="288"/>
      <c r="BV29" s="288"/>
      <c r="BW29" s="288"/>
      <c r="BX29" s="288"/>
      <c r="BY29" s="288"/>
      <c r="BZ29" s="288"/>
      <c r="CA29" s="288"/>
      <c r="CB29" s="288"/>
    </row>
    <row r="30" spans="1:80" s="298" customFormat="1" ht="39">
      <c r="A30" s="296" t="s">
        <v>82</v>
      </c>
      <c r="B30" s="287" t="s">
        <v>53</v>
      </c>
      <c r="C30" s="288">
        <f t="shared" si="23"/>
        <v>5.3952383955208245E-5</v>
      </c>
      <c r="D30" s="289">
        <f t="shared" si="24"/>
        <v>0</v>
      </c>
      <c r="E30" s="289">
        <f t="shared" si="8"/>
        <v>5.3952383955208245E-5</v>
      </c>
      <c r="F30" s="286" t="s">
        <v>54</v>
      </c>
      <c r="G30" s="286" t="s">
        <v>55</v>
      </c>
      <c r="H30" s="297"/>
      <c r="J30" s="288">
        <f>SUMIFS('MoDi Initiatives'!H:H,'MoDi Initiatives'!$E:$E,'Gap Analysis update'!$B30,'MoDi Initiatives'!$A:$A,'Gap Analysis update'!$A30,'MoDi Initiatives'!$B:$B,'Gap Analysis update'!J$2)-SUMIFS('MoDi Initiatives'!H:H,'MoDi Initiatives'!$E:$E,'Gap Analysis update'!$B30,'MoDi Initiatives'!$A:$A,'Gap Analysis update'!$A30,'MoDi Initiatives'!$C:$C,'Gap Analysis update'!$B$7,'MoDi Initiatives'!$B:$B,'Gap Analysis update'!J$2)</f>
        <v>0</v>
      </c>
      <c r="K30" s="288">
        <f>SUMIFS('MoDi Initiatives'!I:I,'MoDi Initiatives'!$E:$E,'Gap Analysis update'!$B30,'MoDi Initiatives'!$A:$A,'Gap Analysis update'!$A30,'MoDi Initiatives'!$B:$B,'Gap Analysis update'!K$2)-SUMIFS('MoDi Initiatives'!I:I,'MoDi Initiatives'!$E:$E,'Gap Analysis update'!$B30,'MoDi Initiatives'!$A:$A,'Gap Analysis update'!$A30,'MoDi Initiatives'!$C:$C,'Gap Analysis update'!$B$7,'MoDi Initiatives'!$B:$B,'Gap Analysis update'!K$2)</f>
        <v>0</v>
      </c>
      <c r="L30" s="288">
        <f>SUMIFS('MoDi Initiatives'!J:J,'MoDi Initiatives'!$E:$E,'Gap Analysis update'!$B30,'MoDi Initiatives'!$A:$A,'Gap Analysis update'!$A30,'MoDi Initiatives'!$B:$B,'Gap Analysis update'!L$2)-SUMIFS('MoDi Initiatives'!J:J,'MoDi Initiatives'!$E:$E,'Gap Analysis update'!$B30,'MoDi Initiatives'!$A:$A,'Gap Analysis update'!$A30,'MoDi Initiatives'!$C:$C,'Gap Analysis update'!$B$7,'MoDi Initiatives'!$B:$B,'Gap Analysis update'!L$2)</f>
        <v>0</v>
      </c>
      <c r="M30" s="288">
        <f>SUMIFS('MoDi Initiatives'!K:K,'MoDi Initiatives'!$E:$E,'Gap Analysis update'!$B30,'MoDi Initiatives'!$A:$A,'Gap Analysis update'!$A30,'MoDi Initiatives'!$B:$B,'Gap Analysis update'!M$2)-SUMIFS('MoDi Initiatives'!K:K,'MoDi Initiatives'!$E:$E,'Gap Analysis update'!$B30,'MoDi Initiatives'!$A:$A,'Gap Analysis update'!$A30,'MoDi Initiatives'!$C:$C,'Gap Analysis update'!$B$7,'MoDi Initiatives'!$B:$B,'Gap Analysis update'!M$2)</f>
        <v>-7.664517588016187E-3</v>
      </c>
      <c r="N30" s="288">
        <f>SUMIFS('MoDi Initiatives'!L:L,'MoDi Initiatives'!$E:$E,'Gap Analysis update'!$B30,'MoDi Initiatives'!$A:$A,'Gap Analysis update'!$A30,'MoDi Initiatives'!$B:$B,'Gap Analysis update'!N$2)-SUMIFS('MoDi Initiatives'!L:L,'MoDi Initiatives'!$E:$E,'Gap Analysis update'!$B30,'MoDi Initiatives'!$A:$A,'Gap Analysis update'!$A30,'MoDi Initiatives'!$C:$C,'Gap Analysis update'!$B$7,'MoDi Initiatives'!$B:$B,'Gap Analysis update'!N$2)</f>
        <v>0</v>
      </c>
      <c r="O30" s="288">
        <f>SUMIFS('MoDi Initiatives'!M:M,'MoDi Initiatives'!$E:$E,'Gap Analysis update'!$B30,'MoDi Initiatives'!$A:$A,'Gap Analysis update'!$A30,'MoDi Initiatives'!$B:$B,'Gap Analysis update'!O$2)-SUMIFS('MoDi Initiatives'!M:M,'MoDi Initiatives'!$E:$E,'Gap Analysis update'!$B30,'MoDi Initiatives'!$A:$A,'Gap Analysis update'!$A30,'MoDi Initiatives'!$C:$C,'Gap Analysis update'!$B$7,'MoDi Initiatives'!$B:$B,'Gap Analysis update'!O$2)</f>
        <v>0</v>
      </c>
      <c r="P30" s="288">
        <f>SUMIFS('MoDi Initiatives'!N:N,'MoDi Initiatives'!$E:$E,'Gap Analysis update'!$B30,'MoDi Initiatives'!$A:$A,'Gap Analysis update'!$A30,'MoDi Initiatives'!$B:$B,'Gap Analysis update'!P$2)-SUMIFS('MoDi Initiatives'!N:N,'MoDi Initiatives'!$E:$E,'Gap Analysis update'!$B30,'MoDi Initiatives'!$A:$A,'Gap Analysis update'!$A30,'MoDi Initiatives'!$C:$C,'Gap Analysis update'!$B$7,'MoDi Initiatives'!$B:$B,'Gap Analysis update'!P$2)</f>
        <v>0</v>
      </c>
      <c r="Q30" s="288">
        <f>SUMIFS('MoDi Initiatives'!O:O,'MoDi Initiatives'!$E:$E,'Gap Analysis update'!$B30,'MoDi Initiatives'!$A:$A,'Gap Analysis update'!$A30,'MoDi Initiatives'!$B:$B,'Gap Analysis update'!Q$2)-SUMIFS('MoDi Initiatives'!O:O,'MoDi Initiatives'!$E:$E,'Gap Analysis update'!$B30,'MoDi Initiatives'!$A:$A,'Gap Analysis update'!$A30,'MoDi Initiatives'!$C:$C,'Gap Analysis update'!$B$7,'MoDi Initiatives'!$B:$B,'Gap Analysis update'!Q$2)</f>
        <v>0</v>
      </c>
      <c r="R30" s="288">
        <f>SUMIFS('MoDi Initiatives'!P:P,'MoDi Initiatives'!$E:$E,'Gap Analysis update'!$B30,'MoDi Initiatives'!$A:$A,'Gap Analysis update'!$A30,'MoDi Initiatives'!$B:$B,'Gap Analysis update'!R$2)-SUMIFS('MoDi Initiatives'!P:P,'MoDi Initiatives'!$E:$E,'Gap Analysis update'!$B30,'MoDi Initiatives'!$A:$A,'Gap Analysis update'!$A30,'MoDi Initiatives'!$C:$C,'Gap Analysis update'!$B$7,'MoDi Initiatives'!$B:$B,'Gap Analysis update'!R$2)</f>
        <v>0</v>
      </c>
      <c r="S30" s="288">
        <f>SUMIFS('MoDi Initiatives'!Q:Q,'MoDi Initiatives'!$E:$E,'Gap Analysis update'!$B30,'MoDi Initiatives'!$A:$A,'Gap Analysis update'!$A30,'MoDi Initiatives'!$B:$B,'Gap Analysis update'!S$2)-SUMIFS('MoDi Initiatives'!Q:Q,'MoDi Initiatives'!$E:$E,'Gap Analysis update'!$B30,'MoDi Initiatives'!$A:$A,'Gap Analysis update'!$A30,'MoDi Initiatives'!$C:$C,'Gap Analysis update'!$B$7,'MoDi Initiatives'!$B:$B,'Gap Analysis update'!S$2)</f>
        <v>0</v>
      </c>
      <c r="T30" s="288">
        <f>SUMIFS('MoDi Initiatives'!R:R,'MoDi Initiatives'!$E:$E,'Gap Analysis update'!$B30,'MoDi Initiatives'!$A:$A,'Gap Analysis update'!$A30,'MoDi Initiatives'!$B:$B,'Gap Analysis update'!T$2)-SUMIFS('MoDi Initiatives'!R:R,'MoDi Initiatives'!$E:$E,'Gap Analysis update'!$B30,'MoDi Initiatives'!$A:$A,'Gap Analysis update'!$A30,'MoDi Initiatives'!$C:$C,'Gap Analysis update'!$B$7,'MoDi Initiatives'!$B:$B,'Gap Analysis update'!T$2)</f>
        <v>-7.664517588016187E-3</v>
      </c>
      <c r="U30" s="288">
        <f>SUMIFS('MoDi Initiatives'!S:S,'MoDi Initiatives'!$E:$E,'Gap Analysis update'!$B30,'MoDi Initiatives'!$A:$A,'Gap Analysis update'!$A30,'MoDi Initiatives'!$B:$B,'Gap Analysis update'!U$2)-SUMIFS('MoDi Initiatives'!S:S,'MoDi Initiatives'!$E:$E,'Gap Analysis update'!$B30,'MoDi Initiatives'!$A:$A,'Gap Analysis update'!$A30,'MoDi Initiatives'!$C:$C,'Gap Analysis update'!$B$7,'MoDi Initiatives'!$B:$B,'Gap Analysis update'!U$2)</f>
        <v>0</v>
      </c>
      <c r="V30" s="288">
        <f>SUMIFS('MoDi Initiatives'!T:T,'MoDi Initiatives'!$E:$E,'Gap Analysis update'!$B30,'MoDi Initiatives'!$A:$A,'Gap Analysis update'!$A30,'MoDi Initiatives'!$B:$B,'Gap Analysis update'!V$2)-SUMIFS('MoDi Initiatives'!T:T,'MoDi Initiatives'!$E:$E,'Gap Analysis update'!$B30,'MoDi Initiatives'!$A:$A,'Gap Analysis update'!$A30,'MoDi Initiatives'!$C:$C,'Gap Analysis update'!$B$7,'MoDi Initiatives'!$B:$B,'Gap Analysis update'!V$2)</f>
        <v>0</v>
      </c>
      <c r="W30" s="288">
        <f>SUMIFS('MoDi Initiatives'!U:U,'MoDi Initiatives'!$E:$E,'Gap Analysis update'!$B30,'MoDi Initiatives'!$A:$A,'Gap Analysis update'!$A30,'MoDi Initiatives'!$B:$B,'Gap Analysis update'!W$2)-SUMIFS('MoDi Initiatives'!U:U,'MoDi Initiatives'!$E:$E,'Gap Analysis update'!$B30,'MoDi Initiatives'!$A:$A,'Gap Analysis update'!$A30,'MoDi Initiatives'!$C:$C,'Gap Analysis update'!$B$7,'MoDi Initiatives'!$B:$B,'Gap Analysis update'!W$2)</f>
        <v>0</v>
      </c>
      <c r="X30" s="288">
        <f>SUMIFS('MoDi Initiatives'!V:V,'MoDi Initiatives'!$E:$E,'Gap Analysis update'!$B30,'MoDi Initiatives'!$A:$A,'Gap Analysis update'!$A30,'MoDi Initiatives'!$B:$B,'Gap Analysis update'!X$2)-SUMIFS('MoDi Initiatives'!V:V,'MoDi Initiatives'!$E:$E,'Gap Analysis update'!$B30,'MoDi Initiatives'!$A:$A,'Gap Analysis update'!$A30,'MoDi Initiatives'!$C:$C,'Gap Analysis update'!$B$7,'MoDi Initiatives'!$B:$B,'Gap Analysis update'!X$2)</f>
        <v>0</v>
      </c>
      <c r="Y30" s="288">
        <f>SUMIFS('MoDi Initiatives'!W:W,'MoDi Initiatives'!$E:$E,'Gap Analysis update'!$B30,'MoDi Initiatives'!$A:$A,'Gap Analysis update'!$A30,'MoDi Initiatives'!$B:$B,'Gap Analysis update'!Y$2)-SUMIFS('MoDi Initiatives'!W:W,'MoDi Initiatives'!$E:$E,'Gap Analysis update'!$B30,'MoDi Initiatives'!$A:$A,'Gap Analysis update'!$A30,'MoDi Initiatives'!$C:$C,'Gap Analysis update'!$B$7,'MoDi Initiatives'!$B:$B,'Gap Analysis update'!Y$2)</f>
        <v>0</v>
      </c>
      <c r="Z30" s="293"/>
      <c r="AB30" s="298">
        <f>SUMIFS('MoDi Initiatives'!H:H,'MoDi Initiatives'!$E:$E,'Gap Analysis update'!$B30,'MoDi Initiatives'!$A:$A,'Gap Analysis update'!$A30,'MoDi Initiatives'!$B:$B,'Gap Analysis update'!AB$2)-SUMIFS('MoDi Initiatives'!H:H,'MoDi Initiatives'!$E:$E,'Gap Analysis update'!$B30,'MoDi Initiatives'!$A:$A,'Gap Analysis update'!$A30,'MoDi Initiatives'!$B:$B,'Gap Analysis update'!AB$2,'MoDi Initiatives'!$C:$C,'Gap Analysis update'!$B$7)</f>
        <v>0</v>
      </c>
      <c r="AC30" s="298">
        <f>SUMIFS('MoDi Initiatives'!I:I,'MoDi Initiatives'!$E:$E,'Gap Analysis update'!$B30,'MoDi Initiatives'!$A:$A,'Gap Analysis update'!$A30,'MoDi Initiatives'!$B:$B,'Gap Analysis update'!AC$2)-SUMIFS('MoDi Initiatives'!I:I,'MoDi Initiatives'!$E:$E,'Gap Analysis update'!$B30,'MoDi Initiatives'!$A:$A,'Gap Analysis update'!$A30,'MoDi Initiatives'!$B:$B,'Gap Analysis update'!AC$2,'MoDi Initiatives'!$C:$C,'Gap Analysis update'!$B$7)</f>
        <v>0</v>
      </c>
      <c r="AD30" s="299">
        <f>SUMIFS('MoDi Initiatives'!J:J,'MoDi Initiatives'!$E:$E,'Gap Analysis update'!$B30,'MoDi Initiatives'!$A:$A,'Gap Analysis update'!$A30,'MoDi Initiatives'!$B:$B,'Gap Analysis update'!AD$2)-SUMIFS('MoDi Initiatives'!J:J,'MoDi Initiatives'!$E:$E,'Gap Analysis update'!$B30,'MoDi Initiatives'!$A:$A,'Gap Analysis update'!$A30,'MoDi Initiatives'!$B:$B,'Gap Analysis update'!AD$2,'MoDi Initiatives'!$C:$C,'Gap Analysis update'!$B$7)</f>
        <v>-7.6105652040609787E-3</v>
      </c>
      <c r="AE30" s="298">
        <f>SUMIFS('MoDi Initiatives'!K:K,'MoDi Initiatives'!$E:$E,'Gap Analysis update'!$B30,'MoDi Initiatives'!$A:$A,'Gap Analysis update'!$A30,'MoDi Initiatives'!$B:$B,'Gap Analysis update'!AE$2)-SUMIFS('MoDi Initiatives'!K:K,'MoDi Initiatives'!$E:$E,'Gap Analysis update'!$B30,'MoDi Initiatives'!$A:$A,'Gap Analysis update'!$A30,'MoDi Initiatives'!$B:$B,'Gap Analysis update'!AE$2,'MoDi Initiatives'!$C:$C,'Gap Analysis update'!$B$7)</f>
        <v>0</v>
      </c>
      <c r="AF30" s="298">
        <f>SUMIFS('MoDi Initiatives'!L:L,'MoDi Initiatives'!$E:$E,'Gap Analysis update'!$B30,'MoDi Initiatives'!$A:$A,'Gap Analysis update'!$A30,'MoDi Initiatives'!$B:$B,'Gap Analysis update'!AF$2)-SUMIFS('MoDi Initiatives'!L:L,'MoDi Initiatives'!$E:$E,'Gap Analysis update'!$B30,'MoDi Initiatives'!$A:$A,'Gap Analysis update'!$A30,'MoDi Initiatives'!$B:$B,'Gap Analysis update'!AF$2,'MoDi Initiatives'!$C:$C,'Gap Analysis update'!$B$7)</f>
        <v>0</v>
      </c>
      <c r="AG30" s="298">
        <f>SUMIFS('MoDi Initiatives'!M:M,'MoDi Initiatives'!$E:$E,'Gap Analysis update'!$B30,'MoDi Initiatives'!$A:$A,'Gap Analysis update'!$A30,'MoDi Initiatives'!$B:$B,'Gap Analysis update'!AG$2)-SUMIFS('MoDi Initiatives'!M:M,'MoDi Initiatives'!$E:$E,'Gap Analysis update'!$B30,'MoDi Initiatives'!$A:$A,'Gap Analysis update'!$A30,'MoDi Initiatives'!$B:$B,'Gap Analysis update'!AG$2,'MoDi Initiatives'!$C:$C,'Gap Analysis update'!$B$7)</f>
        <v>0</v>
      </c>
      <c r="AH30" s="298">
        <f>SUMIFS('MoDi Initiatives'!N:N,'MoDi Initiatives'!$E:$E,'Gap Analysis update'!$B30,'MoDi Initiatives'!$A:$A,'Gap Analysis update'!$A30,'MoDi Initiatives'!$B:$B,'Gap Analysis update'!AH$2)-SUMIFS('MoDi Initiatives'!N:N,'MoDi Initiatives'!$E:$E,'Gap Analysis update'!$B30,'MoDi Initiatives'!$A:$A,'Gap Analysis update'!$A30,'MoDi Initiatives'!$B:$B,'Gap Analysis update'!AH$2,'MoDi Initiatives'!$C:$C,'Gap Analysis update'!$B$7)</f>
        <v>0</v>
      </c>
      <c r="AI30" s="298">
        <f>SUMIFS('MoDi Initiatives'!O:O,'MoDi Initiatives'!$E:$E,'Gap Analysis update'!$B30,'MoDi Initiatives'!$A:$A,'Gap Analysis update'!$A30,'MoDi Initiatives'!$B:$B,'Gap Analysis update'!AI$2)-SUMIFS('MoDi Initiatives'!O:O,'MoDi Initiatives'!$E:$E,'Gap Analysis update'!$B30,'MoDi Initiatives'!$A:$A,'Gap Analysis update'!$A30,'MoDi Initiatives'!$B:$B,'Gap Analysis update'!AI$2,'MoDi Initiatives'!$C:$C,'Gap Analysis update'!$B$7)</f>
        <v>0</v>
      </c>
      <c r="AJ30" s="288">
        <f>SUMIFS('MoDi Initiatives'!P:P,'MoDi Initiatives'!$E:$E,'Gap Analysis update'!$B30,'MoDi Initiatives'!$A:$A,'Gap Analysis update'!$A30,'MoDi Initiatives'!$B:$B,'Gap Analysis update'!AJ$2)-SUMIFS('MoDi Initiatives'!P:P,'MoDi Initiatives'!$E:$E,'Gap Analysis update'!$B30,'MoDi Initiatives'!$A:$A,'Gap Analysis update'!$A30,'MoDi Initiatives'!$B:$B,'Gap Analysis update'!AJ$2,'MoDi Initiatives'!$C:$C,'Gap Analysis update'!$B$7)</f>
        <v>0</v>
      </c>
      <c r="AK30" s="298">
        <f>SUMIFS('MoDi Initiatives'!Q:Q,'MoDi Initiatives'!$E:$E,'Gap Analysis update'!$B30,'MoDi Initiatives'!$A:$A,'Gap Analysis update'!$A30,'MoDi Initiatives'!$B:$B,'Gap Analysis update'!AK$2)-SUMIFS('MoDi Initiatives'!Q:Q,'MoDi Initiatives'!$E:$E,'Gap Analysis update'!$B30,'MoDi Initiatives'!$A:$A,'Gap Analysis update'!$A30,'MoDi Initiatives'!$B:$B,'Gap Analysis update'!AK$2,'MoDi Initiatives'!$C:$C,'Gap Analysis update'!$B$7)</f>
        <v>0</v>
      </c>
      <c r="AL30" s="298">
        <f>SUMIFS('MoDi Initiatives'!R:R,'MoDi Initiatives'!$E:$E,'Gap Analysis update'!$B30,'MoDi Initiatives'!$A:$A,'Gap Analysis update'!$A30,'MoDi Initiatives'!$B:$B,'Gap Analysis update'!AL$2)-SUMIFS('MoDi Initiatives'!R:R,'MoDi Initiatives'!$E:$E,'Gap Analysis update'!$B30,'MoDi Initiatives'!$A:$A,'Gap Analysis update'!$A30,'MoDi Initiatives'!$B:$B,'Gap Analysis update'!AL$2,'MoDi Initiatives'!$C:$C,'Gap Analysis update'!$B$7)</f>
        <v>-7.664517588016187E-3</v>
      </c>
      <c r="AM30" s="299">
        <f>SUMIFS('MoDi Initiatives'!S:S,'MoDi Initiatives'!$E:$E,'Gap Analysis update'!$B30,'MoDi Initiatives'!$A:$A,'Gap Analysis update'!$A30,'MoDi Initiatives'!$B:$B,'Gap Analysis update'!AM$2)-SUMIFS('MoDi Initiatives'!S:S,'MoDi Initiatives'!$E:$E,'Gap Analysis update'!$B30,'MoDi Initiatives'!$A:$A,'Gap Analysis update'!$A30,'MoDi Initiatives'!$B:$B,'Gap Analysis update'!AM$2,'MoDi Initiatives'!$C:$C,'Gap Analysis update'!$B$7)</f>
        <v>0</v>
      </c>
      <c r="AN30" s="298">
        <f>SUMIFS('MoDi Initiatives'!T:T,'MoDi Initiatives'!$E:$E,'Gap Analysis update'!$B30,'MoDi Initiatives'!$A:$A,'Gap Analysis update'!$A30,'MoDi Initiatives'!$B:$B,'Gap Analysis update'!AN$2)-SUMIFS('MoDi Initiatives'!T:T,'MoDi Initiatives'!$E:$E,'Gap Analysis update'!$B30,'MoDi Initiatives'!$A:$A,'Gap Analysis update'!$A30,'MoDi Initiatives'!$B:$B,'Gap Analysis update'!AN$2,'MoDi Initiatives'!$C:$C,'Gap Analysis update'!$B$7)</f>
        <v>0</v>
      </c>
      <c r="AO30" s="298">
        <f>SUMIFS('MoDi Initiatives'!U:U,'MoDi Initiatives'!$E:$E,'Gap Analysis update'!$B30,'MoDi Initiatives'!$A:$A,'Gap Analysis update'!$A30,'MoDi Initiatives'!$B:$B,'Gap Analysis update'!AO$2)-SUMIFS('MoDi Initiatives'!U:U,'MoDi Initiatives'!$E:$E,'Gap Analysis update'!$B30,'MoDi Initiatives'!$A:$A,'Gap Analysis update'!$A30,'MoDi Initiatives'!$B:$B,'Gap Analysis update'!AO$2,'MoDi Initiatives'!$C:$C,'Gap Analysis update'!$B$7)</f>
        <v>0</v>
      </c>
      <c r="AP30" s="298">
        <f>SUMIFS('MoDi Initiatives'!V:V,'MoDi Initiatives'!$E:$E,'Gap Analysis update'!$B30,'MoDi Initiatives'!$A:$A,'Gap Analysis update'!$A30,'MoDi Initiatives'!$B:$B,'Gap Analysis update'!AP$2)-SUMIFS('MoDi Initiatives'!V:V,'MoDi Initiatives'!$E:$E,'Gap Analysis update'!$B30,'MoDi Initiatives'!$A:$A,'Gap Analysis update'!$A30,'MoDi Initiatives'!$B:$B,'Gap Analysis update'!AP$2,'MoDi Initiatives'!$C:$C,'Gap Analysis update'!$B$7)</f>
        <v>0</v>
      </c>
      <c r="AQ30" s="298">
        <f>SUMIFS('MoDi Initiatives'!W:W,'MoDi Initiatives'!$E:$E,'Gap Analysis update'!$B30,'MoDi Initiatives'!$A:$A,'Gap Analysis update'!$A30,'MoDi Initiatives'!$B:$B,'Gap Analysis update'!AQ$2)-SUMIFS('MoDi Initiatives'!W:W,'MoDi Initiatives'!$E:$E,'Gap Analysis update'!$B30,'MoDi Initiatives'!$A:$A,'Gap Analysis update'!$A30,'MoDi Initiatives'!$B:$B,'Gap Analysis update'!AQ$2,'MoDi Initiatives'!$C:$C,'Gap Analysis update'!$B$7)</f>
        <v>0</v>
      </c>
      <c r="AR30" s="293"/>
      <c r="AT30" s="298">
        <f t="shared" si="22"/>
        <v>0</v>
      </c>
      <c r="AU30" s="298">
        <f t="shared" si="22"/>
        <v>0</v>
      </c>
      <c r="AV30" s="298">
        <f t="shared" si="22"/>
        <v>-7.6105652040609787E-3</v>
      </c>
      <c r="AW30" s="298">
        <f t="shared" si="22"/>
        <v>7.664517588016187E-3</v>
      </c>
      <c r="AX30" s="298">
        <f t="shared" si="22"/>
        <v>0</v>
      </c>
      <c r="AY30" s="298">
        <f t="shared" si="22"/>
        <v>0</v>
      </c>
      <c r="AZ30" s="298">
        <f t="shared" si="22"/>
        <v>0</v>
      </c>
      <c r="BA30" s="298">
        <f t="shared" si="22"/>
        <v>0</v>
      </c>
      <c r="BB30" s="298">
        <f t="shared" si="22"/>
        <v>0</v>
      </c>
      <c r="BC30" s="298">
        <f t="shared" si="22"/>
        <v>0</v>
      </c>
      <c r="BD30" s="298">
        <f t="shared" si="22"/>
        <v>0</v>
      </c>
      <c r="BE30" s="298">
        <f t="shared" si="22"/>
        <v>0</v>
      </c>
      <c r="BF30" s="298">
        <f t="shared" si="22"/>
        <v>0</v>
      </c>
      <c r="BG30" s="298">
        <f t="shared" si="22"/>
        <v>0</v>
      </c>
      <c r="BH30" s="298">
        <f t="shared" si="22"/>
        <v>0</v>
      </c>
      <c r="BI30" s="298">
        <f t="shared" si="22"/>
        <v>0</v>
      </c>
      <c r="BJ30" s="293"/>
      <c r="BK30" s="288"/>
      <c r="BL30" s="288"/>
      <c r="BM30" s="288"/>
      <c r="BN30" s="288"/>
      <c r="BO30" s="288"/>
      <c r="BP30" s="288"/>
      <c r="BQ30" s="288"/>
      <c r="BR30" s="288"/>
      <c r="BS30" s="288"/>
      <c r="BT30" s="288"/>
      <c r="BU30" s="288"/>
      <c r="BV30" s="288"/>
      <c r="BW30" s="288"/>
      <c r="BX30" s="288"/>
      <c r="BY30" s="288"/>
      <c r="BZ30" s="288"/>
      <c r="CA30" s="288"/>
      <c r="CB30" s="288"/>
    </row>
    <row r="31" spans="1:80" s="298" customFormat="1" ht="52">
      <c r="A31" s="296" t="s">
        <v>82</v>
      </c>
      <c r="B31" s="287" t="s">
        <v>58</v>
      </c>
      <c r="C31" s="288">
        <f t="shared" si="23"/>
        <v>-3.4062476278304277E-4</v>
      </c>
      <c r="D31" s="289">
        <f t="shared" si="24"/>
        <v>6.2467733243818171E-5</v>
      </c>
      <c r="E31" s="289">
        <f t="shared" si="8"/>
        <v>-2.781570295392246E-4</v>
      </c>
      <c r="F31" s="286" t="s">
        <v>90</v>
      </c>
      <c r="G31" s="286"/>
      <c r="H31" s="297"/>
      <c r="J31" s="288">
        <f>SUMIFS('MoDi Initiatives'!H:H,'MoDi Initiatives'!$E:$E,'Gap Analysis update'!$B31,'MoDi Initiatives'!$A:$A,'Gap Analysis update'!$A31,'MoDi Initiatives'!$B:$B,'Gap Analysis update'!J$2)-SUMIFS('MoDi Initiatives'!H:H,'MoDi Initiatives'!$E:$E,'Gap Analysis update'!$B31,'MoDi Initiatives'!$A:$A,'Gap Analysis update'!$A31,'MoDi Initiatives'!$C:$C,'Gap Analysis update'!$B$7,'MoDi Initiatives'!$B:$B,'Gap Analysis update'!J$2)</f>
        <v>8.1541770043497969E-3</v>
      </c>
      <c r="K31" s="288">
        <f>SUMIFS('MoDi Initiatives'!I:I,'MoDi Initiatives'!$E:$E,'Gap Analysis update'!$B31,'MoDi Initiatives'!$A:$A,'Gap Analysis update'!$A31,'MoDi Initiatives'!$B:$B,'Gap Analysis update'!K$2)-SUMIFS('MoDi Initiatives'!I:I,'MoDi Initiatives'!$E:$E,'Gap Analysis update'!$B31,'MoDi Initiatives'!$A:$A,'Gap Analysis update'!$A31,'MoDi Initiatives'!$C:$C,'Gap Analysis update'!$B$7,'MoDi Initiatives'!$B:$B,'Gap Analysis update'!K$2)</f>
        <v>1.2611793766729783E-2</v>
      </c>
      <c r="L31" s="288">
        <f>SUMIFS('MoDi Initiatives'!J:J,'MoDi Initiatives'!$E:$E,'Gap Analysis update'!$B31,'MoDi Initiatives'!$A:$A,'Gap Analysis update'!$A31,'MoDi Initiatives'!$B:$B,'Gap Analysis update'!L$2)-SUMIFS('MoDi Initiatives'!J:J,'MoDi Initiatives'!$E:$E,'Gap Analysis update'!$B31,'MoDi Initiatives'!$A:$A,'Gap Analysis update'!$A31,'MoDi Initiatives'!$C:$C,'Gap Analysis update'!$B$7,'MoDi Initiatives'!$B:$B,'Gap Analysis update'!L$2)</f>
        <v>0</v>
      </c>
      <c r="M31" s="288">
        <f>SUMIFS('MoDi Initiatives'!K:K,'MoDi Initiatives'!$E:$E,'Gap Analysis update'!$B31,'MoDi Initiatives'!$A:$A,'Gap Analysis update'!$A31,'MoDi Initiatives'!$B:$B,'Gap Analysis update'!M$2)-SUMIFS('MoDi Initiatives'!K:K,'MoDi Initiatives'!$E:$E,'Gap Analysis update'!$B31,'MoDi Initiatives'!$A:$A,'Gap Analysis update'!$A31,'MoDi Initiatives'!$C:$C,'Gap Analysis update'!$B$7,'MoDi Initiatives'!$B:$B,'Gap Analysis update'!M$2)</f>
        <v>7.6645175880161974E-3</v>
      </c>
      <c r="N31" s="288">
        <f>SUMIFS('MoDi Initiatives'!L:L,'MoDi Initiatives'!$E:$E,'Gap Analysis update'!$B31,'MoDi Initiatives'!$A:$A,'Gap Analysis update'!$A31,'MoDi Initiatives'!$B:$B,'Gap Analysis update'!N$2)-SUMIFS('MoDi Initiatives'!L:L,'MoDi Initiatives'!$E:$E,'Gap Analysis update'!$B31,'MoDi Initiatives'!$A:$A,'Gap Analysis update'!$A31,'MoDi Initiatives'!$C:$C,'Gap Analysis update'!$B$7,'MoDi Initiatives'!$B:$B,'Gap Analysis update'!N$2)</f>
        <v>-1.6076459494170317E-2</v>
      </c>
      <c r="O31" s="288">
        <f>SUMIFS('MoDi Initiatives'!M:M,'MoDi Initiatives'!$E:$E,'Gap Analysis update'!$B31,'MoDi Initiatives'!$A:$A,'Gap Analysis update'!$A31,'MoDi Initiatives'!$B:$B,'Gap Analysis update'!O$2)-SUMIFS('MoDi Initiatives'!M:M,'MoDi Initiatives'!$E:$E,'Gap Analysis update'!$B31,'MoDi Initiatives'!$A:$A,'Gap Analysis update'!$A31,'MoDi Initiatives'!$C:$C,'Gap Analysis update'!$B$7,'MoDi Initiatives'!$B:$B,'Gap Analysis update'!O$2)</f>
        <v>9.5806469850202337E-3</v>
      </c>
      <c r="P31" s="288">
        <f>SUMIFS('MoDi Initiatives'!N:N,'MoDi Initiatives'!$E:$E,'Gap Analysis update'!$B31,'MoDi Initiatives'!$A:$A,'Gap Analysis update'!$A31,'MoDi Initiatives'!$B:$B,'Gap Analysis update'!P$2)-SUMIFS('MoDi Initiatives'!N:N,'MoDi Initiatives'!$E:$E,'Gap Analysis update'!$B31,'MoDi Initiatives'!$A:$A,'Gap Analysis update'!$A31,'MoDi Initiatives'!$C:$C,'Gap Analysis update'!$B$7,'MoDi Initiatives'!$B:$B,'Gap Analysis update'!P$2)</f>
        <v>5.1034082148217735E-3</v>
      </c>
      <c r="Q31" s="288">
        <f>SUMIFS('MoDi Initiatives'!O:O,'MoDi Initiatives'!$E:$E,'Gap Analysis update'!$B31,'MoDi Initiatives'!$A:$A,'Gap Analysis update'!$A31,'MoDi Initiatives'!$B:$B,'Gap Analysis update'!Q$2)-SUMIFS('MoDi Initiatives'!O:O,'MoDi Initiatives'!$E:$E,'Gap Analysis update'!$B31,'MoDi Initiatives'!$A:$A,'Gap Analysis update'!$A31,'MoDi Initiatives'!$C:$C,'Gap Analysis update'!$B$7,'MoDi Initiatives'!$B:$B,'Gap Analysis update'!Q$2)</f>
        <v>0</v>
      </c>
      <c r="R31" s="288">
        <f>SUMIFS('MoDi Initiatives'!P:P,'MoDi Initiatives'!$E:$E,'Gap Analysis update'!$B31,'MoDi Initiatives'!$A:$A,'Gap Analysis update'!$A31,'MoDi Initiatives'!$B:$B,'Gap Analysis update'!R$2)-SUMIFS('MoDi Initiatives'!P:P,'MoDi Initiatives'!$E:$E,'Gap Analysis update'!$B31,'MoDi Initiatives'!$A:$A,'Gap Analysis update'!$A31,'MoDi Initiatives'!$C:$C,'Gap Analysis update'!$B$7,'MoDi Initiatives'!$B:$B,'Gap Analysis update'!R$2)</f>
        <v>0</v>
      </c>
      <c r="S31" s="288">
        <f>SUMIFS('MoDi Initiatives'!Q:Q,'MoDi Initiatives'!$E:$E,'Gap Analysis update'!$B31,'MoDi Initiatives'!$A:$A,'Gap Analysis update'!$A31,'MoDi Initiatives'!$B:$B,'Gap Analysis update'!S$2)-SUMIFS('MoDi Initiatives'!Q:Q,'MoDi Initiatives'!$E:$E,'Gap Analysis update'!$B31,'MoDi Initiatives'!$A:$A,'Gap Analysis update'!$A31,'MoDi Initiatives'!$C:$C,'Gap Analysis update'!$B$7,'MoDi Initiatives'!$B:$B,'Gap Analysis update'!S$2)</f>
        <v>0</v>
      </c>
      <c r="T31" s="288">
        <f>SUMIFS('MoDi Initiatives'!R:R,'MoDi Initiatives'!$E:$E,'Gap Analysis update'!$B31,'MoDi Initiatives'!$A:$A,'Gap Analysis update'!$A31,'MoDi Initiatives'!$B:$B,'Gap Analysis update'!T$2)-SUMIFS('MoDi Initiatives'!R:R,'MoDi Initiatives'!$E:$E,'Gap Analysis update'!$B31,'MoDi Initiatives'!$A:$A,'Gap Analysis update'!$A31,'MoDi Initiatives'!$C:$C,'Gap Analysis update'!$B$7,'MoDi Initiatives'!$B:$B,'Gap Analysis update'!T$2)</f>
        <v>0</v>
      </c>
      <c r="U31" s="288">
        <f>SUMIFS('MoDi Initiatives'!S:S,'MoDi Initiatives'!$E:$E,'Gap Analysis update'!$B31,'MoDi Initiatives'!$A:$A,'Gap Analysis update'!$A31,'MoDi Initiatives'!$B:$B,'Gap Analysis update'!U$2)-SUMIFS('MoDi Initiatives'!S:S,'MoDi Initiatives'!$E:$E,'Gap Analysis update'!$B31,'MoDi Initiatives'!$A:$A,'Gap Analysis update'!$A31,'MoDi Initiatives'!$C:$C,'Gap Analysis update'!$B$7,'MoDi Initiatives'!$B:$B,'Gap Analysis update'!U$2)</f>
        <v>0</v>
      </c>
      <c r="V31" s="288">
        <f>SUMIFS('MoDi Initiatives'!T:T,'MoDi Initiatives'!$E:$E,'Gap Analysis update'!$B31,'MoDi Initiatives'!$A:$A,'Gap Analysis update'!$A31,'MoDi Initiatives'!$B:$B,'Gap Analysis update'!V$2)-SUMIFS('MoDi Initiatives'!T:T,'MoDi Initiatives'!$E:$E,'Gap Analysis update'!$B31,'MoDi Initiatives'!$A:$A,'Gap Analysis update'!$A31,'MoDi Initiatives'!$C:$C,'Gap Analysis update'!$B$7,'MoDi Initiatives'!$B:$B,'Gap Analysis update'!V$2)</f>
        <v>0</v>
      </c>
      <c r="W31" s="288">
        <f>SUMIFS('MoDi Initiatives'!U:U,'MoDi Initiatives'!$E:$E,'Gap Analysis update'!$B31,'MoDi Initiatives'!$A:$A,'Gap Analysis update'!$A31,'MoDi Initiatives'!$B:$B,'Gap Analysis update'!W$2)-SUMIFS('MoDi Initiatives'!U:U,'MoDi Initiatives'!$E:$E,'Gap Analysis update'!$B31,'MoDi Initiatives'!$A:$A,'Gap Analysis update'!$A31,'MoDi Initiatives'!$C:$C,'Gap Analysis update'!$B$7,'MoDi Initiatives'!$B:$B,'Gap Analysis update'!W$2)</f>
        <v>0</v>
      </c>
      <c r="X31" s="288">
        <f>SUMIFS('MoDi Initiatives'!V:V,'MoDi Initiatives'!$E:$E,'Gap Analysis update'!$B31,'MoDi Initiatives'!$A:$A,'Gap Analysis update'!$A31,'MoDi Initiatives'!$B:$B,'Gap Analysis update'!X$2)-SUMIFS('MoDi Initiatives'!V:V,'MoDi Initiatives'!$E:$E,'Gap Analysis update'!$B31,'MoDi Initiatives'!$A:$A,'Gap Analysis update'!$A31,'MoDi Initiatives'!$C:$C,'Gap Analysis update'!$B$7,'MoDi Initiatives'!$B:$B,'Gap Analysis update'!X$2)</f>
        <v>0</v>
      </c>
      <c r="Y31" s="288">
        <f>SUMIFS('MoDi Initiatives'!W:W,'MoDi Initiatives'!$E:$E,'Gap Analysis update'!$B31,'MoDi Initiatives'!$A:$A,'Gap Analysis update'!$A31,'MoDi Initiatives'!$B:$B,'Gap Analysis update'!Y$2)-SUMIFS('MoDi Initiatives'!W:W,'MoDi Initiatives'!$E:$E,'Gap Analysis update'!$B31,'MoDi Initiatives'!$A:$A,'Gap Analysis update'!$A31,'MoDi Initiatives'!$C:$C,'Gap Analysis update'!$B$7,'MoDi Initiatives'!$B:$B,'Gap Analysis update'!Y$2)</f>
        <v>0</v>
      </c>
      <c r="Z31" s="293"/>
      <c r="AB31" s="298">
        <f>SUMIFS('MoDi Initiatives'!H:H,'MoDi Initiatives'!$E:$E,'Gap Analysis update'!$B31,'MoDi Initiatives'!$A:$A,'Gap Analysis update'!$A31,'MoDi Initiatives'!$B:$B,'Gap Analysis update'!AB$2)-SUMIFS('MoDi Initiatives'!H:H,'MoDi Initiatives'!$E:$E,'Gap Analysis update'!$B31,'MoDi Initiatives'!$A:$A,'Gap Analysis update'!$A31,'MoDi Initiatives'!$B:$B,'Gap Analysis update'!AB$2,'MoDi Initiatives'!$C:$C,'Gap Analysis update'!$B$7)</f>
        <v>1.500368568800595E-2</v>
      </c>
      <c r="AC31" s="298">
        <f>SUMIFS('MoDi Initiatives'!I:I,'MoDi Initiatives'!$E:$E,'Gap Analysis update'!$B31,'MoDi Initiatives'!$A:$A,'Gap Analysis update'!$A31,'MoDi Initiatives'!$B:$B,'Gap Analysis update'!AC$2)-SUMIFS('MoDi Initiatives'!I:I,'MoDi Initiatives'!$E:$E,'Gap Analysis update'!$B31,'MoDi Initiatives'!$A:$A,'Gap Analysis update'!$A31,'MoDi Initiatives'!$B:$B,'Gap Analysis update'!AC$2,'MoDi Initiatives'!$C:$C,'Gap Analysis update'!$B$7)</f>
        <v>1.2619023806164338E-3</v>
      </c>
      <c r="AD31" s="298">
        <f>SUMIFS('MoDi Initiatives'!J:J,'MoDi Initiatives'!$E:$E,'Gap Analysis update'!$B31,'MoDi Initiatives'!$A:$A,'Gap Analysis update'!$A31,'MoDi Initiatives'!$B:$B,'Gap Analysis update'!AD$2)-SUMIFS('MoDi Initiatives'!J:J,'MoDi Initiatives'!$E:$E,'Gap Analysis update'!$B31,'MoDi Initiatives'!$A:$A,'Gap Analysis update'!$A31,'MoDi Initiatives'!$B:$B,'Gap Analysis update'!AD$2,'MoDi Initiatives'!$C:$C,'Gap Analysis update'!$B$7)</f>
        <v>7.6105652040615052E-3</v>
      </c>
      <c r="AE31" s="298">
        <f>SUMIFS('MoDi Initiatives'!K:K,'MoDi Initiatives'!$E:$E,'Gap Analysis update'!$B31,'MoDi Initiatives'!$A:$A,'Gap Analysis update'!$A31,'MoDi Initiatives'!$B:$B,'Gap Analysis update'!AE$2)-SUMIFS('MoDi Initiatives'!K:K,'MoDi Initiatives'!$E:$E,'Gap Analysis update'!$B31,'MoDi Initiatives'!$A:$A,'Gap Analysis update'!$A31,'MoDi Initiatives'!$B:$B,'Gap Analysis update'!AE$2,'MoDi Initiatives'!$C:$C,'Gap Analysis update'!$B$7)</f>
        <v>0</v>
      </c>
      <c r="AF31" s="298">
        <f>SUMIFS('MoDi Initiatives'!L:L,'MoDi Initiatives'!$E:$E,'Gap Analysis update'!$B31,'MoDi Initiatives'!$A:$A,'Gap Analysis update'!$A31,'MoDi Initiatives'!$B:$B,'Gap Analysis update'!AF$2)-SUMIFS('MoDi Initiatives'!L:L,'MoDi Initiatives'!$E:$E,'Gap Analysis update'!$B31,'MoDi Initiatives'!$A:$A,'Gap Analysis update'!$A31,'MoDi Initiatives'!$B:$B,'Gap Analysis update'!AF$2,'MoDi Initiatives'!$C:$C,'Gap Analysis update'!$B$7)</f>
        <v>2.9137592495549454E-3</v>
      </c>
      <c r="AG31" s="298">
        <f>SUMIFS('MoDi Initiatives'!M:M,'MoDi Initiatives'!$E:$E,'Gap Analysis update'!$B31,'MoDi Initiatives'!$A:$A,'Gap Analysis update'!$A31,'MoDi Initiatives'!$B:$B,'Gap Analysis update'!AG$2)-SUMIFS('MoDi Initiatives'!M:M,'MoDi Initiatives'!$E:$E,'Gap Analysis update'!$B31,'MoDi Initiatives'!$A:$A,'Gap Analysis update'!$A31,'MoDi Initiatives'!$B:$B,'Gap Analysis update'!AG$2,'MoDi Initiatives'!$C:$C,'Gap Analysis update'!$B$7)</f>
        <v>1.652579872479798E-5</v>
      </c>
      <c r="AH31" s="298">
        <f>SUMIFS('MoDi Initiatives'!N:N,'MoDi Initiatives'!$E:$E,'Gap Analysis update'!$B31,'MoDi Initiatives'!$A:$A,'Gap Analysis update'!$A31,'MoDi Initiatives'!$B:$B,'Gap Analysis update'!AH$2)-SUMIFS('MoDi Initiatives'!N:N,'MoDi Initiatives'!$E:$E,'Gap Analysis update'!$B31,'MoDi Initiatives'!$A:$A,'Gap Analysis update'!$A31,'MoDi Initiatives'!$B:$B,'Gap Analysis update'!AH$2,'MoDi Initiatives'!$C:$C,'Gap Analysis update'!$B$7)</f>
        <v>2.5067475658679103E-5</v>
      </c>
      <c r="AI31" s="298">
        <f>SUMIFS('MoDi Initiatives'!O:O,'MoDi Initiatives'!$E:$E,'Gap Analysis update'!$B31,'MoDi Initiatives'!$A:$A,'Gap Analysis update'!$A31,'MoDi Initiatives'!$B:$B,'Gap Analysis update'!AI$2)-SUMIFS('MoDi Initiatives'!O:O,'MoDi Initiatives'!$E:$E,'Gap Analysis update'!$B31,'MoDi Initiatives'!$A:$A,'Gap Analysis update'!$A31,'MoDi Initiatives'!$B:$B,'Gap Analysis update'!AI$2,'MoDi Initiatives'!$C:$C,'Gap Analysis update'!$B$7)</f>
        <v>-1.3404649463788498E-4</v>
      </c>
      <c r="AJ31" s="288">
        <f>SUMIFS('MoDi Initiatives'!P:P,'MoDi Initiatives'!$E:$E,'Gap Analysis update'!$B31,'MoDi Initiatives'!$A:$A,'Gap Analysis update'!$A31,'MoDi Initiatives'!$B:$B,'Gap Analysis update'!AJ$2)-SUMIFS('MoDi Initiatives'!P:P,'MoDi Initiatives'!$E:$E,'Gap Analysis update'!$B31,'MoDi Initiatives'!$A:$A,'Gap Analysis update'!$A31,'MoDi Initiatives'!$B:$B,'Gap Analysis update'!AJ$2,'MoDi Initiatives'!$C:$C,'Gap Analysis update'!$B$7)</f>
        <v>6.2467733243818171E-5</v>
      </c>
      <c r="AK31" s="298">
        <f>SUMIFS('MoDi Initiatives'!Q:Q,'MoDi Initiatives'!$E:$E,'Gap Analysis update'!$B31,'MoDi Initiatives'!$A:$A,'Gap Analysis update'!$A31,'MoDi Initiatives'!$B:$B,'Gap Analysis update'!AK$2)-SUMIFS('MoDi Initiatives'!Q:Q,'MoDi Initiatives'!$E:$E,'Gap Analysis update'!$B31,'MoDi Initiatives'!$A:$A,'Gap Analysis update'!$A31,'MoDi Initiatives'!$B:$B,'Gap Analysis update'!AK$2,'MoDi Initiatives'!$C:$C,'Gap Analysis update'!$B$7)</f>
        <v>0</v>
      </c>
      <c r="AL31" s="298">
        <f>SUMIFS('MoDi Initiatives'!R:R,'MoDi Initiatives'!$E:$E,'Gap Analysis update'!$B31,'MoDi Initiatives'!$A:$A,'Gap Analysis update'!$A31,'MoDi Initiatives'!$B:$B,'Gap Analysis update'!AL$2)-SUMIFS('MoDi Initiatives'!R:R,'MoDi Initiatives'!$E:$E,'Gap Analysis update'!$B31,'MoDi Initiatives'!$A:$A,'Gap Analysis update'!$A31,'MoDi Initiatives'!$B:$B,'Gap Analysis update'!AL$2,'MoDi Initiatives'!$C:$C,'Gap Analysis update'!$B$7)</f>
        <v>0</v>
      </c>
      <c r="AM31" s="298">
        <f>SUMIFS('MoDi Initiatives'!S:S,'MoDi Initiatives'!$E:$E,'Gap Analysis update'!$B31,'MoDi Initiatives'!$A:$A,'Gap Analysis update'!$A31,'MoDi Initiatives'!$B:$B,'Gap Analysis update'!AM$2)-SUMIFS('MoDi Initiatives'!S:S,'MoDi Initiatives'!$E:$E,'Gap Analysis update'!$B31,'MoDi Initiatives'!$A:$A,'Gap Analysis update'!$A31,'MoDi Initiatives'!$B:$B,'Gap Analysis update'!AM$2,'MoDi Initiatives'!$C:$C,'Gap Analysis update'!$B$7)</f>
        <v>0</v>
      </c>
      <c r="AN31" s="298">
        <f>SUMIFS('MoDi Initiatives'!T:T,'MoDi Initiatives'!$E:$E,'Gap Analysis update'!$B31,'MoDi Initiatives'!$A:$A,'Gap Analysis update'!$A31,'MoDi Initiatives'!$B:$B,'Gap Analysis update'!AN$2)-SUMIFS('MoDi Initiatives'!T:T,'MoDi Initiatives'!$E:$E,'Gap Analysis update'!$B31,'MoDi Initiatives'!$A:$A,'Gap Analysis update'!$A31,'MoDi Initiatives'!$B:$B,'Gap Analysis update'!AN$2,'MoDi Initiatives'!$C:$C,'Gap Analysis update'!$B$7)</f>
        <v>0</v>
      </c>
      <c r="AO31" s="298">
        <f>SUMIFS('MoDi Initiatives'!U:U,'MoDi Initiatives'!$E:$E,'Gap Analysis update'!$B31,'MoDi Initiatives'!$A:$A,'Gap Analysis update'!$A31,'MoDi Initiatives'!$B:$B,'Gap Analysis update'!AO$2)-SUMIFS('MoDi Initiatives'!U:U,'MoDi Initiatives'!$E:$E,'Gap Analysis update'!$B31,'MoDi Initiatives'!$A:$A,'Gap Analysis update'!$A31,'MoDi Initiatives'!$B:$B,'Gap Analysis update'!AO$2,'MoDi Initiatives'!$C:$C,'Gap Analysis update'!$B$7)</f>
        <v>0</v>
      </c>
      <c r="AP31" s="298">
        <f>SUMIFS('MoDi Initiatives'!V:V,'MoDi Initiatives'!$E:$E,'Gap Analysis update'!$B31,'MoDi Initiatives'!$A:$A,'Gap Analysis update'!$A31,'MoDi Initiatives'!$B:$B,'Gap Analysis update'!AP$2)-SUMIFS('MoDi Initiatives'!V:V,'MoDi Initiatives'!$E:$E,'Gap Analysis update'!$B31,'MoDi Initiatives'!$A:$A,'Gap Analysis update'!$A31,'MoDi Initiatives'!$B:$B,'Gap Analysis update'!AP$2,'MoDi Initiatives'!$C:$C,'Gap Analysis update'!$B$7)</f>
        <v>0</v>
      </c>
      <c r="AQ31" s="298">
        <f>SUMIFS('MoDi Initiatives'!W:W,'MoDi Initiatives'!$E:$E,'Gap Analysis update'!$B31,'MoDi Initiatives'!$A:$A,'Gap Analysis update'!$A31,'MoDi Initiatives'!$B:$B,'Gap Analysis update'!AQ$2)-SUMIFS('MoDi Initiatives'!W:W,'MoDi Initiatives'!$E:$E,'Gap Analysis update'!$B31,'MoDi Initiatives'!$A:$A,'Gap Analysis update'!$A31,'MoDi Initiatives'!$B:$B,'Gap Analysis update'!AQ$2,'MoDi Initiatives'!$C:$C,'Gap Analysis update'!$B$7)</f>
        <v>0</v>
      </c>
      <c r="AR31" s="293"/>
      <c r="AT31" s="298">
        <f t="shared" si="22"/>
        <v>6.8495086836561532E-3</v>
      </c>
      <c r="AU31" s="298">
        <f t="shared" si="22"/>
        <v>-1.134989138611335E-2</v>
      </c>
      <c r="AV31" s="298">
        <f t="shared" si="22"/>
        <v>7.6105652040615052E-3</v>
      </c>
      <c r="AW31" s="298">
        <f t="shared" si="22"/>
        <v>-7.6645175880161974E-3</v>
      </c>
      <c r="AX31" s="298">
        <f t="shared" si="22"/>
        <v>1.8990218743725262E-2</v>
      </c>
      <c r="AY31" s="298">
        <f t="shared" si="22"/>
        <v>-9.5641211862954358E-3</v>
      </c>
      <c r="AZ31" s="298">
        <f t="shared" si="22"/>
        <v>-5.0783407391630942E-3</v>
      </c>
      <c r="BA31" s="298">
        <f t="shared" si="22"/>
        <v>-1.3404649463788498E-4</v>
      </c>
      <c r="BB31" s="298">
        <f t="shared" si="22"/>
        <v>6.2467733243818171E-5</v>
      </c>
      <c r="BC31" s="298">
        <f t="shared" si="22"/>
        <v>0</v>
      </c>
      <c r="BD31" s="298">
        <f t="shared" si="22"/>
        <v>0</v>
      </c>
      <c r="BE31" s="298">
        <f t="shared" si="22"/>
        <v>0</v>
      </c>
      <c r="BF31" s="298">
        <f t="shared" si="22"/>
        <v>0</v>
      </c>
      <c r="BG31" s="298">
        <f t="shared" si="22"/>
        <v>0</v>
      </c>
      <c r="BH31" s="298">
        <f t="shared" si="22"/>
        <v>0</v>
      </c>
      <c r="BI31" s="298">
        <f t="shared" si="22"/>
        <v>0</v>
      </c>
      <c r="BJ31" s="293"/>
      <c r="BK31" s="288"/>
      <c r="BL31" s="288" t="s">
        <v>91</v>
      </c>
      <c r="BM31" s="288" t="s">
        <v>92</v>
      </c>
      <c r="BN31" s="288" t="s">
        <v>92</v>
      </c>
      <c r="BO31" s="288" t="s">
        <v>92</v>
      </c>
      <c r="BP31" s="288" t="s">
        <v>92</v>
      </c>
      <c r="BQ31" s="288" t="s">
        <v>92</v>
      </c>
      <c r="BR31" s="288" t="s">
        <v>92</v>
      </c>
      <c r="BS31" s="288"/>
      <c r="BT31" s="288"/>
      <c r="BU31" s="288"/>
      <c r="BV31" s="288"/>
      <c r="BW31" s="288"/>
      <c r="BX31" s="288"/>
      <c r="BY31" s="288"/>
      <c r="BZ31" s="288"/>
      <c r="CA31" s="288"/>
      <c r="CB31" s="288"/>
    </row>
    <row r="32" spans="1:80" s="299" customFormat="1" ht="12" customHeight="1">
      <c r="A32" s="300" t="s">
        <v>93</v>
      </c>
      <c r="B32" s="275" t="s">
        <v>20</v>
      </c>
      <c r="C32" s="276">
        <f>AI32-Q32</f>
        <v>-2.6484693185157671E-2</v>
      </c>
      <c r="D32" s="277">
        <f>AQ32-Y32-C32</f>
        <v>5.0023309666172411E-2</v>
      </c>
      <c r="E32" s="277">
        <f t="shared" si="8"/>
        <v>2.353861648101474E-2</v>
      </c>
      <c r="F32" s="278"/>
      <c r="G32" s="278"/>
      <c r="H32" s="285"/>
      <c r="I32" s="276">
        <v>1.4372366292162482</v>
      </c>
      <c r="J32" s="280">
        <f>+I32+J33+J34</f>
        <v>1.429082452211897</v>
      </c>
      <c r="K32" s="280">
        <f t="shared" ref="K32:Y32" si="25">+J32+K33+K34</f>
        <v>1.4232950530733965</v>
      </c>
      <c r="L32" s="280">
        <f t="shared" si="25"/>
        <v>1.4232950530733965</v>
      </c>
      <c r="M32" s="280">
        <f t="shared" si="25"/>
        <v>1.4156305354853804</v>
      </c>
      <c r="N32" s="280">
        <f t="shared" si="25"/>
        <v>1.4411690678900093</v>
      </c>
      <c r="O32" s="280">
        <f t="shared" si="25"/>
        <v>1.4411690678900093</v>
      </c>
      <c r="P32" s="280">
        <f t="shared" si="25"/>
        <v>1.4133915921187872</v>
      </c>
      <c r="Q32" s="280">
        <f t="shared" si="25"/>
        <v>1.4133915921187872</v>
      </c>
      <c r="R32" s="280">
        <f t="shared" si="25"/>
        <v>1.365488357193686</v>
      </c>
      <c r="S32" s="280">
        <f t="shared" si="25"/>
        <v>1.365488357193686</v>
      </c>
      <c r="T32" s="280">
        <f t="shared" si="25"/>
        <v>1.3578238396056699</v>
      </c>
      <c r="U32" s="280">
        <f t="shared" si="25"/>
        <v>1.3578238396056699</v>
      </c>
      <c r="V32" s="280">
        <f t="shared" si="25"/>
        <v>1.350974330922015</v>
      </c>
      <c r="W32" s="280">
        <f t="shared" si="25"/>
        <v>1.350974330922015</v>
      </c>
      <c r="X32" s="280">
        <f t="shared" si="25"/>
        <v>1.350974330922015</v>
      </c>
      <c r="Y32" s="280">
        <f t="shared" si="25"/>
        <v>1.350974330922015</v>
      </c>
      <c r="Z32" s="285"/>
      <c r="AA32" s="276">
        <f>'[1]MoDi Initiatives'!F93</f>
        <v>1.4372366292162482</v>
      </c>
      <c r="AB32" s="280">
        <f>+AA32+AB33+AB34</f>
        <v>1.430224585551723</v>
      </c>
      <c r="AC32" s="280">
        <f t="shared" ref="AC32:AI32" si="26">+AB32+AC33+AC34</f>
        <v>1.4369341673315048</v>
      </c>
      <c r="AD32" s="280">
        <f t="shared" si="26"/>
        <v>1.4292627176058119</v>
      </c>
      <c r="AE32" s="280">
        <f t="shared" si="26"/>
        <v>1.4292627176058119</v>
      </c>
      <c r="AF32" s="280">
        <f t="shared" si="26"/>
        <v>1.4292627176058119</v>
      </c>
      <c r="AG32" s="280">
        <f t="shared" si="26"/>
        <v>1.420690754176855</v>
      </c>
      <c r="AH32" s="280">
        <f t="shared" si="26"/>
        <v>1.4031462051898165</v>
      </c>
      <c r="AI32" s="280">
        <f t="shared" si="26"/>
        <v>1.3869068989336295</v>
      </c>
      <c r="AJ32" s="280">
        <f>+AI32+AJ33+AJ34</f>
        <v>1.3870298353986923</v>
      </c>
      <c r="AK32" s="280">
        <f t="shared" ref="AK32:AS32" si="27">+AJ32+AK33+AK34</f>
        <v>1.4054796295581167</v>
      </c>
      <c r="AL32" s="280">
        <f t="shared" si="27"/>
        <v>1.3978151119701006</v>
      </c>
      <c r="AM32" s="280">
        <f t="shared" si="27"/>
        <v>1.3769048393243062</v>
      </c>
      <c r="AN32" s="280">
        <f t="shared" si="27"/>
        <v>1.3745129474030298</v>
      </c>
      <c r="AO32" s="280">
        <f t="shared" si="27"/>
        <v>1.3745129474030298</v>
      </c>
      <c r="AP32" s="280">
        <f t="shared" si="27"/>
        <v>1.3745129474030298</v>
      </c>
      <c r="AQ32" s="280">
        <f t="shared" si="27"/>
        <v>1.3745129474030298</v>
      </c>
      <c r="AR32" s="280" t="e">
        <f t="shared" si="27"/>
        <v>#VALUE!</v>
      </c>
      <c r="AS32" s="280" t="e">
        <f t="shared" si="27"/>
        <v>#VALUE!</v>
      </c>
      <c r="AT32" s="284">
        <f t="shared" si="22"/>
        <v>1.1421333398260458E-3</v>
      </c>
      <c r="AU32" s="284">
        <f t="shared" si="22"/>
        <v>1.3639114258108265E-2</v>
      </c>
      <c r="AV32" s="284">
        <f t="shared" si="22"/>
        <v>5.9676645324153732E-3</v>
      </c>
      <c r="AW32" s="284">
        <f t="shared" si="22"/>
        <v>1.3632182120431491E-2</v>
      </c>
      <c r="AX32" s="284">
        <f t="shared" si="22"/>
        <v>-1.1906350284197398E-2</v>
      </c>
      <c r="AY32" s="284">
        <f t="shared" si="22"/>
        <v>-2.0478313713154339E-2</v>
      </c>
      <c r="AZ32" s="284">
        <f>AH32-P32</f>
        <v>-1.0245386928970701E-2</v>
      </c>
      <c r="BA32" s="284">
        <f t="shared" si="22"/>
        <v>-2.6484693185157671E-2</v>
      </c>
      <c r="BB32" s="284">
        <f>AJ32-R32</f>
        <v>2.1541478205006293E-2</v>
      </c>
      <c r="BC32" s="284">
        <f t="shared" si="22"/>
        <v>3.9991272364430674E-2</v>
      </c>
      <c r="BD32" s="284">
        <f t="shared" si="22"/>
        <v>3.9991272364430674E-2</v>
      </c>
      <c r="BE32" s="284">
        <f t="shared" si="22"/>
        <v>1.9080999718636305E-2</v>
      </c>
      <c r="BF32" s="284">
        <f t="shared" si="22"/>
        <v>2.353861648101474E-2</v>
      </c>
      <c r="BG32" s="284">
        <f t="shared" si="22"/>
        <v>2.353861648101474E-2</v>
      </c>
      <c r="BH32" s="284">
        <f t="shared" si="22"/>
        <v>2.353861648101474E-2</v>
      </c>
      <c r="BI32" s="284">
        <f t="shared" si="22"/>
        <v>2.353861648101474E-2</v>
      </c>
      <c r="BJ32" s="285"/>
      <c r="BK32" s="288"/>
      <c r="BL32" s="288"/>
      <c r="BM32" s="288"/>
      <c r="BN32" s="288"/>
      <c r="BO32" s="288"/>
      <c r="BP32" s="288"/>
      <c r="BQ32" s="288"/>
      <c r="BR32" s="288"/>
      <c r="BS32" s="288"/>
      <c r="BT32" s="288"/>
      <c r="BU32" s="288"/>
      <c r="BV32" s="288"/>
      <c r="BW32" s="288"/>
      <c r="BX32" s="288"/>
      <c r="BY32" s="288"/>
      <c r="BZ32" s="288"/>
      <c r="CA32" s="288"/>
      <c r="CB32" s="288"/>
    </row>
    <row r="33" spans="1:80" s="299" customFormat="1" ht="12" customHeight="1">
      <c r="A33" s="300" t="s">
        <v>93</v>
      </c>
      <c r="B33" s="275" t="s">
        <v>21</v>
      </c>
      <c r="C33" s="276">
        <f>SUM(AT33:BA33)</f>
        <v>-9.4616078052911848E-4</v>
      </c>
      <c r="D33" s="277">
        <f>SUM(BB33:BI33)</f>
        <v>2.2104272118743624E-2</v>
      </c>
      <c r="E33" s="277">
        <f t="shared" si="8"/>
        <v>2.1158111338214505E-2</v>
      </c>
      <c r="F33" s="278"/>
      <c r="G33" s="278"/>
      <c r="H33" s="285"/>
      <c r="I33" s="280"/>
      <c r="J33" s="280">
        <f t="shared" ref="J33:Y33" si="28">SUBTOTAL(9,J35:J40)</f>
        <v>-8.1541770043510684E-3</v>
      </c>
      <c r="K33" s="280">
        <f t="shared" si="28"/>
        <v>-5.7873991385005204E-3</v>
      </c>
      <c r="L33" s="280">
        <f t="shared" si="28"/>
        <v>0</v>
      </c>
      <c r="M33" s="280">
        <f t="shared" si="28"/>
        <v>-7.664517588016187E-3</v>
      </c>
      <c r="N33" s="280">
        <f t="shared" si="28"/>
        <v>0</v>
      </c>
      <c r="O33" s="280">
        <f t="shared" si="28"/>
        <v>0</v>
      </c>
      <c r="P33" s="280">
        <f t="shared" si="28"/>
        <v>-2.7777475771222061E-2</v>
      </c>
      <c r="Q33" s="280">
        <f t="shared" si="28"/>
        <v>0</v>
      </c>
      <c r="R33" s="280">
        <f t="shared" si="28"/>
        <v>-4.7903234925101172E-2</v>
      </c>
      <c r="S33" s="280">
        <f t="shared" si="28"/>
        <v>0</v>
      </c>
      <c r="T33" s="280">
        <f t="shared" si="28"/>
        <v>-7.664517588016187E-3</v>
      </c>
      <c r="U33" s="280">
        <f t="shared" si="28"/>
        <v>0</v>
      </c>
      <c r="V33" s="280">
        <f t="shared" si="28"/>
        <v>-6.8495086836548981E-3</v>
      </c>
      <c r="W33" s="280">
        <f t="shared" si="28"/>
        <v>0</v>
      </c>
      <c r="X33" s="280">
        <f t="shared" si="28"/>
        <v>0</v>
      </c>
      <c r="Y33" s="280">
        <f t="shared" si="28"/>
        <v>0</v>
      </c>
      <c r="Z33" s="285"/>
      <c r="AA33" s="285"/>
      <c r="AB33" s="280">
        <f>SUBTOTAL(9,AB35:AB40)</f>
        <v>-7.0120436645251753E-3</v>
      </c>
      <c r="AC33" s="280">
        <f t="shared" ref="AC33:AM33" si="29">SUBTOTAL(9,AC35:AC40)</f>
        <v>6.7095817797817522E-3</v>
      </c>
      <c r="AD33" s="280">
        <f t="shared" si="29"/>
        <v>-7.6714497256929757E-3</v>
      </c>
      <c r="AE33" s="280">
        <f t="shared" si="29"/>
        <v>0</v>
      </c>
      <c r="AF33" s="280">
        <f t="shared" si="29"/>
        <v>0</v>
      </c>
      <c r="AG33" s="280">
        <f t="shared" si="29"/>
        <v>-8.5719634289570211E-3</v>
      </c>
      <c r="AH33" s="280">
        <f t="shared" si="29"/>
        <v>-1.7544548987038548E-2</v>
      </c>
      <c r="AI33" s="280">
        <f t="shared" si="29"/>
        <v>-1.6239306256186987E-2</v>
      </c>
      <c r="AJ33" s="280">
        <f t="shared" si="29"/>
        <v>1.2293646506279614E-4</v>
      </c>
      <c r="AK33" s="280">
        <f t="shared" si="29"/>
        <v>-4.1448742997149297E-3</v>
      </c>
      <c r="AL33" s="280">
        <f t="shared" si="29"/>
        <v>-7.664517588016187E-3</v>
      </c>
      <c r="AM33" s="280">
        <f t="shared" si="29"/>
        <v>-2.6234641734083998E-2</v>
      </c>
      <c r="AN33" s="280">
        <f>SUBTOTAL(9,AN35:AN40)</f>
        <v>-2.3918919212763136E-3</v>
      </c>
      <c r="AO33" s="280">
        <f t="shared" ref="AO33:AQ33" si="30">SUBTOTAL(9,AO35:AO40)</f>
        <v>0</v>
      </c>
      <c r="AP33" s="280">
        <f t="shared" si="30"/>
        <v>0</v>
      </c>
      <c r="AQ33" s="280">
        <f t="shared" si="30"/>
        <v>0</v>
      </c>
      <c r="AR33" s="285"/>
      <c r="AS33" s="284">
        <f>I33-AA33</f>
        <v>0</v>
      </c>
      <c r="AT33" s="284">
        <f>AB33-J33</f>
        <v>1.1421333398258932E-3</v>
      </c>
      <c r="AU33" s="284">
        <f t="shared" si="22"/>
        <v>1.2496980918282273E-2</v>
      </c>
      <c r="AV33" s="284">
        <f t="shared" si="22"/>
        <v>-7.6714497256929757E-3</v>
      </c>
      <c r="AW33" s="284">
        <f t="shared" si="22"/>
        <v>7.664517588016187E-3</v>
      </c>
      <c r="AX33" s="284">
        <f t="shared" si="22"/>
        <v>0</v>
      </c>
      <c r="AY33" s="284">
        <f t="shared" si="22"/>
        <v>-8.5719634289570211E-3</v>
      </c>
      <c r="AZ33" s="284">
        <f t="shared" si="22"/>
        <v>1.0232926784183513E-2</v>
      </c>
      <c r="BA33" s="284">
        <f t="shared" si="22"/>
        <v>-1.6239306256186987E-2</v>
      </c>
      <c r="BB33" s="284">
        <f t="shared" si="22"/>
        <v>4.802617139016397E-2</v>
      </c>
      <c r="BC33" s="284">
        <f t="shared" si="22"/>
        <v>-4.1448742997149297E-3</v>
      </c>
      <c r="BD33" s="284">
        <f t="shared" si="22"/>
        <v>0</v>
      </c>
      <c r="BE33" s="284">
        <f t="shared" si="22"/>
        <v>-2.6234641734083998E-2</v>
      </c>
      <c r="BF33" s="284">
        <f t="shared" si="22"/>
        <v>4.4576167623785849E-3</v>
      </c>
      <c r="BG33" s="284">
        <f t="shared" si="22"/>
        <v>0</v>
      </c>
      <c r="BH33" s="284">
        <f t="shared" si="22"/>
        <v>0</v>
      </c>
      <c r="BI33" s="284">
        <f t="shared" si="22"/>
        <v>0</v>
      </c>
      <c r="BJ33" s="285"/>
      <c r="BK33" s="301"/>
      <c r="BL33" s="301"/>
      <c r="BM33" s="301"/>
      <c r="BN33" s="301"/>
      <c r="BO33" s="301"/>
      <c r="BP33" s="301"/>
      <c r="BQ33" s="301"/>
      <c r="BR33" s="301"/>
      <c r="BS33" s="301"/>
      <c r="BT33" s="301"/>
      <c r="BU33" s="301"/>
      <c r="BV33" s="301"/>
      <c r="BW33" s="301"/>
      <c r="BX33" s="301"/>
      <c r="BY33" s="301"/>
      <c r="BZ33" s="301"/>
      <c r="CA33" s="301"/>
      <c r="CB33" s="288"/>
    </row>
    <row r="34" spans="1:80" s="299" customFormat="1" ht="52">
      <c r="A34" s="300" t="s">
        <v>93</v>
      </c>
      <c r="B34" s="275" t="s">
        <v>22</v>
      </c>
      <c r="C34" s="276">
        <f>SUM(AT34:BA34)</f>
        <v>-2.5538532404628875E-2</v>
      </c>
      <c r="D34" s="277">
        <f>SUM(BB34:BI34)</f>
        <v>2.7919037547429061E-2</v>
      </c>
      <c r="E34" s="277">
        <f t="shared" si="8"/>
        <v>2.3805051428001864E-3</v>
      </c>
      <c r="F34" s="278"/>
      <c r="G34" s="275" t="s">
        <v>23</v>
      </c>
      <c r="H34" s="285"/>
      <c r="I34" s="280"/>
      <c r="J34" s="280">
        <f>SUMIFS('MoDi Initiatives'!H:H,'MoDi Initiatives'!$C:$C,'Gap Analysis update'!$B34,'MoDi Initiatives'!$A:$A,'Gap Analysis update'!$A34,'MoDi Initiatives'!$B:$B,'Gap Analysis update'!J$2)</f>
        <v>0</v>
      </c>
      <c r="K34" s="280">
        <f>SUMIFS('MoDi Initiatives'!I:I,'MoDi Initiatives'!$C:$C,'Gap Analysis update'!$B34,'MoDi Initiatives'!$A:$A,'Gap Analysis update'!$A34,'MoDi Initiatives'!$B:$B,'Gap Analysis update'!K$2)</f>
        <v>0</v>
      </c>
      <c r="L34" s="280">
        <f>SUMIFS('MoDi Initiatives'!J:J,'MoDi Initiatives'!$C:$C,'Gap Analysis update'!$B34,'MoDi Initiatives'!$A:$A,'Gap Analysis update'!$A34,'MoDi Initiatives'!$B:$B,'Gap Analysis update'!L$2)</f>
        <v>0</v>
      </c>
      <c r="M34" s="280">
        <f>SUMIFS('MoDi Initiatives'!K:K,'MoDi Initiatives'!$C:$C,'Gap Analysis update'!$B34,'MoDi Initiatives'!$A:$A,'Gap Analysis update'!$A34,'MoDi Initiatives'!$B:$B,'Gap Analysis update'!M$2)</f>
        <v>0</v>
      </c>
      <c r="N34" s="280">
        <f>SUMIFS('MoDi Initiatives'!L:L,'MoDi Initiatives'!$C:$C,'Gap Analysis update'!$B34,'MoDi Initiatives'!$A:$A,'Gap Analysis update'!$A34,'MoDi Initiatives'!$B:$B,'Gap Analysis update'!N$2)</f>
        <v>2.5538532404628875E-2</v>
      </c>
      <c r="O34" s="280">
        <f>SUMIFS('MoDi Initiatives'!M:M,'MoDi Initiatives'!$C:$C,'Gap Analysis update'!$B34,'MoDi Initiatives'!$A:$A,'Gap Analysis update'!$A34,'MoDi Initiatives'!$B:$B,'Gap Analysis update'!O$2)</f>
        <v>0</v>
      </c>
      <c r="P34" s="280">
        <f>SUMIFS('MoDi Initiatives'!N:N,'MoDi Initiatives'!$C:$C,'Gap Analysis update'!$B34,'MoDi Initiatives'!$A:$A,'Gap Analysis update'!$A34,'MoDi Initiatives'!$B:$B,'Gap Analysis update'!P$2)</f>
        <v>0</v>
      </c>
      <c r="Q34" s="280">
        <f>SUMIFS('MoDi Initiatives'!O:O,'MoDi Initiatives'!$C:$C,'Gap Analysis update'!$B34,'MoDi Initiatives'!$A:$A,'Gap Analysis update'!$A34,'MoDi Initiatives'!$B:$B,'Gap Analysis update'!Q$2)</f>
        <v>0</v>
      </c>
      <c r="R34" s="280">
        <f>SUMIFS('MoDi Initiatives'!P:P,'MoDi Initiatives'!$C:$C,'Gap Analysis update'!$B34,'MoDi Initiatives'!$A:$A,'Gap Analysis update'!$A34,'MoDi Initiatives'!$B:$B,'Gap Analysis update'!R$2)</f>
        <v>0</v>
      </c>
      <c r="S34" s="280">
        <f>SUMIFS('MoDi Initiatives'!Q:Q,'MoDi Initiatives'!$C:$C,'Gap Analysis update'!$B34,'MoDi Initiatives'!$A:$A,'Gap Analysis update'!$A34,'MoDi Initiatives'!$B:$B,'Gap Analysis update'!S$2)</f>
        <v>0</v>
      </c>
      <c r="T34" s="280">
        <f>SUMIFS('MoDi Initiatives'!R:R,'MoDi Initiatives'!$C:$C,'Gap Analysis update'!$B34,'MoDi Initiatives'!$A:$A,'Gap Analysis update'!$A34,'MoDi Initiatives'!$B:$B,'Gap Analysis update'!T$2)</f>
        <v>0</v>
      </c>
      <c r="U34" s="280">
        <f>SUMIFS('MoDi Initiatives'!S:S,'MoDi Initiatives'!$C:$C,'Gap Analysis update'!$B34,'MoDi Initiatives'!$A:$A,'Gap Analysis update'!$A34,'MoDi Initiatives'!$B:$B,'Gap Analysis update'!U$2)</f>
        <v>0</v>
      </c>
      <c r="V34" s="280">
        <f>SUMIFS('MoDi Initiatives'!T:T,'MoDi Initiatives'!$C:$C,'Gap Analysis update'!$B34,'MoDi Initiatives'!$A:$A,'Gap Analysis update'!$A34,'MoDi Initiatives'!$B:$B,'Gap Analysis update'!V$2)</f>
        <v>0</v>
      </c>
      <c r="W34" s="280">
        <f>SUMIFS('MoDi Initiatives'!U:U,'MoDi Initiatives'!$C:$C,'Gap Analysis update'!$B34,'MoDi Initiatives'!$A:$A,'Gap Analysis update'!$A34,'MoDi Initiatives'!$B:$B,'Gap Analysis update'!W$2)</f>
        <v>0</v>
      </c>
      <c r="X34" s="280">
        <f>SUMIFS('MoDi Initiatives'!V:V,'MoDi Initiatives'!$C:$C,'Gap Analysis update'!$B34,'MoDi Initiatives'!$A:$A,'Gap Analysis update'!$A34,'MoDi Initiatives'!$B:$B,'Gap Analysis update'!X$2)</f>
        <v>0</v>
      </c>
      <c r="Y34" s="280">
        <f>SUMIFS('MoDi Initiatives'!W:W,'MoDi Initiatives'!$C:$C,'Gap Analysis update'!$B34,'MoDi Initiatives'!$A:$A,'Gap Analysis update'!$A34,'MoDi Initiatives'!$B:$B,'Gap Analysis update'!Y$2)</f>
        <v>0</v>
      </c>
      <c r="Z34" s="285"/>
      <c r="AA34" s="280"/>
      <c r="AB34" s="280">
        <f>SUMIFS('MoDi Initiatives'!H:H,'MoDi Initiatives'!$C:$C,'Gap Analysis update'!$B34,'MoDi Initiatives'!$A:$A,'Gap Analysis update'!$A34,'MoDi Initiatives'!$B:$B,'Gap Analysis update'!AB$2)</f>
        <v>0</v>
      </c>
      <c r="AC34" s="280">
        <f>SUMIFS('MoDi Initiatives'!I:I,'MoDi Initiatives'!$C:$C,'Gap Analysis update'!$B34,'MoDi Initiatives'!$A:$A,'Gap Analysis update'!$A34,'MoDi Initiatives'!$B:$B,'Gap Analysis update'!AC$2)</f>
        <v>0</v>
      </c>
      <c r="AD34" s="280">
        <f>SUMIFS('MoDi Initiatives'!J:J,'MoDi Initiatives'!$C:$C,'Gap Analysis update'!$B34,'MoDi Initiatives'!$A:$A,'Gap Analysis update'!$A34,'MoDi Initiatives'!$B:$B,'Gap Analysis update'!AD$2)</f>
        <v>0</v>
      </c>
      <c r="AE34" s="280">
        <f>SUMIFS('MoDi Initiatives'!K:K,'MoDi Initiatives'!$C:$C,'Gap Analysis update'!$B34,'MoDi Initiatives'!$A:$A,'Gap Analysis update'!$A34,'MoDi Initiatives'!$B:$B,'Gap Analysis update'!AE$2)</f>
        <v>0</v>
      </c>
      <c r="AF34" s="280">
        <f>SUMIFS('MoDi Initiatives'!L:L,'MoDi Initiatives'!$C:$C,'Gap Analysis update'!$B34,'MoDi Initiatives'!$A:$A,'Gap Analysis update'!$A34,'MoDi Initiatives'!$B:$B,'Gap Analysis update'!AF$2)</f>
        <v>0</v>
      </c>
      <c r="AG34" s="280">
        <f>SUMIFS('MoDi Initiatives'!M:M,'MoDi Initiatives'!$C:$C,'Gap Analysis update'!$B34,'MoDi Initiatives'!$A:$A,'Gap Analysis update'!$A34,'MoDi Initiatives'!$B:$B,'Gap Analysis update'!AG$2)</f>
        <v>0</v>
      </c>
      <c r="AH34" s="280">
        <f>SUMIFS('MoDi Initiatives'!N:N,'MoDi Initiatives'!$C:$C,'Gap Analysis update'!$B34,'MoDi Initiatives'!$A:$A,'Gap Analysis update'!$A34,'MoDi Initiatives'!$B:$B,'Gap Analysis update'!AH$2)</f>
        <v>0</v>
      </c>
      <c r="AI34" s="280">
        <f>SUMIFS('MoDi Initiatives'!O:O,'MoDi Initiatives'!$C:$C,'Gap Analysis update'!$B34,'MoDi Initiatives'!$A:$A,'Gap Analysis update'!$A34,'MoDi Initiatives'!$B:$B,'Gap Analysis update'!AI$2)</f>
        <v>0</v>
      </c>
      <c r="AJ34" s="280">
        <f>SUMIFS('MoDi Initiatives'!P:P,'MoDi Initiatives'!$C:$C,'Gap Analysis update'!$B34,'MoDi Initiatives'!$A:$A,'Gap Analysis update'!$A34,'MoDi Initiatives'!$B:$B,'Gap Analysis update'!AJ$2)</f>
        <v>0</v>
      </c>
      <c r="AK34" s="280">
        <f>SUMIFS('MoDi Initiatives'!Q:Q,'MoDi Initiatives'!$C:$C,'Gap Analysis update'!$B34,'MoDi Initiatives'!$A:$A,'Gap Analysis update'!$A34,'MoDi Initiatives'!$B:$B,'Gap Analysis update'!AK$2)</f>
        <v>2.2594668459139357E-2</v>
      </c>
      <c r="AL34" s="280">
        <f>SUMIFS('MoDi Initiatives'!R:R,'MoDi Initiatives'!$C:$C,'Gap Analysis update'!$B34,'MoDi Initiatives'!$A:$A,'Gap Analysis update'!$A34,'MoDi Initiatives'!$B:$B,'Gap Analysis update'!AL$2)</f>
        <v>0</v>
      </c>
      <c r="AM34" s="280">
        <f>SUMIFS('MoDi Initiatives'!S:S,'MoDi Initiatives'!$C:$C,'Gap Analysis update'!$B34,'MoDi Initiatives'!$A:$A,'Gap Analysis update'!$A34,'MoDi Initiatives'!$B:$B,'Gap Analysis update'!AM$2)</f>
        <v>5.3243690882897035E-3</v>
      </c>
      <c r="AN34" s="280">
        <f>SUMIFS('MoDi Initiatives'!T:T,'MoDi Initiatives'!$C:$C,'Gap Analysis update'!$B34,'MoDi Initiatives'!$A:$A,'Gap Analysis update'!$A34,'MoDi Initiatives'!$B:$B,'Gap Analysis update'!AN$2)</f>
        <v>0</v>
      </c>
      <c r="AO34" s="280">
        <f>SUMIFS('MoDi Initiatives'!U:U,'MoDi Initiatives'!$C:$C,'Gap Analysis update'!$B34,'MoDi Initiatives'!$A:$A,'Gap Analysis update'!$A34,'MoDi Initiatives'!$B:$B,'Gap Analysis update'!AO$2)</f>
        <v>0</v>
      </c>
      <c r="AP34" s="280">
        <f>SUMIFS('MoDi Initiatives'!V:V,'MoDi Initiatives'!$C:$C,'Gap Analysis update'!$B34,'MoDi Initiatives'!$A:$A,'Gap Analysis update'!$A34,'MoDi Initiatives'!$B:$B,'Gap Analysis update'!AP$2)</f>
        <v>0</v>
      </c>
      <c r="AQ34" s="280">
        <f>SUMIFS('MoDi Initiatives'!W:W,'MoDi Initiatives'!$C:$C,'Gap Analysis update'!$B34,'MoDi Initiatives'!$A:$A,'Gap Analysis update'!$A34,'MoDi Initiatives'!$B:$B,'Gap Analysis update'!AQ$2)</f>
        <v>0</v>
      </c>
      <c r="AR34" s="280" t="e">
        <f>SUMIFS('[1]MoDi Initiatives'!W:W,'[1]MoDi Initiatives'!$B:$B,'Gap Analysis update'!AR$2,'[1]MoDi Initiatives'!$A:$A,'Gap Analysis update'!$A34,'[1]MoDi Initiatives'!$C:$C,"Inflation")</f>
        <v>#VALUE!</v>
      </c>
      <c r="AS34" s="284">
        <f>I34-AA34</f>
        <v>0</v>
      </c>
      <c r="AT34" s="284">
        <f t="shared" ref="AT34:BI43" si="31">AB34-J34</f>
        <v>0</v>
      </c>
      <c r="AU34" s="284">
        <f t="shared" si="22"/>
        <v>0</v>
      </c>
      <c r="AV34" s="284">
        <f t="shared" si="22"/>
        <v>0</v>
      </c>
      <c r="AW34" s="284">
        <f t="shared" si="22"/>
        <v>0</v>
      </c>
      <c r="AX34" s="284">
        <f>AF34-N34</f>
        <v>-2.5538532404628875E-2</v>
      </c>
      <c r="AY34" s="284">
        <f t="shared" si="22"/>
        <v>0</v>
      </c>
      <c r="AZ34" s="284">
        <f>AH34-P34</f>
        <v>0</v>
      </c>
      <c r="BA34" s="284">
        <f t="shared" si="22"/>
        <v>0</v>
      </c>
      <c r="BB34" s="284">
        <f>AJ34-R34</f>
        <v>0</v>
      </c>
      <c r="BC34" s="284">
        <f t="shared" si="22"/>
        <v>2.2594668459139357E-2</v>
      </c>
      <c r="BD34" s="284">
        <f t="shared" si="22"/>
        <v>0</v>
      </c>
      <c r="BE34" s="284">
        <f t="shared" si="22"/>
        <v>5.3243690882897035E-3</v>
      </c>
      <c r="BF34" s="284">
        <f t="shared" si="22"/>
        <v>0</v>
      </c>
      <c r="BG34" s="284">
        <f t="shared" si="22"/>
        <v>0</v>
      </c>
      <c r="BH34" s="284">
        <f t="shared" si="22"/>
        <v>0</v>
      </c>
      <c r="BI34" s="284">
        <f t="shared" si="22"/>
        <v>0</v>
      </c>
      <c r="BJ34" s="285"/>
      <c r="BK34" s="301"/>
      <c r="BL34" s="301"/>
      <c r="BM34" s="301"/>
      <c r="BN34" s="301"/>
      <c r="BO34" s="301"/>
      <c r="BP34" s="301"/>
      <c r="BQ34" s="301"/>
      <c r="BR34" s="301"/>
      <c r="BS34" s="301"/>
      <c r="BT34" s="301"/>
      <c r="BU34" s="301"/>
      <c r="BV34" s="301"/>
      <c r="BW34" s="301"/>
      <c r="BX34" s="301"/>
      <c r="BY34" s="301"/>
      <c r="BZ34" s="301"/>
      <c r="CA34" s="301"/>
      <c r="CB34" s="288"/>
    </row>
    <row r="35" spans="1:80" s="298" customFormat="1" ht="173.25" customHeight="1">
      <c r="A35" s="296" t="s">
        <v>93</v>
      </c>
      <c r="B35" s="287" t="s">
        <v>24</v>
      </c>
      <c r="C35" s="288">
        <f t="shared" ref="C35:C39" si="32">SUM(AS35:BA35)</f>
        <v>0</v>
      </c>
      <c r="D35" s="289">
        <f t="shared" ref="D35:D40" si="33">SUM(BB35:BI35)</f>
        <v>0</v>
      </c>
      <c r="E35" s="289">
        <f>D35+C35</f>
        <v>0</v>
      </c>
      <c r="F35" s="286" t="s">
        <v>94</v>
      </c>
      <c r="G35" s="286"/>
      <c r="H35" s="297"/>
      <c r="J35" s="288">
        <f>SUMIFS('MoDi Initiatives'!H:H,'MoDi Initiatives'!$E:$E,'Gap Analysis update'!$B35,'MoDi Initiatives'!$A:$A,'Gap Analysis update'!$A35,'MoDi Initiatives'!$B:$B,'Gap Analysis update'!J$2)-SUMIFS('MoDi Initiatives'!H:H,'MoDi Initiatives'!$E:$E,'Gap Analysis update'!$B35,'MoDi Initiatives'!$A:$A,'Gap Analysis update'!$A35,'MoDi Initiatives'!$C:$C,'Gap Analysis update'!$B$7,'MoDi Initiatives'!$B:$B,'Gap Analysis update'!J$2)</f>
        <v>0</v>
      </c>
      <c r="K35" s="288">
        <f>SUMIFS('MoDi Initiatives'!I:I,'MoDi Initiatives'!$E:$E,'Gap Analysis update'!$B35,'MoDi Initiatives'!$A:$A,'Gap Analysis update'!$A35,'MoDi Initiatives'!$B:$B,'Gap Analysis update'!K$2)-SUMIFS('MoDi Initiatives'!I:I,'MoDi Initiatives'!$E:$E,'Gap Analysis update'!$B35,'MoDi Initiatives'!$A:$A,'Gap Analysis update'!$A35,'MoDi Initiatives'!$C:$C,'Gap Analysis update'!$B$7,'MoDi Initiatives'!$B:$B,'Gap Analysis update'!K$2)</f>
        <v>0</v>
      </c>
      <c r="L35" s="288">
        <f>SUMIFS('MoDi Initiatives'!J:J,'MoDi Initiatives'!$E:$E,'Gap Analysis update'!$B35,'MoDi Initiatives'!$A:$A,'Gap Analysis update'!$A35,'MoDi Initiatives'!$B:$B,'Gap Analysis update'!L$2)-SUMIFS('MoDi Initiatives'!J:J,'MoDi Initiatives'!$E:$E,'Gap Analysis update'!$B35,'MoDi Initiatives'!$A:$A,'Gap Analysis update'!$A35,'MoDi Initiatives'!$C:$C,'Gap Analysis update'!$B$7,'MoDi Initiatives'!$B:$B,'Gap Analysis update'!L$2)</f>
        <v>0</v>
      </c>
      <c r="M35" s="288">
        <f>SUMIFS('MoDi Initiatives'!K:K,'MoDi Initiatives'!$E:$E,'Gap Analysis update'!$B35,'MoDi Initiatives'!$A:$A,'Gap Analysis update'!$A35,'MoDi Initiatives'!$B:$B,'Gap Analysis update'!M$2)-SUMIFS('MoDi Initiatives'!K:K,'MoDi Initiatives'!$E:$E,'Gap Analysis update'!$B35,'MoDi Initiatives'!$A:$A,'Gap Analysis update'!$A35,'MoDi Initiatives'!$C:$C,'Gap Analysis update'!$B$7,'MoDi Initiatives'!$B:$B,'Gap Analysis update'!M$2)</f>
        <v>0</v>
      </c>
      <c r="N35" s="288">
        <f>SUMIFS('MoDi Initiatives'!L:L,'MoDi Initiatives'!$E:$E,'Gap Analysis update'!$B35,'MoDi Initiatives'!$A:$A,'Gap Analysis update'!$A35,'MoDi Initiatives'!$B:$B,'Gap Analysis update'!N$2)-SUMIFS('MoDi Initiatives'!L:L,'MoDi Initiatives'!$E:$E,'Gap Analysis update'!$B35,'MoDi Initiatives'!$A:$A,'Gap Analysis update'!$A35,'MoDi Initiatives'!$C:$C,'Gap Analysis update'!$B$7,'MoDi Initiatives'!$B:$B,'Gap Analysis update'!N$2)</f>
        <v>0</v>
      </c>
      <c r="O35" s="288">
        <f>SUMIFS('MoDi Initiatives'!M:M,'MoDi Initiatives'!$E:$E,'Gap Analysis update'!$B35,'MoDi Initiatives'!$A:$A,'Gap Analysis update'!$A35,'MoDi Initiatives'!$B:$B,'Gap Analysis update'!O$2)-SUMIFS('MoDi Initiatives'!M:M,'MoDi Initiatives'!$E:$E,'Gap Analysis update'!$B35,'MoDi Initiatives'!$A:$A,'Gap Analysis update'!$A35,'MoDi Initiatives'!$C:$C,'Gap Analysis update'!$B$7,'MoDi Initiatives'!$B:$B,'Gap Analysis update'!O$2)</f>
        <v>0</v>
      </c>
      <c r="P35" s="288">
        <f>SUMIFS('MoDi Initiatives'!N:N,'MoDi Initiatives'!$E:$E,'Gap Analysis update'!$B35,'MoDi Initiatives'!$A:$A,'Gap Analysis update'!$A35,'MoDi Initiatives'!$B:$B,'Gap Analysis update'!P$2)-SUMIFS('MoDi Initiatives'!N:N,'MoDi Initiatives'!$E:$E,'Gap Analysis update'!$B35,'MoDi Initiatives'!$A:$A,'Gap Analysis update'!$A35,'MoDi Initiatives'!$C:$C,'Gap Analysis update'!$B$7,'MoDi Initiatives'!$B:$B,'Gap Analysis update'!P$2)</f>
        <v>0</v>
      </c>
      <c r="Q35" s="288">
        <f>SUMIFS('MoDi Initiatives'!O:O,'MoDi Initiatives'!$E:$E,'Gap Analysis update'!$B35,'MoDi Initiatives'!$A:$A,'Gap Analysis update'!$A35,'MoDi Initiatives'!$B:$B,'Gap Analysis update'!Q$2)-SUMIFS('MoDi Initiatives'!O:O,'MoDi Initiatives'!$E:$E,'Gap Analysis update'!$B35,'MoDi Initiatives'!$A:$A,'Gap Analysis update'!$A35,'MoDi Initiatives'!$C:$C,'Gap Analysis update'!$B$7,'MoDi Initiatives'!$B:$B,'Gap Analysis update'!Q$2)</f>
        <v>0</v>
      </c>
      <c r="R35" s="288">
        <f>SUMIFS('MoDi Initiatives'!P:P,'MoDi Initiatives'!$E:$E,'Gap Analysis update'!$B35,'MoDi Initiatives'!$A:$A,'Gap Analysis update'!$A35,'MoDi Initiatives'!$B:$B,'Gap Analysis update'!R$2)-SUMIFS('MoDi Initiatives'!P:P,'MoDi Initiatives'!$E:$E,'Gap Analysis update'!$B35,'MoDi Initiatives'!$A:$A,'Gap Analysis update'!$A35,'MoDi Initiatives'!$C:$C,'Gap Analysis update'!$B$7,'MoDi Initiatives'!$B:$B,'Gap Analysis update'!R$2)</f>
        <v>0</v>
      </c>
      <c r="S35" s="288">
        <f>SUMIFS('MoDi Initiatives'!Q:Q,'MoDi Initiatives'!$E:$E,'Gap Analysis update'!$B35,'MoDi Initiatives'!$A:$A,'Gap Analysis update'!$A35,'MoDi Initiatives'!$B:$B,'Gap Analysis update'!S$2)-SUMIFS('MoDi Initiatives'!Q:Q,'MoDi Initiatives'!$E:$E,'Gap Analysis update'!$B35,'MoDi Initiatives'!$A:$A,'Gap Analysis update'!$A35,'MoDi Initiatives'!$C:$C,'Gap Analysis update'!$B$7,'MoDi Initiatives'!$B:$B,'Gap Analysis update'!S$2)</f>
        <v>0</v>
      </c>
      <c r="T35" s="288">
        <f>SUMIFS('MoDi Initiatives'!R:R,'MoDi Initiatives'!$E:$E,'Gap Analysis update'!$B35,'MoDi Initiatives'!$A:$A,'Gap Analysis update'!$A35,'MoDi Initiatives'!$B:$B,'Gap Analysis update'!T$2)-SUMIFS('MoDi Initiatives'!R:R,'MoDi Initiatives'!$E:$E,'Gap Analysis update'!$B35,'MoDi Initiatives'!$A:$A,'Gap Analysis update'!$A35,'MoDi Initiatives'!$C:$C,'Gap Analysis update'!$B$7,'MoDi Initiatives'!$B:$B,'Gap Analysis update'!T$2)</f>
        <v>0</v>
      </c>
      <c r="U35" s="288">
        <f>SUMIFS('MoDi Initiatives'!S:S,'MoDi Initiatives'!$E:$E,'Gap Analysis update'!$B35,'MoDi Initiatives'!$A:$A,'Gap Analysis update'!$A35,'MoDi Initiatives'!$B:$B,'Gap Analysis update'!U$2)-SUMIFS('MoDi Initiatives'!S:S,'MoDi Initiatives'!$E:$E,'Gap Analysis update'!$B35,'MoDi Initiatives'!$A:$A,'Gap Analysis update'!$A35,'MoDi Initiatives'!$C:$C,'Gap Analysis update'!$B$7,'MoDi Initiatives'!$B:$B,'Gap Analysis update'!U$2)</f>
        <v>0</v>
      </c>
      <c r="V35" s="288">
        <f>SUMIFS('MoDi Initiatives'!T:T,'MoDi Initiatives'!$E:$E,'Gap Analysis update'!$B35,'MoDi Initiatives'!$A:$A,'Gap Analysis update'!$A35,'MoDi Initiatives'!$B:$B,'Gap Analysis update'!V$2)-SUMIFS('MoDi Initiatives'!T:T,'MoDi Initiatives'!$E:$E,'Gap Analysis update'!$B35,'MoDi Initiatives'!$A:$A,'Gap Analysis update'!$A35,'MoDi Initiatives'!$C:$C,'Gap Analysis update'!$B$7,'MoDi Initiatives'!$B:$B,'Gap Analysis update'!V$2)</f>
        <v>0</v>
      </c>
      <c r="W35" s="288">
        <f>SUMIFS('MoDi Initiatives'!U:U,'MoDi Initiatives'!$E:$E,'Gap Analysis update'!$B35,'MoDi Initiatives'!$A:$A,'Gap Analysis update'!$A35,'MoDi Initiatives'!$B:$B,'Gap Analysis update'!W$2)-SUMIFS('MoDi Initiatives'!U:U,'MoDi Initiatives'!$E:$E,'Gap Analysis update'!$B35,'MoDi Initiatives'!$A:$A,'Gap Analysis update'!$A35,'MoDi Initiatives'!$C:$C,'Gap Analysis update'!$B$7,'MoDi Initiatives'!$B:$B,'Gap Analysis update'!W$2)</f>
        <v>0</v>
      </c>
      <c r="X35" s="288">
        <f>SUMIFS('MoDi Initiatives'!V:V,'MoDi Initiatives'!$E:$E,'Gap Analysis update'!$B35,'MoDi Initiatives'!$A:$A,'Gap Analysis update'!$A35,'MoDi Initiatives'!$B:$B,'Gap Analysis update'!X$2)-SUMIFS('MoDi Initiatives'!V:V,'MoDi Initiatives'!$E:$E,'Gap Analysis update'!$B35,'MoDi Initiatives'!$A:$A,'Gap Analysis update'!$A35,'MoDi Initiatives'!$C:$C,'Gap Analysis update'!$B$7,'MoDi Initiatives'!$B:$B,'Gap Analysis update'!X$2)</f>
        <v>0</v>
      </c>
      <c r="Y35" s="288">
        <f>SUMIFS('MoDi Initiatives'!W:W,'MoDi Initiatives'!$E:$E,'Gap Analysis update'!$B35,'MoDi Initiatives'!$A:$A,'Gap Analysis update'!$A35,'MoDi Initiatives'!$B:$B,'Gap Analysis update'!Y$2)-SUMIFS('MoDi Initiatives'!W:W,'MoDi Initiatives'!$E:$E,'Gap Analysis update'!$B35,'MoDi Initiatives'!$A:$A,'Gap Analysis update'!$A35,'MoDi Initiatives'!$C:$C,'Gap Analysis update'!$B$7,'MoDi Initiatives'!$B:$B,'Gap Analysis update'!Y$2)</f>
        <v>0</v>
      </c>
      <c r="Z35" s="293"/>
      <c r="AB35" s="298">
        <f>SUMIFS('MoDi Initiatives'!H:H,'MoDi Initiatives'!$E:$E,'Gap Analysis update'!$B35,'MoDi Initiatives'!$A:$A,'Gap Analysis update'!$A35,'MoDi Initiatives'!$B:$B,'Gap Analysis update'!AB$2)-SUMIFS('MoDi Initiatives'!H:H,'MoDi Initiatives'!$E:$E,'Gap Analysis update'!$B35,'MoDi Initiatives'!$A:$A,'Gap Analysis update'!$A35,'MoDi Initiatives'!$B:$B,'Gap Analysis update'!AB$2,'MoDi Initiatives'!$C:$C,'Gap Analysis update'!$B$7)</f>
        <v>0</v>
      </c>
      <c r="AC35" s="288">
        <f>SUMIFS('MoDi Initiatives'!I:I,'MoDi Initiatives'!$E:$E,'Gap Analysis update'!$B35,'MoDi Initiatives'!$A:$A,'Gap Analysis update'!$A35,'MoDi Initiatives'!$B:$B,'Gap Analysis update'!AC$2)-SUMIFS('MoDi Initiatives'!I:I,'MoDi Initiatives'!$E:$E,'Gap Analysis update'!$B35,'MoDi Initiatives'!$A:$A,'Gap Analysis update'!$A35,'MoDi Initiatives'!$B:$B,'Gap Analysis update'!AC$2,'MoDi Initiatives'!$C:$C,'Gap Analysis update'!$B$7)</f>
        <v>0</v>
      </c>
      <c r="AD35" s="288">
        <f>SUMIFS('MoDi Initiatives'!J:J,'MoDi Initiatives'!$E:$E,'Gap Analysis update'!$B35,'MoDi Initiatives'!$A:$A,'Gap Analysis update'!$A35,'MoDi Initiatives'!$B:$B,'Gap Analysis update'!AD$2)-SUMIFS('MoDi Initiatives'!J:J,'MoDi Initiatives'!$E:$E,'Gap Analysis update'!$B35,'MoDi Initiatives'!$A:$A,'Gap Analysis update'!$A35,'MoDi Initiatives'!$B:$B,'Gap Analysis update'!AD$2,'MoDi Initiatives'!$C:$C,'Gap Analysis update'!$B$7)</f>
        <v>0</v>
      </c>
      <c r="AE35" s="298">
        <f>SUMIFS('MoDi Initiatives'!K:K,'MoDi Initiatives'!$E:$E,'Gap Analysis update'!$B35,'MoDi Initiatives'!$A:$A,'Gap Analysis update'!$A35,'MoDi Initiatives'!$B:$B,'Gap Analysis update'!AE$2)-SUMIFS('MoDi Initiatives'!K:K,'MoDi Initiatives'!$E:$E,'Gap Analysis update'!$B35,'MoDi Initiatives'!$A:$A,'Gap Analysis update'!$A35,'MoDi Initiatives'!$B:$B,'Gap Analysis update'!AE$2,'MoDi Initiatives'!$C:$C,'Gap Analysis update'!$B$7)</f>
        <v>0</v>
      </c>
      <c r="AF35" s="298">
        <f>SUMIFS('MoDi Initiatives'!L:L,'MoDi Initiatives'!$E:$E,'Gap Analysis update'!$B35,'MoDi Initiatives'!$A:$A,'Gap Analysis update'!$A35,'MoDi Initiatives'!$B:$B,'Gap Analysis update'!AF$2)-SUMIFS('MoDi Initiatives'!L:L,'MoDi Initiatives'!$E:$E,'Gap Analysis update'!$B35,'MoDi Initiatives'!$A:$A,'Gap Analysis update'!$A35,'MoDi Initiatives'!$B:$B,'Gap Analysis update'!AF$2,'MoDi Initiatives'!$C:$C,'Gap Analysis update'!$B$7)</f>
        <v>0</v>
      </c>
      <c r="AG35" s="298">
        <f>SUMIFS('MoDi Initiatives'!M:M,'MoDi Initiatives'!$E:$E,'Gap Analysis update'!$B35,'MoDi Initiatives'!$A:$A,'Gap Analysis update'!$A35,'MoDi Initiatives'!$B:$B,'Gap Analysis update'!AG$2)-SUMIFS('MoDi Initiatives'!M:M,'MoDi Initiatives'!$E:$E,'Gap Analysis update'!$B35,'MoDi Initiatives'!$A:$A,'Gap Analysis update'!$A35,'MoDi Initiatives'!$B:$B,'Gap Analysis update'!AG$2,'MoDi Initiatives'!$C:$C,'Gap Analysis update'!$B$7)</f>
        <v>0</v>
      </c>
      <c r="AH35" s="298">
        <f>SUMIFS('MoDi Initiatives'!N:N,'MoDi Initiatives'!$E:$E,'Gap Analysis update'!$B35,'MoDi Initiatives'!$A:$A,'Gap Analysis update'!$A35,'MoDi Initiatives'!$B:$B,'Gap Analysis update'!AH$2)-SUMIFS('MoDi Initiatives'!N:N,'MoDi Initiatives'!$E:$E,'Gap Analysis update'!$B35,'MoDi Initiatives'!$A:$A,'Gap Analysis update'!$A35,'MoDi Initiatives'!$B:$B,'Gap Analysis update'!AH$2,'MoDi Initiatives'!$C:$C,'Gap Analysis update'!$B$7)</f>
        <v>0</v>
      </c>
      <c r="AI35" s="298">
        <f>SUMIFS('MoDi Initiatives'!O:O,'MoDi Initiatives'!$E:$E,'Gap Analysis update'!$B35,'MoDi Initiatives'!$A:$A,'Gap Analysis update'!$A35,'MoDi Initiatives'!$B:$B,'Gap Analysis update'!AI$2)-SUMIFS('MoDi Initiatives'!O:O,'MoDi Initiatives'!$E:$E,'Gap Analysis update'!$B35,'MoDi Initiatives'!$A:$A,'Gap Analysis update'!$A35,'MoDi Initiatives'!$B:$B,'Gap Analysis update'!AI$2,'MoDi Initiatives'!$C:$C,'Gap Analysis update'!$B$7)</f>
        <v>0</v>
      </c>
      <c r="AJ35" s="302">
        <f>SUMIFS('MoDi Initiatives'!P:P,'MoDi Initiatives'!$E:$E,'Gap Analysis update'!$B35,'MoDi Initiatives'!$A:$A,'Gap Analysis update'!$A35,'MoDi Initiatives'!$B:$B,'Gap Analysis update'!AJ$2)-SUMIFS('MoDi Initiatives'!P:P,'MoDi Initiatives'!$E:$E,'Gap Analysis update'!$B35,'MoDi Initiatives'!$A:$A,'Gap Analysis update'!$A35,'MoDi Initiatives'!$B:$B,'Gap Analysis update'!AJ$2,'MoDi Initiatives'!$C:$C,'Gap Analysis update'!$B$7)</f>
        <v>0</v>
      </c>
      <c r="AK35" s="298">
        <f>SUMIFS('MoDi Initiatives'!Q:Q,'MoDi Initiatives'!$E:$E,'Gap Analysis update'!$B35,'MoDi Initiatives'!$A:$A,'Gap Analysis update'!$A35,'MoDi Initiatives'!$B:$B,'Gap Analysis update'!AK$2)-SUMIFS('MoDi Initiatives'!Q:Q,'MoDi Initiatives'!$E:$E,'Gap Analysis update'!$B35,'MoDi Initiatives'!$A:$A,'Gap Analysis update'!$A35,'MoDi Initiatives'!$B:$B,'Gap Analysis update'!AK$2,'MoDi Initiatives'!$C:$C,'Gap Analysis update'!$B$7)</f>
        <v>0</v>
      </c>
      <c r="AL35" s="298">
        <f>SUMIFS('MoDi Initiatives'!R:R,'MoDi Initiatives'!$E:$E,'Gap Analysis update'!$B35,'MoDi Initiatives'!$A:$A,'Gap Analysis update'!$A35,'MoDi Initiatives'!$B:$B,'Gap Analysis update'!AL$2)-SUMIFS('MoDi Initiatives'!R:R,'MoDi Initiatives'!$E:$E,'Gap Analysis update'!$B35,'MoDi Initiatives'!$A:$A,'Gap Analysis update'!$A35,'MoDi Initiatives'!$B:$B,'Gap Analysis update'!AL$2,'MoDi Initiatives'!$C:$C,'Gap Analysis update'!$B$7)</f>
        <v>0</v>
      </c>
      <c r="AM35" s="298">
        <f>SUMIFS('MoDi Initiatives'!S:S,'MoDi Initiatives'!$E:$E,'Gap Analysis update'!$B35,'MoDi Initiatives'!$A:$A,'Gap Analysis update'!$A35,'MoDi Initiatives'!$B:$B,'Gap Analysis update'!AM$2)-SUMIFS('MoDi Initiatives'!S:S,'MoDi Initiatives'!$E:$E,'Gap Analysis update'!$B35,'MoDi Initiatives'!$A:$A,'Gap Analysis update'!$A35,'MoDi Initiatives'!$B:$B,'Gap Analysis update'!AM$2,'MoDi Initiatives'!$C:$C,'Gap Analysis update'!$B$7)</f>
        <v>0</v>
      </c>
      <c r="AN35" s="298">
        <f>SUMIFS('MoDi Initiatives'!T:T,'MoDi Initiatives'!$E:$E,'Gap Analysis update'!$B35,'MoDi Initiatives'!$A:$A,'Gap Analysis update'!$A35,'MoDi Initiatives'!$B:$B,'Gap Analysis update'!AN$2)-SUMIFS('MoDi Initiatives'!T:T,'MoDi Initiatives'!$E:$E,'Gap Analysis update'!$B35,'MoDi Initiatives'!$A:$A,'Gap Analysis update'!$A35,'MoDi Initiatives'!$B:$B,'Gap Analysis update'!AN$2,'MoDi Initiatives'!$C:$C,'Gap Analysis update'!$B$7)</f>
        <v>0</v>
      </c>
      <c r="AO35" s="298">
        <f>SUMIFS('MoDi Initiatives'!U:U,'MoDi Initiatives'!$E:$E,'Gap Analysis update'!$B35,'MoDi Initiatives'!$A:$A,'Gap Analysis update'!$A35,'MoDi Initiatives'!$B:$B,'Gap Analysis update'!AO$2)-SUMIFS('MoDi Initiatives'!U:U,'MoDi Initiatives'!$E:$E,'Gap Analysis update'!$B35,'MoDi Initiatives'!$A:$A,'Gap Analysis update'!$A35,'MoDi Initiatives'!$B:$B,'Gap Analysis update'!AO$2,'MoDi Initiatives'!$C:$C,'Gap Analysis update'!$B$7)</f>
        <v>0</v>
      </c>
      <c r="AP35" s="298">
        <f>SUMIFS('MoDi Initiatives'!V:V,'MoDi Initiatives'!$E:$E,'Gap Analysis update'!$B35,'MoDi Initiatives'!$A:$A,'Gap Analysis update'!$A35,'MoDi Initiatives'!$B:$B,'Gap Analysis update'!AP$2)-SUMIFS('MoDi Initiatives'!V:V,'MoDi Initiatives'!$E:$E,'Gap Analysis update'!$B35,'MoDi Initiatives'!$A:$A,'Gap Analysis update'!$A35,'MoDi Initiatives'!$B:$B,'Gap Analysis update'!AP$2,'MoDi Initiatives'!$C:$C,'Gap Analysis update'!$B$7)</f>
        <v>0</v>
      </c>
      <c r="AQ35" s="298">
        <f>SUMIFS('MoDi Initiatives'!W:W,'MoDi Initiatives'!$E:$E,'Gap Analysis update'!$B35,'MoDi Initiatives'!$A:$A,'Gap Analysis update'!$A35,'MoDi Initiatives'!$B:$B,'Gap Analysis update'!AQ$2)-SUMIFS('MoDi Initiatives'!W:W,'MoDi Initiatives'!$E:$E,'Gap Analysis update'!$B35,'MoDi Initiatives'!$A:$A,'Gap Analysis update'!$A35,'MoDi Initiatives'!$B:$B,'Gap Analysis update'!AQ$2,'MoDi Initiatives'!$C:$C,'Gap Analysis update'!$B$7)</f>
        <v>0</v>
      </c>
      <c r="AR35" s="293"/>
      <c r="AS35" s="303"/>
      <c r="AT35" s="289">
        <f t="shared" si="31"/>
        <v>0</v>
      </c>
      <c r="AU35" s="289">
        <f t="shared" si="31"/>
        <v>0</v>
      </c>
      <c r="AV35" s="289">
        <f t="shared" si="31"/>
        <v>0</v>
      </c>
      <c r="AW35" s="303">
        <f t="shared" si="31"/>
        <v>0</v>
      </c>
      <c r="AX35" s="303">
        <f t="shared" si="31"/>
        <v>0</v>
      </c>
      <c r="AY35" s="303">
        <f t="shared" si="31"/>
        <v>0</v>
      </c>
      <c r="AZ35" s="303">
        <f t="shared" si="31"/>
        <v>0</v>
      </c>
      <c r="BA35" s="303">
        <f t="shared" si="31"/>
        <v>0</v>
      </c>
      <c r="BB35" s="303">
        <f t="shared" si="31"/>
        <v>0</v>
      </c>
      <c r="BC35" s="303">
        <f t="shared" si="31"/>
        <v>0</v>
      </c>
      <c r="BD35" s="303">
        <f t="shared" si="31"/>
        <v>0</v>
      </c>
      <c r="BE35" s="303">
        <f t="shared" si="31"/>
        <v>0</v>
      </c>
      <c r="BF35" s="303">
        <f t="shared" si="31"/>
        <v>0</v>
      </c>
      <c r="BG35" s="303">
        <f t="shared" si="31"/>
        <v>0</v>
      </c>
      <c r="BH35" s="303">
        <f t="shared" si="31"/>
        <v>0</v>
      </c>
      <c r="BI35" s="303">
        <f t="shared" si="31"/>
        <v>0</v>
      </c>
      <c r="BJ35" s="293"/>
      <c r="BK35" s="288"/>
      <c r="BL35" s="288" t="s">
        <v>95</v>
      </c>
      <c r="BM35" s="288" t="s">
        <v>95</v>
      </c>
      <c r="BN35" s="288"/>
      <c r="BO35" s="288"/>
      <c r="BP35" s="288" t="s">
        <v>22</v>
      </c>
      <c r="BQ35" s="288" t="s">
        <v>29</v>
      </c>
      <c r="BR35" s="288" t="s">
        <v>96</v>
      </c>
      <c r="BS35" s="288" t="s">
        <v>97</v>
      </c>
      <c r="BT35" s="288" t="s">
        <v>22</v>
      </c>
      <c r="BU35" s="288"/>
      <c r="BV35" s="288"/>
      <c r="BW35" s="288"/>
      <c r="BX35" s="288"/>
      <c r="BY35" s="288"/>
      <c r="BZ35" s="288"/>
      <c r="CA35" s="288"/>
      <c r="CB35" s="288"/>
    </row>
    <row r="36" spans="1:80" s="298" customFormat="1" ht="140.25" customHeight="1">
      <c r="A36" s="296" t="s">
        <v>93</v>
      </c>
      <c r="B36" s="287" t="s">
        <v>33</v>
      </c>
      <c r="C36" s="288">
        <f t="shared" si="32"/>
        <v>7.3284527016583972E-3</v>
      </c>
      <c r="D36" s="289">
        <f t="shared" si="33"/>
        <v>-2.7167383379472974E-2</v>
      </c>
      <c r="E36" s="289">
        <f t="shared" si="8"/>
        <v>-1.9838930677814576E-2</v>
      </c>
      <c r="F36" s="286" t="s">
        <v>98</v>
      </c>
      <c r="G36" s="286"/>
      <c r="H36" s="297"/>
      <c r="J36" s="288">
        <f>SUMIFS('MoDi Initiatives'!H:H,'MoDi Initiatives'!$E:$E,'Gap Analysis update'!$B36,'MoDi Initiatives'!$A:$A,'Gap Analysis update'!$A36,'MoDi Initiatives'!$B:$B,'Gap Analysis update'!J$2)-SUMIFS('MoDi Initiatives'!H:H,'MoDi Initiatives'!$E:$E,'Gap Analysis update'!$B36,'MoDi Initiatives'!$A:$A,'Gap Analysis update'!$A36,'MoDi Initiatives'!$C:$C,'Gap Analysis update'!$B$7,'MoDi Initiatives'!$B:$B,'Gap Analysis update'!J$2)</f>
        <v>-8.1541770043510684E-3</v>
      </c>
      <c r="K36" s="288">
        <f>SUMIFS('MoDi Initiatives'!I:I,'MoDi Initiatives'!$E:$E,'Gap Analysis update'!$B36,'MoDi Initiatives'!$A:$A,'Gap Analysis update'!$A36,'MoDi Initiatives'!$B:$B,'Gap Analysis update'!K$2)-SUMIFS('MoDi Initiatives'!I:I,'MoDi Initiatives'!$E:$E,'Gap Analysis update'!$B36,'MoDi Initiatives'!$A:$A,'Gap Analysis update'!$A36,'MoDi Initiatives'!$C:$C,'Gap Analysis update'!$B$7,'MoDi Initiatives'!$B:$B,'Gap Analysis update'!K$2)</f>
        <v>-1.2493852028014684E-2</v>
      </c>
      <c r="L36" s="288">
        <f>SUMIFS('MoDi Initiatives'!J:J,'MoDi Initiatives'!$E:$E,'Gap Analysis update'!$B36,'MoDi Initiatives'!$A:$A,'Gap Analysis update'!$A36,'MoDi Initiatives'!$B:$B,'Gap Analysis update'!L$2)-SUMIFS('MoDi Initiatives'!J:J,'MoDi Initiatives'!$E:$E,'Gap Analysis update'!$B36,'MoDi Initiatives'!$A:$A,'Gap Analysis update'!$A36,'MoDi Initiatives'!$C:$C,'Gap Analysis update'!$B$7,'MoDi Initiatives'!$B:$B,'Gap Analysis update'!L$2)</f>
        <v>0</v>
      </c>
      <c r="M36" s="288">
        <f>SUMIFS('MoDi Initiatives'!K:K,'MoDi Initiatives'!$E:$E,'Gap Analysis update'!$B36,'MoDi Initiatives'!$A:$A,'Gap Analysis update'!$A36,'MoDi Initiatives'!$B:$B,'Gap Analysis update'!M$2)-SUMIFS('MoDi Initiatives'!K:K,'MoDi Initiatives'!$E:$E,'Gap Analysis update'!$B36,'MoDi Initiatives'!$A:$A,'Gap Analysis update'!$A36,'MoDi Initiatives'!$C:$C,'Gap Analysis update'!$B$7,'MoDi Initiatives'!$B:$B,'Gap Analysis update'!M$2)</f>
        <v>0</v>
      </c>
      <c r="N36" s="288">
        <f>SUMIFS('MoDi Initiatives'!L:L,'MoDi Initiatives'!$E:$E,'Gap Analysis update'!$B36,'MoDi Initiatives'!$A:$A,'Gap Analysis update'!$A36,'MoDi Initiatives'!$B:$B,'Gap Analysis update'!N$2)-SUMIFS('MoDi Initiatives'!L:L,'MoDi Initiatives'!$E:$E,'Gap Analysis update'!$B36,'MoDi Initiatives'!$A:$A,'Gap Analysis update'!$A36,'MoDi Initiatives'!$C:$C,'Gap Analysis update'!$B$7,'MoDi Initiatives'!$B:$B,'Gap Analysis update'!N$2)</f>
        <v>0</v>
      </c>
      <c r="O36" s="288">
        <f>SUMIFS('MoDi Initiatives'!M:M,'MoDi Initiatives'!$E:$E,'Gap Analysis update'!$B36,'MoDi Initiatives'!$A:$A,'Gap Analysis update'!$A36,'MoDi Initiatives'!$B:$B,'Gap Analysis update'!O$2)-SUMIFS('MoDi Initiatives'!M:M,'MoDi Initiatives'!$E:$E,'Gap Analysis update'!$B36,'MoDi Initiatives'!$A:$A,'Gap Analysis update'!$A36,'MoDi Initiatives'!$C:$C,'Gap Analysis update'!$B$7,'MoDi Initiatives'!$B:$B,'Gap Analysis update'!O$2)</f>
        <v>0</v>
      </c>
      <c r="P36" s="288">
        <f>SUMIFS('MoDi Initiatives'!N:N,'MoDi Initiatives'!$E:$E,'Gap Analysis update'!$B36,'MoDi Initiatives'!$A:$A,'Gap Analysis update'!$A36,'MoDi Initiatives'!$B:$B,'Gap Analysis update'!P$2)-SUMIFS('MoDi Initiatives'!N:N,'MoDi Initiatives'!$E:$E,'Gap Analysis update'!$B36,'MoDi Initiatives'!$A:$A,'Gap Analysis update'!$A36,'MoDi Initiatives'!$C:$C,'Gap Analysis update'!$B$7,'MoDi Initiatives'!$B:$B,'Gap Analysis update'!P$2)</f>
        <v>-2.7777475771222061E-2</v>
      </c>
      <c r="Q36" s="288">
        <f>SUMIFS('MoDi Initiatives'!O:O,'MoDi Initiatives'!$E:$E,'Gap Analysis update'!$B36,'MoDi Initiatives'!$A:$A,'Gap Analysis update'!$A36,'MoDi Initiatives'!$B:$B,'Gap Analysis update'!Q$2)-SUMIFS('MoDi Initiatives'!O:O,'MoDi Initiatives'!$E:$E,'Gap Analysis update'!$B36,'MoDi Initiatives'!$A:$A,'Gap Analysis update'!$A36,'MoDi Initiatives'!$C:$C,'Gap Analysis update'!$B$7,'MoDi Initiatives'!$B:$B,'Gap Analysis update'!Q$2)</f>
        <v>0</v>
      </c>
      <c r="R36" s="288">
        <f>SUMIFS('MoDi Initiatives'!P:P,'MoDi Initiatives'!$E:$E,'Gap Analysis update'!$B36,'MoDi Initiatives'!$A:$A,'Gap Analysis update'!$A36,'MoDi Initiatives'!$B:$B,'Gap Analysis update'!R$2)-SUMIFS('MoDi Initiatives'!P:P,'MoDi Initiatives'!$E:$E,'Gap Analysis update'!$B36,'MoDi Initiatives'!$A:$A,'Gap Analysis update'!$A36,'MoDi Initiatives'!$C:$C,'Gap Analysis update'!$B$7,'MoDi Initiatives'!$B:$B,'Gap Analysis update'!R$2)</f>
        <v>0</v>
      </c>
      <c r="S36" s="288">
        <f>SUMIFS('MoDi Initiatives'!Q:Q,'MoDi Initiatives'!$E:$E,'Gap Analysis update'!$B36,'MoDi Initiatives'!$A:$A,'Gap Analysis update'!$A36,'MoDi Initiatives'!$B:$B,'Gap Analysis update'!S$2)-SUMIFS('MoDi Initiatives'!Q:Q,'MoDi Initiatives'!$E:$E,'Gap Analysis update'!$B36,'MoDi Initiatives'!$A:$A,'Gap Analysis update'!$A36,'MoDi Initiatives'!$C:$C,'Gap Analysis update'!$B$7,'MoDi Initiatives'!$B:$B,'Gap Analysis update'!S$2)</f>
        <v>0</v>
      </c>
      <c r="T36" s="288">
        <f>SUMIFS('MoDi Initiatives'!R:R,'MoDi Initiatives'!$E:$E,'Gap Analysis update'!$B36,'MoDi Initiatives'!$A:$A,'Gap Analysis update'!$A36,'MoDi Initiatives'!$B:$B,'Gap Analysis update'!T$2)-SUMIFS('MoDi Initiatives'!R:R,'MoDi Initiatives'!$E:$E,'Gap Analysis update'!$B36,'MoDi Initiatives'!$A:$A,'Gap Analysis update'!$A36,'MoDi Initiatives'!$C:$C,'Gap Analysis update'!$B$7,'MoDi Initiatives'!$B:$B,'Gap Analysis update'!T$2)</f>
        <v>0</v>
      </c>
      <c r="U36" s="288">
        <f>SUMIFS('MoDi Initiatives'!S:S,'MoDi Initiatives'!$E:$E,'Gap Analysis update'!$B36,'MoDi Initiatives'!$A:$A,'Gap Analysis update'!$A36,'MoDi Initiatives'!$B:$B,'Gap Analysis update'!U$2)-SUMIFS('MoDi Initiatives'!S:S,'MoDi Initiatives'!$E:$E,'Gap Analysis update'!$B36,'MoDi Initiatives'!$A:$A,'Gap Analysis update'!$A36,'MoDi Initiatives'!$C:$C,'Gap Analysis update'!$B$7,'MoDi Initiatives'!$B:$B,'Gap Analysis update'!U$2)</f>
        <v>0</v>
      </c>
      <c r="V36" s="288">
        <f>SUMIFS('MoDi Initiatives'!T:T,'MoDi Initiatives'!$E:$E,'Gap Analysis update'!$B36,'MoDi Initiatives'!$A:$A,'Gap Analysis update'!$A36,'MoDi Initiatives'!$B:$B,'Gap Analysis update'!V$2)-SUMIFS('MoDi Initiatives'!T:T,'MoDi Initiatives'!$E:$E,'Gap Analysis update'!$B36,'MoDi Initiatives'!$A:$A,'Gap Analysis update'!$A36,'MoDi Initiatives'!$C:$C,'Gap Analysis update'!$B$7,'MoDi Initiatives'!$B:$B,'Gap Analysis update'!V$2)</f>
        <v>-6.8495086836548981E-3</v>
      </c>
      <c r="W36" s="288">
        <f>SUMIFS('MoDi Initiatives'!U:U,'MoDi Initiatives'!$E:$E,'Gap Analysis update'!$B36,'MoDi Initiatives'!$A:$A,'Gap Analysis update'!$A36,'MoDi Initiatives'!$B:$B,'Gap Analysis update'!W$2)-SUMIFS('MoDi Initiatives'!U:U,'MoDi Initiatives'!$E:$E,'Gap Analysis update'!$B36,'MoDi Initiatives'!$A:$A,'Gap Analysis update'!$A36,'MoDi Initiatives'!$C:$C,'Gap Analysis update'!$B$7,'MoDi Initiatives'!$B:$B,'Gap Analysis update'!W$2)</f>
        <v>0</v>
      </c>
      <c r="X36" s="288">
        <f>SUMIFS('MoDi Initiatives'!V:V,'MoDi Initiatives'!$E:$E,'Gap Analysis update'!$B36,'MoDi Initiatives'!$A:$A,'Gap Analysis update'!$A36,'MoDi Initiatives'!$B:$B,'Gap Analysis update'!X$2)-SUMIFS('MoDi Initiatives'!V:V,'MoDi Initiatives'!$E:$E,'Gap Analysis update'!$B36,'MoDi Initiatives'!$A:$A,'Gap Analysis update'!$A36,'MoDi Initiatives'!$C:$C,'Gap Analysis update'!$B$7,'MoDi Initiatives'!$B:$B,'Gap Analysis update'!X$2)</f>
        <v>0</v>
      </c>
      <c r="Y36" s="288">
        <f>SUMIFS('MoDi Initiatives'!W:W,'MoDi Initiatives'!$E:$E,'Gap Analysis update'!$B36,'MoDi Initiatives'!$A:$A,'Gap Analysis update'!$A36,'MoDi Initiatives'!$B:$B,'Gap Analysis update'!Y$2)-SUMIFS('MoDi Initiatives'!W:W,'MoDi Initiatives'!$E:$E,'Gap Analysis update'!$B36,'MoDi Initiatives'!$A:$A,'Gap Analysis update'!$A36,'MoDi Initiatives'!$C:$C,'Gap Analysis update'!$B$7,'MoDi Initiatives'!$B:$B,'Gap Analysis update'!Y$2)</f>
        <v>0</v>
      </c>
      <c r="Z36" s="293"/>
      <c r="AB36" s="298">
        <f>SUMIFS('MoDi Initiatives'!H:H,'MoDi Initiatives'!$E:$E,'Gap Analysis update'!$B36,'MoDi Initiatives'!$A:$A,'Gap Analysis update'!$A36,'MoDi Initiatives'!$B:$B,'Gap Analysis update'!AB$2)-SUMIFS('MoDi Initiatives'!H:H,'MoDi Initiatives'!$E:$E,'Gap Analysis update'!$B36,'MoDi Initiatives'!$A:$A,'Gap Analysis update'!$A36,'MoDi Initiatives'!$B:$B,'Gap Analysis update'!AB$2,'MoDi Initiatives'!$C:$C,'Gap Analysis update'!$B$7)</f>
        <v>-7.6105652040610273E-3</v>
      </c>
      <c r="AC36" s="298">
        <f>SUMIFS('MoDi Initiatives'!I:I,'MoDi Initiatives'!$E:$E,'Gap Analysis update'!$B36,'MoDi Initiatives'!$A:$A,'Gap Analysis update'!$A36,'MoDi Initiatives'!$B:$B,'Gap Analysis update'!AC$2)-SUMIFS('MoDi Initiatives'!I:I,'MoDi Initiatives'!$E:$E,'Gap Analysis update'!$B36,'MoDi Initiatives'!$A:$A,'Gap Analysis update'!$A36,'MoDi Initiatives'!$B:$B,'Gap Analysis update'!AC$2,'MoDi Initiatives'!$C:$C,'Gap Analysis update'!$B$7)</f>
        <v>0</v>
      </c>
      <c r="AD36" s="298">
        <f>SUMIFS('MoDi Initiatives'!J:J,'MoDi Initiatives'!$E:$E,'Gap Analysis update'!$B36,'MoDi Initiatives'!$A:$A,'Gap Analysis update'!$A36,'MoDi Initiatives'!$B:$B,'Gap Analysis update'!AD$2)-SUMIFS('MoDi Initiatives'!J:J,'MoDi Initiatives'!$E:$E,'Gap Analysis update'!$B36,'MoDi Initiatives'!$A:$A,'Gap Analysis update'!$A36,'MoDi Initiatives'!$B:$B,'Gap Analysis update'!AD$2,'MoDi Initiatives'!$C:$C,'Gap Analysis update'!$B$7)</f>
        <v>0</v>
      </c>
      <c r="AE36" s="298">
        <f>SUMIFS('MoDi Initiatives'!K:K,'MoDi Initiatives'!$E:$E,'Gap Analysis update'!$B36,'MoDi Initiatives'!$A:$A,'Gap Analysis update'!$A36,'MoDi Initiatives'!$B:$B,'Gap Analysis update'!AE$2)-SUMIFS('MoDi Initiatives'!K:K,'MoDi Initiatives'!$E:$E,'Gap Analysis update'!$B36,'MoDi Initiatives'!$A:$A,'Gap Analysis update'!$A36,'MoDi Initiatives'!$B:$B,'Gap Analysis update'!AE$2,'MoDi Initiatives'!$C:$C,'Gap Analysis update'!$B$7)</f>
        <v>0</v>
      </c>
      <c r="AF36" s="298">
        <f>SUMIFS('MoDi Initiatives'!L:L,'MoDi Initiatives'!$E:$E,'Gap Analysis update'!$B36,'MoDi Initiatives'!$A:$A,'Gap Analysis update'!$A36,'MoDi Initiatives'!$B:$B,'Gap Analysis update'!AF$2)-SUMIFS('MoDi Initiatives'!L:L,'MoDi Initiatives'!$E:$E,'Gap Analysis update'!$B36,'MoDi Initiatives'!$A:$A,'Gap Analysis update'!$A36,'MoDi Initiatives'!$B:$B,'Gap Analysis update'!AF$2,'MoDi Initiatives'!$C:$C,'Gap Analysis update'!$B$7)</f>
        <v>0</v>
      </c>
      <c r="AG36" s="298">
        <f>SUMIFS('MoDi Initiatives'!M:M,'MoDi Initiatives'!$E:$E,'Gap Analysis update'!$B36,'MoDi Initiatives'!$A:$A,'Gap Analysis update'!$A36,'MoDi Initiatives'!$B:$B,'Gap Analysis update'!AG$2)-SUMIFS('MoDi Initiatives'!M:M,'MoDi Initiatives'!$E:$E,'Gap Analysis update'!$B36,'MoDi Initiatives'!$A:$A,'Gap Analysis update'!$A36,'MoDi Initiatives'!$B:$B,'Gap Analysis update'!AG$2,'MoDi Initiatives'!$C:$C,'Gap Analysis update'!$B$7)</f>
        <v>0</v>
      </c>
      <c r="AH36" s="298">
        <f>SUMIFS('MoDi Initiatives'!N:N,'MoDi Initiatives'!$E:$E,'Gap Analysis update'!$B36,'MoDi Initiatives'!$A:$A,'Gap Analysis update'!$A36,'MoDi Initiatives'!$B:$B,'Gap Analysis update'!AH$2)-SUMIFS('MoDi Initiatives'!N:N,'MoDi Initiatives'!$E:$E,'Gap Analysis update'!$B36,'MoDi Initiatives'!$A:$A,'Gap Analysis update'!$A36,'MoDi Initiatives'!$B:$B,'Gap Analysis update'!AH$2,'MoDi Initiatives'!$C:$C,'Gap Analysis update'!$B$7)</f>
        <v>-1.739557760928228E-2</v>
      </c>
      <c r="AI36" s="298">
        <f>SUMIFS('MoDi Initiatives'!O:O,'MoDi Initiatives'!$E:$E,'Gap Analysis update'!$B36,'MoDi Initiatives'!$A:$A,'Gap Analysis update'!$A36,'MoDi Initiatives'!$B:$B,'Gap Analysis update'!AI$2)-SUMIFS('MoDi Initiatives'!O:O,'MoDi Initiatives'!$E:$E,'Gap Analysis update'!$B36,'MoDi Initiatives'!$A:$A,'Gap Analysis update'!$A36,'MoDi Initiatives'!$B:$B,'Gap Analysis update'!AI$2,'MoDi Initiatives'!$C:$C,'Gap Analysis update'!$B$7)</f>
        <v>-1.609090928858611E-2</v>
      </c>
      <c r="AJ36" s="298">
        <f>SUMIFS('MoDi Initiatives'!P:P,'MoDi Initiatives'!$E:$E,'Gap Analysis update'!$B36,'MoDi Initiatives'!$A:$A,'Gap Analysis update'!$A36,'MoDi Initiatives'!$B:$B,'Gap Analysis update'!AJ$2)-SUMIFS('MoDi Initiatives'!P:P,'MoDi Initiatives'!$E:$E,'Gap Analysis update'!$B36,'MoDi Initiatives'!$A:$A,'Gap Analysis update'!$A36,'MoDi Initiatives'!$B:$B,'Gap Analysis update'!AJ$2,'MoDi Initiatives'!$C:$C,'Gap Analysis update'!$B$7)</f>
        <v>0</v>
      </c>
      <c r="AK36" s="298">
        <f>SUMIFS('MoDi Initiatives'!Q:Q,'MoDi Initiatives'!$E:$E,'Gap Analysis update'!$B36,'MoDi Initiatives'!$A:$A,'Gap Analysis update'!$A36,'MoDi Initiatives'!$B:$B,'Gap Analysis update'!AK$2)-SUMIFS('MoDi Initiatives'!Q:Q,'MoDi Initiatives'!$E:$E,'Gap Analysis update'!$B36,'MoDi Initiatives'!$A:$A,'Gap Analysis update'!$A36,'MoDi Initiatives'!$B:$B,'Gap Analysis update'!AK$2,'MoDi Initiatives'!$C:$C,'Gap Analysis update'!$B$7)</f>
        <v>-5.3903584077675606E-3</v>
      </c>
      <c r="AL36" s="298">
        <f>SUMIFS('MoDi Initiatives'!R:R,'MoDi Initiatives'!$E:$E,'Gap Analysis update'!$B36,'MoDi Initiatives'!$A:$A,'Gap Analysis update'!$A36,'MoDi Initiatives'!$B:$B,'Gap Analysis update'!AL$2)-SUMIFS('MoDi Initiatives'!R:R,'MoDi Initiatives'!$E:$E,'Gap Analysis update'!$B36,'MoDi Initiatives'!$A:$A,'Gap Analysis update'!$A36,'MoDi Initiatives'!$B:$B,'Gap Analysis update'!AL$2,'MoDi Initiatives'!$C:$C,'Gap Analysis update'!$B$7)</f>
        <v>0</v>
      </c>
      <c r="AM36" s="298">
        <f>SUMIFS('MoDi Initiatives'!S:S,'MoDi Initiatives'!$E:$E,'Gap Analysis update'!$B36,'MoDi Initiatives'!$A:$A,'Gap Analysis update'!$A36,'MoDi Initiatives'!$B:$B,'Gap Analysis update'!AM$2)-SUMIFS('MoDi Initiatives'!S:S,'MoDi Initiatives'!$E:$E,'Gap Analysis update'!$B36,'MoDi Initiatives'!$A:$A,'Gap Analysis update'!$A36,'MoDi Initiatives'!$B:$B,'Gap Analysis update'!AM$2,'MoDi Initiatives'!$C:$C,'Gap Analysis update'!$B$7)</f>
        <v>-2.6234641734083998E-2</v>
      </c>
      <c r="AN36" s="298">
        <f>SUMIFS('MoDi Initiatives'!T:T,'MoDi Initiatives'!$E:$E,'Gap Analysis update'!$B36,'MoDi Initiatives'!$A:$A,'Gap Analysis update'!$A36,'MoDi Initiatives'!$B:$B,'Gap Analysis update'!AN$2)-SUMIFS('MoDi Initiatives'!T:T,'MoDi Initiatives'!$E:$E,'Gap Analysis update'!$B36,'MoDi Initiatives'!$A:$A,'Gap Analysis update'!$A36,'MoDi Initiatives'!$B:$B,'Gap Analysis update'!AN$2,'MoDi Initiatives'!$C:$C,'Gap Analysis update'!$B$7)</f>
        <v>-2.3918919212763136E-3</v>
      </c>
      <c r="AO36" s="298">
        <f>SUMIFS('MoDi Initiatives'!U:U,'MoDi Initiatives'!$E:$E,'Gap Analysis update'!$B36,'MoDi Initiatives'!$A:$A,'Gap Analysis update'!$A36,'MoDi Initiatives'!$B:$B,'Gap Analysis update'!AO$2)-SUMIFS('MoDi Initiatives'!U:U,'MoDi Initiatives'!$E:$E,'Gap Analysis update'!$B36,'MoDi Initiatives'!$A:$A,'Gap Analysis update'!$A36,'MoDi Initiatives'!$B:$B,'Gap Analysis update'!AO$2,'MoDi Initiatives'!$C:$C,'Gap Analysis update'!$B$7)</f>
        <v>0</v>
      </c>
      <c r="AP36" s="298">
        <f>SUMIFS('MoDi Initiatives'!V:V,'MoDi Initiatives'!$E:$E,'Gap Analysis update'!$B36,'MoDi Initiatives'!$A:$A,'Gap Analysis update'!$A36,'MoDi Initiatives'!$B:$B,'Gap Analysis update'!AP$2)-SUMIFS('MoDi Initiatives'!V:V,'MoDi Initiatives'!$E:$E,'Gap Analysis update'!$B36,'MoDi Initiatives'!$A:$A,'Gap Analysis update'!$A36,'MoDi Initiatives'!$B:$B,'Gap Analysis update'!AP$2,'MoDi Initiatives'!$C:$C,'Gap Analysis update'!$B$7)</f>
        <v>0</v>
      </c>
      <c r="AQ36" s="298">
        <f>SUMIFS('MoDi Initiatives'!W:W,'MoDi Initiatives'!$E:$E,'Gap Analysis update'!$B36,'MoDi Initiatives'!$A:$A,'Gap Analysis update'!$A36,'MoDi Initiatives'!$B:$B,'Gap Analysis update'!AQ$2)-SUMIFS('MoDi Initiatives'!W:W,'MoDi Initiatives'!$E:$E,'Gap Analysis update'!$B36,'MoDi Initiatives'!$A:$A,'Gap Analysis update'!$A36,'MoDi Initiatives'!$B:$B,'Gap Analysis update'!AQ$2,'MoDi Initiatives'!$C:$C,'Gap Analysis update'!$B$7)</f>
        <v>0</v>
      </c>
      <c r="AR36" s="293"/>
      <c r="AS36" s="303"/>
      <c r="AT36" s="303">
        <f t="shared" si="31"/>
        <v>5.436118002900411E-4</v>
      </c>
      <c r="AU36" s="303">
        <f t="shared" si="31"/>
        <v>1.2493852028014684E-2</v>
      </c>
      <c r="AV36" s="303">
        <f t="shared" si="31"/>
        <v>0</v>
      </c>
      <c r="AW36" s="303">
        <f t="shared" si="31"/>
        <v>0</v>
      </c>
      <c r="AX36" s="303">
        <f t="shared" si="31"/>
        <v>0</v>
      </c>
      <c r="AY36" s="303">
        <f t="shared" si="31"/>
        <v>0</v>
      </c>
      <c r="AZ36" s="303">
        <f t="shared" si="31"/>
        <v>1.0381898161939782E-2</v>
      </c>
      <c r="BA36" s="303">
        <f t="shared" si="31"/>
        <v>-1.609090928858611E-2</v>
      </c>
      <c r="BB36" s="295">
        <f t="shared" si="31"/>
        <v>0</v>
      </c>
      <c r="BC36" s="303">
        <f t="shared" si="31"/>
        <v>-5.3903584077675606E-3</v>
      </c>
      <c r="BD36" s="303">
        <f t="shared" si="31"/>
        <v>0</v>
      </c>
      <c r="BE36" s="303">
        <f t="shared" si="31"/>
        <v>-2.6234641734083998E-2</v>
      </c>
      <c r="BF36" s="303">
        <f t="shared" si="31"/>
        <v>4.4576167623785849E-3</v>
      </c>
      <c r="BG36" s="303">
        <f t="shared" si="31"/>
        <v>0</v>
      </c>
      <c r="BH36" s="303">
        <f t="shared" si="31"/>
        <v>0</v>
      </c>
      <c r="BI36" s="303">
        <f t="shared" si="31"/>
        <v>0</v>
      </c>
      <c r="BJ36" s="293"/>
      <c r="BK36" s="288"/>
      <c r="BL36" s="288" t="s">
        <v>71</v>
      </c>
      <c r="BM36" s="288" t="s">
        <v>99</v>
      </c>
      <c r="BN36" s="288"/>
      <c r="BO36" s="288"/>
      <c r="BP36" s="288" t="s">
        <v>22</v>
      </c>
      <c r="BQ36" s="288"/>
      <c r="BR36" s="288" t="s">
        <v>100</v>
      </c>
      <c r="BS36" s="288" t="s">
        <v>40</v>
      </c>
      <c r="BT36" s="288" t="s">
        <v>22</v>
      </c>
      <c r="BU36" s="288"/>
      <c r="BV36" s="288"/>
      <c r="BW36" s="288"/>
      <c r="BX36" s="288" t="s">
        <v>42</v>
      </c>
      <c r="BY36" s="288"/>
      <c r="BZ36" s="288"/>
      <c r="CA36" s="288"/>
      <c r="CB36" s="288"/>
    </row>
    <row r="37" spans="1:80" s="298" customFormat="1" ht="52">
      <c r="A37" s="296" t="s">
        <v>93</v>
      </c>
      <c r="B37" s="287" t="s">
        <v>43</v>
      </c>
      <c r="C37" s="288">
        <f t="shared" si="32"/>
        <v>-5.8927519151443994E-3</v>
      </c>
      <c r="D37" s="289">
        <f t="shared" si="33"/>
        <v>1.2454841080526305E-3</v>
      </c>
      <c r="E37" s="289">
        <f t="shared" si="8"/>
        <v>-4.6472678070917685E-3</v>
      </c>
      <c r="F37" s="286" t="s">
        <v>101</v>
      </c>
      <c r="G37" s="286" t="s">
        <v>89</v>
      </c>
      <c r="H37" s="297"/>
      <c r="J37" s="288">
        <f>SUMIFS('MoDi Initiatives'!H:H,'MoDi Initiatives'!$E:$E,'Gap Analysis update'!$B37,'MoDi Initiatives'!$A:$A,'Gap Analysis update'!$A37,'MoDi Initiatives'!$B:$B,'Gap Analysis update'!J$2)-SUMIFS('MoDi Initiatives'!H:H,'MoDi Initiatives'!$E:$E,'Gap Analysis update'!$B37,'MoDi Initiatives'!$A:$A,'Gap Analysis update'!$A37,'MoDi Initiatives'!$C:$C,'Gap Analysis update'!$B$7,'MoDi Initiatives'!$B:$B,'Gap Analysis update'!J$2)</f>
        <v>0</v>
      </c>
      <c r="K37" s="288">
        <f>SUMIFS('MoDi Initiatives'!I:I,'MoDi Initiatives'!$E:$E,'Gap Analysis update'!$B37,'MoDi Initiatives'!$A:$A,'Gap Analysis update'!$A37,'MoDi Initiatives'!$B:$B,'Gap Analysis update'!K$2)-SUMIFS('MoDi Initiatives'!I:I,'MoDi Initiatives'!$E:$E,'Gap Analysis update'!$B37,'MoDi Initiatives'!$A:$A,'Gap Analysis update'!$A37,'MoDi Initiatives'!$C:$C,'Gap Analysis update'!$B$7,'MoDi Initiatives'!$B:$B,'Gap Analysis update'!K$2)</f>
        <v>0</v>
      </c>
      <c r="L37" s="288">
        <f>SUMIFS('MoDi Initiatives'!J:J,'MoDi Initiatives'!$E:$E,'Gap Analysis update'!$B37,'MoDi Initiatives'!$A:$A,'Gap Analysis update'!$A37,'MoDi Initiatives'!$B:$B,'Gap Analysis update'!L$2)-SUMIFS('MoDi Initiatives'!J:J,'MoDi Initiatives'!$E:$E,'Gap Analysis update'!$B37,'MoDi Initiatives'!$A:$A,'Gap Analysis update'!$A37,'MoDi Initiatives'!$C:$C,'Gap Analysis update'!$B$7,'MoDi Initiatives'!$B:$B,'Gap Analysis update'!L$2)</f>
        <v>0</v>
      </c>
      <c r="M37" s="288">
        <f>SUMIFS('MoDi Initiatives'!K:K,'MoDi Initiatives'!$E:$E,'Gap Analysis update'!$B37,'MoDi Initiatives'!$A:$A,'Gap Analysis update'!$A37,'MoDi Initiatives'!$B:$B,'Gap Analysis update'!M$2)-SUMIFS('MoDi Initiatives'!K:K,'MoDi Initiatives'!$E:$E,'Gap Analysis update'!$B37,'MoDi Initiatives'!$A:$A,'Gap Analysis update'!$A37,'MoDi Initiatives'!$C:$C,'Gap Analysis update'!$B$7,'MoDi Initiatives'!$B:$B,'Gap Analysis update'!M$2)</f>
        <v>0</v>
      </c>
      <c r="N37" s="288">
        <f>SUMIFS('MoDi Initiatives'!L:L,'MoDi Initiatives'!$E:$E,'Gap Analysis update'!$B37,'MoDi Initiatives'!$A:$A,'Gap Analysis update'!$A37,'MoDi Initiatives'!$B:$B,'Gap Analysis update'!N$2)-SUMIFS('MoDi Initiatives'!L:L,'MoDi Initiatives'!$E:$E,'Gap Analysis update'!$B37,'MoDi Initiatives'!$A:$A,'Gap Analysis update'!$A37,'MoDi Initiatives'!$C:$C,'Gap Analysis update'!$B$7,'MoDi Initiatives'!$B:$B,'Gap Analysis update'!N$2)</f>
        <v>0</v>
      </c>
      <c r="O37" s="288">
        <f>SUMIFS('MoDi Initiatives'!M:M,'MoDi Initiatives'!$E:$E,'Gap Analysis update'!$B37,'MoDi Initiatives'!$A:$A,'Gap Analysis update'!$A37,'MoDi Initiatives'!$B:$B,'Gap Analysis update'!O$2)-SUMIFS('MoDi Initiatives'!M:M,'MoDi Initiatives'!$E:$E,'Gap Analysis update'!$B37,'MoDi Initiatives'!$A:$A,'Gap Analysis update'!$A37,'MoDi Initiatives'!$C:$C,'Gap Analysis update'!$B$7,'MoDi Initiatives'!$B:$B,'Gap Analysis update'!O$2)</f>
        <v>0</v>
      </c>
      <c r="P37" s="288">
        <f>SUMIFS('MoDi Initiatives'!N:N,'MoDi Initiatives'!$E:$E,'Gap Analysis update'!$B37,'MoDi Initiatives'!$A:$A,'Gap Analysis update'!$A37,'MoDi Initiatives'!$B:$B,'Gap Analysis update'!P$2)-SUMIFS('MoDi Initiatives'!N:N,'MoDi Initiatives'!$E:$E,'Gap Analysis update'!$B37,'MoDi Initiatives'!$A:$A,'Gap Analysis update'!$A37,'MoDi Initiatives'!$C:$C,'Gap Analysis update'!$B$7,'MoDi Initiatives'!$B:$B,'Gap Analysis update'!P$2)</f>
        <v>0</v>
      </c>
      <c r="Q37" s="288">
        <f>SUMIFS('MoDi Initiatives'!O:O,'MoDi Initiatives'!$E:$E,'Gap Analysis update'!$B37,'MoDi Initiatives'!$A:$A,'Gap Analysis update'!$A37,'MoDi Initiatives'!$B:$B,'Gap Analysis update'!Q$2)-SUMIFS('MoDi Initiatives'!O:O,'MoDi Initiatives'!$E:$E,'Gap Analysis update'!$B37,'MoDi Initiatives'!$A:$A,'Gap Analysis update'!$A37,'MoDi Initiatives'!$C:$C,'Gap Analysis update'!$B$7,'MoDi Initiatives'!$B:$B,'Gap Analysis update'!Q$2)</f>
        <v>0</v>
      </c>
      <c r="R37" s="288">
        <f>SUMIFS('MoDi Initiatives'!P:P,'MoDi Initiatives'!$E:$E,'Gap Analysis update'!$B37,'MoDi Initiatives'!$A:$A,'Gap Analysis update'!$A37,'MoDi Initiatives'!$B:$B,'Gap Analysis update'!R$2)-SUMIFS('MoDi Initiatives'!P:P,'MoDi Initiatives'!$E:$E,'Gap Analysis update'!$B37,'MoDi Initiatives'!$A:$A,'Gap Analysis update'!$A37,'MoDi Initiatives'!$C:$C,'Gap Analysis update'!$B$7,'MoDi Initiatives'!$B:$B,'Gap Analysis update'!R$2)</f>
        <v>0</v>
      </c>
      <c r="S37" s="288">
        <f>SUMIFS('MoDi Initiatives'!Q:Q,'MoDi Initiatives'!$E:$E,'Gap Analysis update'!$B37,'MoDi Initiatives'!$A:$A,'Gap Analysis update'!$A37,'MoDi Initiatives'!$B:$B,'Gap Analysis update'!S$2)-SUMIFS('MoDi Initiatives'!Q:Q,'MoDi Initiatives'!$E:$E,'Gap Analysis update'!$B37,'MoDi Initiatives'!$A:$A,'Gap Analysis update'!$A37,'MoDi Initiatives'!$C:$C,'Gap Analysis update'!$B$7,'MoDi Initiatives'!$B:$B,'Gap Analysis update'!S$2)</f>
        <v>0</v>
      </c>
      <c r="T37" s="288">
        <f>SUMIFS('MoDi Initiatives'!R:R,'MoDi Initiatives'!$E:$E,'Gap Analysis update'!$B37,'MoDi Initiatives'!$A:$A,'Gap Analysis update'!$A37,'MoDi Initiatives'!$B:$B,'Gap Analysis update'!T$2)-SUMIFS('MoDi Initiatives'!R:R,'MoDi Initiatives'!$E:$E,'Gap Analysis update'!$B37,'MoDi Initiatives'!$A:$A,'Gap Analysis update'!$A37,'MoDi Initiatives'!$C:$C,'Gap Analysis update'!$B$7,'MoDi Initiatives'!$B:$B,'Gap Analysis update'!T$2)</f>
        <v>0</v>
      </c>
      <c r="U37" s="288">
        <f>SUMIFS('MoDi Initiatives'!S:S,'MoDi Initiatives'!$E:$E,'Gap Analysis update'!$B37,'MoDi Initiatives'!$A:$A,'Gap Analysis update'!$A37,'MoDi Initiatives'!$B:$B,'Gap Analysis update'!U$2)-SUMIFS('MoDi Initiatives'!S:S,'MoDi Initiatives'!$E:$E,'Gap Analysis update'!$B37,'MoDi Initiatives'!$A:$A,'Gap Analysis update'!$A37,'MoDi Initiatives'!$C:$C,'Gap Analysis update'!$B$7,'MoDi Initiatives'!$B:$B,'Gap Analysis update'!U$2)</f>
        <v>0</v>
      </c>
      <c r="V37" s="288">
        <f>SUMIFS('MoDi Initiatives'!T:T,'MoDi Initiatives'!$E:$E,'Gap Analysis update'!$B37,'MoDi Initiatives'!$A:$A,'Gap Analysis update'!$A37,'MoDi Initiatives'!$B:$B,'Gap Analysis update'!V$2)-SUMIFS('MoDi Initiatives'!T:T,'MoDi Initiatives'!$E:$E,'Gap Analysis update'!$B37,'MoDi Initiatives'!$A:$A,'Gap Analysis update'!$A37,'MoDi Initiatives'!$C:$C,'Gap Analysis update'!$B$7,'MoDi Initiatives'!$B:$B,'Gap Analysis update'!V$2)</f>
        <v>0</v>
      </c>
      <c r="W37" s="288">
        <f>SUMIFS('MoDi Initiatives'!U:U,'MoDi Initiatives'!$E:$E,'Gap Analysis update'!$B37,'MoDi Initiatives'!$A:$A,'Gap Analysis update'!$A37,'MoDi Initiatives'!$B:$B,'Gap Analysis update'!W$2)-SUMIFS('MoDi Initiatives'!U:U,'MoDi Initiatives'!$E:$E,'Gap Analysis update'!$B37,'MoDi Initiatives'!$A:$A,'Gap Analysis update'!$A37,'MoDi Initiatives'!$C:$C,'Gap Analysis update'!$B$7,'MoDi Initiatives'!$B:$B,'Gap Analysis update'!W$2)</f>
        <v>0</v>
      </c>
      <c r="X37" s="288">
        <f>SUMIFS('MoDi Initiatives'!V:V,'MoDi Initiatives'!$E:$E,'Gap Analysis update'!$B37,'MoDi Initiatives'!$A:$A,'Gap Analysis update'!$A37,'MoDi Initiatives'!$B:$B,'Gap Analysis update'!X$2)-SUMIFS('MoDi Initiatives'!V:V,'MoDi Initiatives'!$E:$E,'Gap Analysis update'!$B37,'MoDi Initiatives'!$A:$A,'Gap Analysis update'!$A37,'MoDi Initiatives'!$C:$C,'Gap Analysis update'!$B$7,'MoDi Initiatives'!$B:$B,'Gap Analysis update'!X$2)</f>
        <v>0</v>
      </c>
      <c r="Y37" s="288">
        <f>SUMIFS('MoDi Initiatives'!W:W,'MoDi Initiatives'!$E:$E,'Gap Analysis update'!$B37,'MoDi Initiatives'!$A:$A,'Gap Analysis update'!$A37,'MoDi Initiatives'!$B:$B,'Gap Analysis update'!Y$2)-SUMIFS('MoDi Initiatives'!W:W,'MoDi Initiatives'!$E:$E,'Gap Analysis update'!$B37,'MoDi Initiatives'!$A:$A,'Gap Analysis update'!$A37,'MoDi Initiatives'!$C:$C,'Gap Analysis update'!$B$7,'MoDi Initiatives'!$B:$B,'Gap Analysis update'!Y$2)</f>
        <v>0</v>
      </c>
      <c r="Z37" s="293"/>
      <c r="AB37" s="298">
        <f>SUMIFS('MoDi Initiatives'!H:H,'MoDi Initiatives'!$E:$E,'Gap Analysis update'!$B37,'MoDi Initiatives'!$A:$A,'Gap Analysis update'!$A37,'MoDi Initiatives'!$B:$B,'Gap Analysis update'!AB$2)-SUMIFS('MoDi Initiatives'!H:H,'MoDi Initiatives'!$E:$E,'Gap Analysis update'!$B37,'MoDi Initiatives'!$A:$A,'Gap Analysis update'!$A37,'MoDi Initiatives'!$B:$B,'Gap Analysis update'!AB$2,'MoDi Initiatives'!$C:$C,'Gap Analysis update'!$B$7)</f>
        <v>0</v>
      </c>
      <c r="AC37" s="298">
        <f>SUMIFS('MoDi Initiatives'!I:I,'MoDi Initiatives'!$E:$E,'Gap Analysis update'!$B37,'MoDi Initiatives'!$A:$A,'Gap Analysis update'!$A37,'MoDi Initiatives'!$B:$B,'Gap Analysis update'!AC$2)-SUMIFS('MoDi Initiatives'!I:I,'MoDi Initiatives'!$E:$E,'Gap Analysis update'!$B37,'MoDi Initiatives'!$A:$A,'Gap Analysis update'!$A37,'MoDi Initiatives'!$B:$B,'Gap Analysis update'!AC$2,'MoDi Initiatives'!$C:$C,'Gap Analysis update'!$B$7)</f>
        <v>0</v>
      </c>
      <c r="AD37" s="298">
        <f>SUMIFS('MoDi Initiatives'!J:J,'MoDi Initiatives'!$E:$E,'Gap Analysis update'!$B37,'MoDi Initiatives'!$A:$A,'Gap Analysis update'!$A37,'MoDi Initiatives'!$B:$B,'Gap Analysis update'!AD$2)-SUMIFS('MoDi Initiatives'!J:J,'MoDi Initiatives'!$E:$E,'Gap Analysis update'!$B37,'MoDi Initiatives'!$A:$A,'Gap Analysis update'!$A37,'MoDi Initiatives'!$B:$B,'Gap Analysis update'!AD$2,'MoDi Initiatives'!$C:$C,'Gap Analysis update'!$B$7)</f>
        <v>0</v>
      </c>
      <c r="AE37" s="298">
        <f>SUMIFS('MoDi Initiatives'!K:K,'MoDi Initiatives'!$E:$E,'Gap Analysis update'!$B37,'MoDi Initiatives'!$A:$A,'Gap Analysis update'!$A37,'MoDi Initiatives'!$B:$B,'Gap Analysis update'!AE$2)-SUMIFS('MoDi Initiatives'!K:K,'MoDi Initiatives'!$E:$E,'Gap Analysis update'!$B37,'MoDi Initiatives'!$A:$A,'Gap Analysis update'!$A37,'MoDi Initiatives'!$B:$B,'Gap Analysis update'!AE$2,'MoDi Initiatives'!$C:$C,'Gap Analysis update'!$B$7)</f>
        <v>0</v>
      </c>
      <c r="AF37" s="298">
        <f>SUMIFS('MoDi Initiatives'!L:L,'MoDi Initiatives'!$E:$E,'Gap Analysis update'!$B37,'MoDi Initiatives'!$A:$A,'Gap Analysis update'!$A37,'MoDi Initiatives'!$B:$B,'Gap Analysis update'!AF$2)-SUMIFS('MoDi Initiatives'!L:L,'MoDi Initiatives'!$E:$E,'Gap Analysis update'!$B37,'MoDi Initiatives'!$A:$A,'Gap Analysis update'!$A37,'MoDi Initiatives'!$B:$B,'Gap Analysis update'!AF$2,'MoDi Initiatives'!$C:$C,'Gap Analysis update'!$B$7)</f>
        <v>0</v>
      </c>
      <c r="AG37" s="298">
        <f>SUMIFS('MoDi Initiatives'!M:M,'MoDi Initiatives'!$E:$E,'Gap Analysis update'!$B37,'MoDi Initiatives'!$A:$A,'Gap Analysis update'!$A37,'MoDi Initiatives'!$B:$B,'Gap Analysis update'!AG$2)-SUMIFS('MoDi Initiatives'!M:M,'MoDi Initiatives'!$E:$E,'Gap Analysis update'!$B37,'MoDi Initiatives'!$A:$A,'Gap Analysis update'!$A37,'MoDi Initiatives'!$B:$B,'Gap Analysis update'!AG$2,'MoDi Initiatives'!$C:$C,'Gap Analysis update'!$B$7)</f>
        <v>-5.8927519151443994E-3</v>
      </c>
      <c r="AH37" s="298">
        <f>SUMIFS('MoDi Initiatives'!N:N,'MoDi Initiatives'!$E:$E,'Gap Analysis update'!$B37,'MoDi Initiatives'!$A:$A,'Gap Analysis update'!$A37,'MoDi Initiatives'!$B:$B,'Gap Analysis update'!AH$2)-SUMIFS('MoDi Initiatives'!N:N,'MoDi Initiatives'!$E:$E,'Gap Analysis update'!$B37,'MoDi Initiatives'!$A:$A,'Gap Analysis update'!$A37,'MoDi Initiatives'!$B:$B,'Gap Analysis update'!AH$2,'MoDi Initiatives'!$C:$C,'Gap Analysis update'!$B$7)</f>
        <v>0</v>
      </c>
      <c r="AI37" s="298">
        <f>SUMIFS('MoDi Initiatives'!O:O,'MoDi Initiatives'!$E:$E,'Gap Analysis update'!$B37,'MoDi Initiatives'!$A:$A,'Gap Analysis update'!$A37,'MoDi Initiatives'!$B:$B,'Gap Analysis update'!AI$2)-SUMIFS('MoDi Initiatives'!O:O,'MoDi Initiatives'!$E:$E,'Gap Analysis update'!$B37,'MoDi Initiatives'!$A:$A,'Gap Analysis update'!$A37,'MoDi Initiatives'!$B:$B,'Gap Analysis update'!AI$2,'MoDi Initiatives'!$C:$C,'Gap Analysis update'!$B$7)</f>
        <v>0</v>
      </c>
      <c r="AJ37" s="298">
        <f>SUMIFS('MoDi Initiatives'!P:P,'MoDi Initiatives'!$E:$E,'Gap Analysis update'!$B37,'MoDi Initiatives'!$A:$A,'Gap Analysis update'!$A37,'MoDi Initiatives'!$B:$B,'Gap Analysis update'!AJ$2)-SUMIFS('MoDi Initiatives'!P:P,'MoDi Initiatives'!$E:$E,'Gap Analysis update'!$B37,'MoDi Initiatives'!$A:$A,'Gap Analysis update'!$A37,'MoDi Initiatives'!$B:$B,'Gap Analysis update'!AJ$2,'MoDi Initiatives'!$C:$C,'Gap Analysis update'!$B$7)</f>
        <v>0</v>
      </c>
      <c r="AK37" s="298">
        <f>SUMIFS('MoDi Initiatives'!Q:Q,'MoDi Initiatives'!$E:$E,'Gap Analysis update'!$B37,'MoDi Initiatives'!$A:$A,'Gap Analysis update'!$A37,'MoDi Initiatives'!$B:$B,'Gap Analysis update'!AK$2)-SUMIFS('MoDi Initiatives'!Q:Q,'MoDi Initiatives'!$E:$E,'Gap Analysis update'!$B37,'MoDi Initiatives'!$A:$A,'Gap Analysis update'!$A37,'MoDi Initiatives'!$B:$B,'Gap Analysis update'!AK$2,'MoDi Initiatives'!$C:$C,'Gap Analysis update'!$B$7)</f>
        <v>1.2454841080526305E-3</v>
      </c>
      <c r="AL37" s="298">
        <f>SUMIFS('MoDi Initiatives'!R:R,'MoDi Initiatives'!$E:$E,'Gap Analysis update'!$B37,'MoDi Initiatives'!$A:$A,'Gap Analysis update'!$A37,'MoDi Initiatives'!$B:$B,'Gap Analysis update'!AL$2)-SUMIFS('MoDi Initiatives'!R:R,'MoDi Initiatives'!$E:$E,'Gap Analysis update'!$B37,'MoDi Initiatives'!$A:$A,'Gap Analysis update'!$A37,'MoDi Initiatives'!$B:$B,'Gap Analysis update'!AL$2,'MoDi Initiatives'!$C:$C,'Gap Analysis update'!$B$7)</f>
        <v>0</v>
      </c>
      <c r="AM37" s="298">
        <f>SUMIFS('MoDi Initiatives'!S:S,'MoDi Initiatives'!$E:$E,'Gap Analysis update'!$B37,'MoDi Initiatives'!$A:$A,'Gap Analysis update'!$A37,'MoDi Initiatives'!$B:$B,'Gap Analysis update'!AM$2)-SUMIFS('MoDi Initiatives'!S:S,'MoDi Initiatives'!$E:$E,'Gap Analysis update'!$B37,'MoDi Initiatives'!$A:$A,'Gap Analysis update'!$A37,'MoDi Initiatives'!$B:$B,'Gap Analysis update'!AM$2,'MoDi Initiatives'!$C:$C,'Gap Analysis update'!$B$7)</f>
        <v>0</v>
      </c>
      <c r="AN37" s="298">
        <f>SUMIFS('MoDi Initiatives'!T:T,'MoDi Initiatives'!$E:$E,'Gap Analysis update'!$B37,'MoDi Initiatives'!$A:$A,'Gap Analysis update'!$A37,'MoDi Initiatives'!$B:$B,'Gap Analysis update'!AN$2)-SUMIFS('MoDi Initiatives'!T:T,'MoDi Initiatives'!$E:$E,'Gap Analysis update'!$B37,'MoDi Initiatives'!$A:$A,'Gap Analysis update'!$A37,'MoDi Initiatives'!$B:$B,'Gap Analysis update'!AN$2,'MoDi Initiatives'!$C:$C,'Gap Analysis update'!$B$7)</f>
        <v>0</v>
      </c>
      <c r="AO37" s="298">
        <f>SUMIFS('MoDi Initiatives'!U:U,'MoDi Initiatives'!$E:$E,'Gap Analysis update'!$B37,'MoDi Initiatives'!$A:$A,'Gap Analysis update'!$A37,'MoDi Initiatives'!$B:$B,'Gap Analysis update'!AO$2)-SUMIFS('MoDi Initiatives'!U:U,'MoDi Initiatives'!$E:$E,'Gap Analysis update'!$B37,'MoDi Initiatives'!$A:$A,'Gap Analysis update'!$A37,'MoDi Initiatives'!$B:$B,'Gap Analysis update'!AO$2,'MoDi Initiatives'!$C:$C,'Gap Analysis update'!$B$7)</f>
        <v>0</v>
      </c>
      <c r="AP37" s="298">
        <f>SUMIFS('MoDi Initiatives'!V:V,'MoDi Initiatives'!$E:$E,'Gap Analysis update'!$B37,'MoDi Initiatives'!$A:$A,'Gap Analysis update'!$A37,'MoDi Initiatives'!$B:$B,'Gap Analysis update'!AP$2)-SUMIFS('MoDi Initiatives'!V:V,'MoDi Initiatives'!$E:$E,'Gap Analysis update'!$B37,'MoDi Initiatives'!$A:$A,'Gap Analysis update'!$A37,'MoDi Initiatives'!$B:$B,'Gap Analysis update'!AP$2,'MoDi Initiatives'!$C:$C,'Gap Analysis update'!$B$7)</f>
        <v>0</v>
      </c>
      <c r="AQ37" s="298">
        <f>SUMIFS('MoDi Initiatives'!W:W,'MoDi Initiatives'!$E:$E,'Gap Analysis update'!$B37,'MoDi Initiatives'!$A:$A,'Gap Analysis update'!$A37,'MoDi Initiatives'!$B:$B,'Gap Analysis update'!AQ$2)-SUMIFS('MoDi Initiatives'!W:W,'MoDi Initiatives'!$E:$E,'Gap Analysis update'!$B37,'MoDi Initiatives'!$A:$A,'Gap Analysis update'!$A37,'MoDi Initiatives'!$B:$B,'Gap Analysis update'!AQ$2,'MoDi Initiatives'!$C:$C,'Gap Analysis update'!$B$7)</f>
        <v>0</v>
      </c>
      <c r="AR37" s="293"/>
      <c r="AS37" s="303"/>
      <c r="AT37" s="303">
        <f t="shared" si="31"/>
        <v>0</v>
      </c>
      <c r="AU37" s="303">
        <f t="shared" si="31"/>
        <v>0</v>
      </c>
      <c r="AV37" s="303">
        <f t="shared" si="31"/>
        <v>0</v>
      </c>
      <c r="AW37" s="303">
        <f t="shared" si="31"/>
        <v>0</v>
      </c>
      <c r="AX37" s="303">
        <f t="shared" si="31"/>
        <v>0</v>
      </c>
      <c r="AY37" s="304">
        <f t="shared" si="31"/>
        <v>-5.8927519151443994E-3</v>
      </c>
      <c r="AZ37" s="303">
        <f t="shared" si="31"/>
        <v>0</v>
      </c>
      <c r="BA37" s="303">
        <f t="shared" si="31"/>
        <v>0</v>
      </c>
      <c r="BB37" s="303">
        <f t="shared" si="31"/>
        <v>0</v>
      </c>
      <c r="BC37" s="304">
        <f t="shared" si="31"/>
        <v>1.2454841080526305E-3</v>
      </c>
      <c r="BD37" s="303">
        <f t="shared" si="31"/>
        <v>0</v>
      </c>
      <c r="BE37" s="303">
        <f t="shared" si="31"/>
        <v>0</v>
      </c>
      <c r="BF37" s="303">
        <f t="shared" si="31"/>
        <v>0</v>
      </c>
      <c r="BG37" s="303">
        <f t="shared" si="31"/>
        <v>0</v>
      </c>
      <c r="BH37" s="303">
        <f t="shared" si="31"/>
        <v>0</v>
      </c>
      <c r="BI37" s="303">
        <f t="shared" si="31"/>
        <v>0</v>
      </c>
      <c r="BJ37" s="293"/>
      <c r="BK37" s="288"/>
      <c r="BL37" s="288"/>
      <c r="BM37" s="288"/>
      <c r="BN37" s="288"/>
      <c r="BO37" s="288"/>
      <c r="BP37" s="288" t="s">
        <v>22</v>
      </c>
      <c r="BQ37" s="288" t="s">
        <v>76</v>
      </c>
      <c r="BR37" s="288"/>
      <c r="BS37" s="288"/>
      <c r="BT37" s="288" t="s">
        <v>22</v>
      </c>
      <c r="BU37" s="288" t="s">
        <v>78</v>
      </c>
      <c r="BV37" s="288"/>
      <c r="BW37" s="288"/>
      <c r="BX37" s="288"/>
      <c r="BY37" s="288"/>
      <c r="BZ37" s="288"/>
      <c r="CA37" s="288"/>
      <c r="CB37" s="288"/>
    </row>
    <row r="38" spans="1:80" s="298" customFormat="1" ht="65">
      <c r="A38" s="296" t="s">
        <v>93</v>
      </c>
      <c r="B38" s="287" t="s">
        <v>49</v>
      </c>
      <c r="C38" s="288">
        <f t="shared" si="32"/>
        <v>0</v>
      </c>
      <c r="D38" s="289">
        <f t="shared" si="33"/>
        <v>0</v>
      </c>
      <c r="E38" s="289">
        <f t="shared" si="8"/>
        <v>0</v>
      </c>
      <c r="F38" s="286" t="s">
        <v>50</v>
      </c>
      <c r="G38" s="286"/>
      <c r="H38" s="297"/>
      <c r="J38" s="288">
        <f>SUMIFS('MoDi Initiatives'!H:H,'MoDi Initiatives'!$E:$E,'Gap Analysis update'!$B38,'MoDi Initiatives'!$A:$A,'Gap Analysis update'!$A38,'MoDi Initiatives'!$B:$B,'Gap Analysis update'!J$2)-SUMIFS('MoDi Initiatives'!H:H,'MoDi Initiatives'!$E:$E,'Gap Analysis update'!$B38,'MoDi Initiatives'!$A:$A,'Gap Analysis update'!$A38,'MoDi Initiatives'!$C:$C,'Gap Analysis update'!$B$7,'MoDi Initiatives'!$B:$B,'Gap Analysis update'!J$2)</f>
        <v>0</v>
      </c>
      <c r="K38" s="288">
        <f>SUMIFS('MoDi Initiatives'!I:I,'MoDi Initiatives'!$E:$E,'Gap Analysis update'!$B38,'MoDi Initiatives'!$A:$A,'Gap Analysis update'!$A38,'MoDi Initiatives'!$B:$B,'Gap Analysis update'!K$2)-SUMIFS('MoDi Initiatives'!I:I,'MoDi Initiatives'!$E:$E,'Gap Analysis update'!$B38,'MoDi Initiatives'!$A:$A,'Gap Analysis update'!$A38,'MoDi Initiatives'!$C:$C,'Gap Analysis update'!$B$7,'MoDi Initiatives'!$B:$B,'Gap Analysis update'!K$2)</f>
        <v>0</v>
      </c>
      <c r="L38" s="288">
        <f>SUMIFS('MoDi Initiatives'!J:J,'MoDi Initiatives'!$E:$E,'Gap Analysis update'!$B38,'MoDi Initiatives'!$A:$A,'Gap Analysis update'!$A38,'MoDi Initiatives'!$B:$B,'Gap Analysis update'!L$2)-SUMIFS('MoDi Initiatives'!J:J,'MoDi Initiatives'!$E:$E,'Gap Analysis update'!$B38,'MoDi Initiatives'!$A:$A,'Gap Analysis update'!$A38,'MoDi Initiatives'!$C:$C,'Gap Analysis update'!$B$7,'MoDi Initiatives'!$B:$B,'Gap Analysis update'!L$2)</f>
        <v>0</v>
      </c>
      <c r="M38" s="288">
        <f>SUMIFS('MoDi Initiatives'!K:K,'MoDi Initiatives'!$E:$E,'Gap Analysis update'!$B38,'MoDi Initiatives'!$A:$A,'Gap Analysis update'!$A38,'MoDi Initiatives'!$B:$B,'Gap Analysis update'!M$2)-SUMIFS('MoDi Initiatives'!K:K,'MoDi Initiatives'!$E:$E,'Gap Analysis update'!$B38,'MoDi Initiatives'!$A:$A,'Gap Analysis update'!$A38,'MoDi Initiatives'!$C:$C,'Gap Analysis update'!$B$7,'MoDi Initiatives'!$B:$B,'Gap Analysis update'!M$2)</f>
        <v>0</v>
      </c>
      <c r="N38" s="288">
        <f>SUMIFS('MoDi Initiatives'!L:L,'MoDi Initiatives'!$E:$E,'Gap Analysis update'!$B38,'MoDi Initiatives'!$A:$A,'Gap Analysis update'!$A38,'MoDi Initiatives'!$B:$B,'Gap Analysis update'!N$2)-SUMIFS('MoDi Initiatives'!L:L,'MoDi Initiatives'!$E:$E,'Gap Analysis update'!$B38,'MoDi Initiatives'!$A:$A,'Gap Analysis update'!$A38,'MoDi Initiatives'!$C:$C,'Gap Analysis update'!$B$7,'MoDi Initiatives'!$B:$B,'Gap Analysis update'!N$2)</f>
        <v>0</v>
      </c>
      <c r="O38" s="288">
        <f>SUMIFS('MoDi Initiatives'!M:M,'MoDi Initiatives'!$E:$E,'Gap Analysis update'!$B38,'MoDi Initiatives'!$A:$A,'Gap Analysis update'!$A38,'MoDi Initiatives'!$B:$B,'Gap Analysis update'!O$2)-SUMIFS('MoDi Initiatives'!M:M,'MoDi Initiatives'!$E:$E,'Gap Analysis update'!$B38,'MoDi Initiatives'!$A:$A,'Gap Analysis update'!$A38,'MoDi Initiatives'!$C:$C,'Gap Analysis update'!$B$7,'MoDi Initiatives'!$B:$B,'Gap Analysis update'!O$2)</f>
        <v>0</v>
      </c>
      <c r="P38" s="288">
        <f>SUMIFS('MoDi Initiatives'!N:N,'MoDi Initiatives'!$E:$E,'Gap Analysis update'!$B38,'MoDi Initiatives'!$A:$A,'Gap Analysis update'!$A38,'MoDi Initiatives'!$B:$B,'Gap Analysis update'!P$2)-SUMIFS('MoDi Initiatives'!N:N,'MoDi Initiatives'!$E:$E,'Gap Analysis update'!$B38,'MoDi Initiatives'!$A:$A,'Gap Analysis update'!$A38,'MoDi Initiatives'!$C:$C,'Gap Analysis update'!$B$7,'MoDi Initiatives'!$B:$B,'Gap Analysis update'!P$2)</f>
        <v>0</v>
      </c>
      <c r="Q38" s="288">
        <f>SUMIFS('MoDi Initiatives'!O:O,'MoDi Initiatives'!$E:$E,'Gap Analysis update'!$B38,'MoDi Initiatives'!$A:$A,'Gap Analysis update'!$A38,'MoDi Initiatives'!$B:$B,'Gap Analysis update'!Q$2)-SUMIFS('MoDi Initiatives'!O:O,'MoDi Initiatives'!$E:$E,'Gap Analysis update'!$B38,'MoDi Initiatives'!$A:$A,'Gap Analysis update'!$A38,'MoDi Initiatives'!$C:$C,'Gap Analysis update'!$B$7,'MoDi Initiatives'!$B:$B,'Gap Analysis update'!Q$2)</f>
        <v>0</v>
      </c>
      <c r="R38" s="288">
        <f>SUMIFS('MoDi Initiatives'!P:P,'MoDi Initiatives'!$E:$E,'Gap Analysis update'!$B38,'MoDi Initiatives'!$A:$A,'Gap Analysis update'!$A38,'MoDi Initiatives'!$B:$B,'Gap Analysis update'!R$2)-SUMIFS('MoDi Initiatives'!P:P,'MoDi Initiatives'!$E:$E,'Gap Analysis update'!$B38,'MoDi Initiatives'!$A:$A,'Gap Analysis update'!$A38,'MoDi Initiatives'!$C:$C,'Gap Analysis update'!$B$7,'MoDi Initiatives'!$B:$B,'Gap Analysis update'!R$2)</f>
        <v>0</v>
      </c>
      <c r="S38" s="288">
        <f>SUMIFS('MoDi Initiatives'!Q:Q,'MoDi Initiatives'!$E:$E,'Gap Analysis update'!$B38,'MoDi Initiatives'!$A:$A,'Gap Analysis update'!$A38,'MoDi Initiatives'!$B:$B,'Gap Analysis update'!S$2)-SUMIFS('MoDi Initiatives'!Q:Q,'MoDi Initiatives'!$E:$E,'Gap Analysis update'!$B38,'MoDi Initiatives'!$A:$A,'Gap Analysis update'!$A38,'MoDi Initiatives'!$C:$C,'Gap Analysis update'!$B$7,'MoDi Initiatives'!$B:$B,'Gap Analysis update'!S$2)</f>
        <v>0</v>
      </c>
      <c r="T38" s="288">
        <f>SUMIFS('MoDi Initiatives'!R:R,'MoDi Initiatives'!$E:$E,'Gap Analysis update'!$B38,'MoDi Initiatives'!$A:$A,'Gap Analysis update'!$A38,'MoDi Initiatives'!$B:$B,'Gap Analysis update'!T$2)-SUMIFS('MoDi Initiatives'!R:R,'MoDi Initiatives'!$E:$E,'Gap Analysis update'!$B38,'MoDi Initiatives'!$A:$A,'Gap Analysis update'!$A38,'MoDi Initiatives'!$C:$C,'Gap Analysis update'!$B$7,'MoDi Initiatives'!$B:$B,'Gap Analysis update'!T$2)</f>
        <v>0</v>
      </c>
      <c r="U38" s="288">
        <f>SUMIFS('MoDi Initiatives'!S:S,'MoDi Initiatives'!$E:$E,'Gap Analysis update'!$B38,'MoDi Initiatives'!$A:$A,'Gap Analysis update'!$A38,'MoDi Initiatives'!$B:$B,'Gap Analysis update'!U$2)-SUMIFS('MoDi Initiatives'!S:S,'MoDi Initiatives'!$E:$E,'Gap Analysis update'!$B38,'MoDi Initiatives'!$A:$A,'Gap Analysis update'!$A38,'MoDi Initiatives'!$C:$C,'Gap Analysis update'!$B$7,'MoDi Initiatives'!$B:$B,'Gap Analysis update'!U$2)</f>
        <v>0</v>
      </c>
      <c r="V38" s="288">
        <f>SUMIFS('MoDi Initiatives'!T:T,'MoDi Initiatives'!$E:$E,'Gap Analysis update'!$B38,'MoDi Initiatives'!$A:$A,'Gap Analysis update'!$A38,'MoDi Initiatives'!$B:$B,'Gap Analysis update'!V$2)-SUMIFS('MoDi Initiatives'!T:T,'MoDi Initiatives'!$E:$E,'Gap Analysis update'!$B38,'MoDi Initiatives'!$A:$A,'Gap Analysis update'!$A38,'MoDi Initiatives'!$C:$C,'Gap Analysis update'!$B$7,'MoDi Initiatives'!$B:$B,'Gap Analysis update'!V$2)</f>
        <v>0</v>
      </c>
      <c r="W38" s="288">
        <f>SUMIFS('MoDi Initiatives'!U:U,'MoDi Initiatives'!$E:$E,'Gap Analysis update'!$B38,'MoDi Initiatives'!$A:$A,'Gap Analysis update'!$A38,'MoDi Initiatives'!$B:$B,'Gap Analysis update'!W$2)-SUMIFS('MoDi Initiatives'!U:U,'MoDi Initiatives'!$E:$E,'Gap Analysis update'!$B38,'MoDi Initiatives'!$A:$A,'Gap Analysis update'!$A38,'MoDi Initiatives'!$C:$C,'Gap Analysis update'!$B$7,'MoDi Initiatives'!$B:$B,'Gap Analysis update'!W$2)</f>
        <v>0</v>
      </c>
      <c r="X38" s="288">
        <f>SUMIFS('MoDi Initiatives'!V:V,'MoDi Initiatives'!$E:$E,'Gap Analysis update'!$B38,'MoDi Initiatives'!$A:$A,'Gap Analysis update'!$A38,'MoDi Initiatives'!$B:$B,'Gap Analysis update'!X$2)-SUMIFS('MoDi Initiatives'!V:V,'MoDi Initiatives'!$E:$E,'Gap Analysis update'!$B38,'MoDi Initiatives'!$A:$A,'Gap Analysis update'!$A38,'MoDi Initiatives'!$C:$C,'Gap Analysis update'!$B$7,'MoDi Initiatives'!$B:$B,'Gap Analysis update'!X$2)</f>
        <v>0</v>
      </c>
      <c r="Y38" s="288">
        <f>SUMIFS('MoDi Initiatives'!W:W,'MoDi Initiatives'!$E:$E,'Gap Analysis update'!$B38,'MoDi Initiatives'!$A:$A,'Gap Analysis update'!$A38,'MoDi Initiatives'!$B:$B,'Gap Analysis update'!Y$2)-SUMIFS('MoDi Initiatives'!W:W,'MoDi Initiatives'!$E:$E,'Gap Analysis update'!$B38,'MoDi Initiatives'!$A:$A,'Gap Analysis update'!$A38,'MoDi Initiatives'!$C:$C,'Gap Analysis update'!$B$7,'MoDi Initiatives'!$B:$B,'Gap Analysis update'!Y$2)</f>
        <v>0</v>
      </c>
      <c r="Z38" s="293"/>
      <c r="AB38" s="298">
        <f>SUMIFS('MoDi Initiatives'!H:H,'MoDi Initiatives'!$E:$E,'Gap Analysis update'!$B38,'MoDi Initiatives'!$A:$A,'Gap Analysis update'!$A38,'MoDi Initiatives'!$B:$B,'Gap Analysis update'!AB$2)-SUMIFS('MoDi Initiatives'!H:H,'MoDi Initiatives'!$E:$E,'Gap Analysis update'!$B38,'MoDi Initiatives'!$A:$A,'Gap Analysis update'!$A38,'MoDi Initiatives'!$B:$B,'Gap Analysis update'!AB$2,'MoDi Initiatives'!$C:$C,'Gap Analysis update'!$B$7)</f>
        <v>0</v>
      </c>
      <c r="AC38" s="298">
        <f>SUMIFS('MoDi Initiatives'!I:I,'MoDi Initiatives'!$E:$E,'Gap Analysis update'!$B38,'MoDi Initiatives'!$A:$A,'Gap Analysis update'!$A38,'MoDi Initiatives'!$B:$B,'Gap Analysis update'!AC$2)-SUMIFS('MoDi Initiatives'!I:I,'MoDi Initiatives'!$E:$E,'Gap Analysis update'!$B38,'MoDi Initiatives'!$A:$A,'Gap Analysis update'!$A38,'MoDi Initiatives'!$B:$B,'Gap Analysis update'!AC$2,'MoDi Initiatives'!$C:$C,'Gap Analysis update'!$B$7)</f>
        <v>0</v>
      </c>
      <c r="AD38" s="298">
        <f>SUMIFS('MoDi Initiatives'!J:J,'MoDi Initiatives'!$E:$E,'Gap Analysis update'!$B38,'MoDi Initiatives'!$A:$A,'Gap Analysis update'!$A38,'MoDi Initiatives'!$B:$B,'Gap Analysis update'!AD$2)-SUMIFS('MoDi Initiatives'!J:J,'MoDi Initiatives'!$E:$E,'Gap Analysis update'!$B38,'MoDi Initiatives'!$A:$A,'Gap Analysis update'!$A38,'MoDi Initiatives'!$B:$B,'Gap Analysis update'!AD$2,'MoDi Initiatives'!$C:$C,'Gap Analysis update'!$B$7)</f>
        <v>0</v>
      </c>
      <c r="AE38" s="298">
        <f>SUMIFS('MoDi Initiatives'!K:K,'MoDi Initiatives'!$E:$E,'Gap Analysis update'!$B38,'MoDi Initiatives'!$A:$A,'Gap Analysis update'!$A38,'MoDi Initiatives'!$B:$B,'Gap Analysis update'!AE$2)-SUMIFS('MoDi Initiatives'!K:K,'MoDi Initiatives'!$E:$E,'Gap Analysis update'!$B38,'MoDi Initiatives'!$A:$A,'Gap Analysis update'!$A38,'MoDi Initiatives'!$B:$B,'Gap Analysis update'!AE$2,'MoDi Initiatives'!$C:$C,'Gap Analysis update'!$B$7)</f>
        <v>0</v>
      </c>
      <c r="AF38" s="298">
        <f>SUMIFS('MoDi Initiatives'!L:L,'MoDi Initiatives'!$E:$E,'Gap Analysis update'!$B38,'MoDi Initiatives'!$A:$A,'Gap Analysis update'!$A38,'MoDi Initiatives'!$B:$B,'Gap Analysis update'!AF$2)-SUMIFS('MoDi Initiatives'!L:L,'MoDi Initiatives'!$E:$E,'Gap Analysis update'!$B38,'MoDi Initiatives'!$A:$A,'Gap Analysis update'!$A38,'MoDi Initiatives'!$B:$B,'Gap Analysis update'!AF$2,'MoDi Initiatives'!$C:$C,'Gap Analysis update'!$B$7)</f>
        <v>0</v>
      </c>
      <c r="AG38" s="298">
        <f>SUMIFS('MoDi Initiatives'!M:M,'MoDi Initiatives'!$E:$E,'Gap Analysis update'!$B38,'MoDi Initiatives'!$A:$A,'Gap Analysis update'!$A38,'MoDi Initiatives'!$B:$B,'Gap Analysis update'!AG$2)-SUMIFS('MoDi Initiatives'!M:M,'MoDi Initiatives'!$E:$E,'Gap Analysis update'!$B38,'MoDi Initiatives'!$A:$A,'Gap Analysis update'!$A38,'MoDi Initiatives'!$B:$B,'Gap Analysis update'!AG$2,'MoDi Initiatives'!$C:$C,'Gap Analysis update'!$B$7)</f>
        <v>0</v>
      </c>
      <c r="AH38" s="298">
        <f>SUMIFS('MoDi Initiatives'!N:N,'MoDi Initiatives'!$E:$E,'Gap Analysis update'!$B38,'MoDi Initiatives'!$A:$A,'Gap Analysis update'!$A38,'MoDi Initiatives'!$B:$B,'Gap Analysis update'!AH$2)-SUMIFS('MoDi Initiatives'!N:N,'MoDi Initiatives'!$E:$E,'Gap Analysis update'!$B38,'MoDi Initiatives'!$A:$A,'Gap Analysis update'!$A38,'MoDi Initiatives'!$B:$B,'Gap Analysis update'!AH$2,'MoDi Initiatives'!$C:$C,'Gap Analysis update'!$B$7)</f>
        <v>0</v>
      </c>
      <c r="AI38" s="298">
        <f>SUMIFS('MoDi Initiatives'!O:O,'MoDi Initiatives'!$E:$E,'Gap Analysis update'!$B38,'MoDi Initiatives'!$A:$A,'Gap Analysis update'!$A38,'MoDi Initiatives'!$B:$B,'Gap Analysis update'!AI$2)-SUMIFS('MoDi Initiatives'!O:O,'MoDi Initiatives'!$E:$E,'Gap Analysis update'!$B38,'MoDi Initiatives'!$A:$A,'Gap Analysis update'!$A38,'MoDi Initiatives'!$B:$B,'Gap Analysis update'!AI$2,'MoDi Initiatives'!$C:$C,'Gap Analysis update'!$B$7)</f>
        <v>0</v>
      </c>
      <c r="AJ38" s="298">
        <f>SUMIFS('MoDi Initiatives'!P:P,'MoDi Initiatives'!$E:$E,'Gap Analysis update'!$B38,'MoDi Initiatives'!$A:$A,'Gap Analysis update'!$A38,'MoDi Initiatives'!$B:$B,'Gap Analysis update'!AJ$2)-SUMIFS('MoDi Initiatives'!P:P,'MoDi Initiatives'!$E:$E,'Gap Analysis update'!$B38,'MoDi Initiatives'!$A:$A,'Gap Analysis update'!$A38,'MoDi Initiatives'!$B:$B,'Gap Analysis update'!AJ$2,'MoDi Initiatives'!$C:$C,'Gap Analysis update'!$B$7)</f>
        <v>0</v>
      </c>
      <c r="AK38" s="298">
        <f>SUMIFS('MoDi Initiatives'!Q:Q,'MoDi Initiatives'!$E:$E,'Gap Analysis update'!$B38,'MoDi Initiatives'!$A:$A,'Gap Analysis update'!$A38,'MoDi Initiatives'!$B:$B,'Gap Analysis update'!AK$2)-SUMIFS('MoDi Initiatives'!Q:Q,'MoDi Initiatives'!$E:$E,'Gap Analysis update'!$B38,'MoDi Initiatives'!$A:$A,'Gap Analysis update'!$A38,'MoDi Initiatives'!$B:$B,'Gap Analysis update'!AK$2,'MoDi Initiatives'!$C:$C,'Gap Analysis update'!$B$7)</f>
        <v>0</v>
      </c>
      <c r="AL38" s="298">
        <f>SUMIFS('MoDi Initiatives'!R:R,'MoDi Initiatives'!$E:$E,'Gap Analysis update'!$B38,'MoDi Initiatives'!$A:$A,'Gap Analysis update'!$A38,'MoDi Initiatives'!$B:$B,'Gap Analysis update'!AL$2)-SUMIFS('MoDi Initiatives'!R:R,'MoDi Initiatives'!$E:$E,'Gap Analysis update'!$B38,'MoDi Initiatives'!$A:$A,'Gap Analysis update'!$A38,'MoDi Initiatives'!$B:$B,'Gap Analysis update'!AL$2,'MoDi Initiatives'!$C:$C,'Gap Analysis update'!$B$7)</f>
        <v>0</v>
      </c>
      <c r="AM38" s="298">
        <f>SUMIFS('MoDi Initiatives'!S:S,'MoDi Initiatives'!$E:$E,'Gap Analysis update'!$B38,'MoDi Initiatives'!$A:$A,'Gap Analysis update'!$A38,'MoDi Initiatives'!$B:$B,'Gap Analysis update'!AM$2)-SUMIFS('MoDi Initiatives'!S:S,'MoDi Initiatives'!$E:$E,'Gap Analysis update'!$B38,'MoDi Initiatives'!$A:$A,'Gap Analysis update'!$A38,'MoDi Initiatives'!$B:$B,'Gap Analysis update'!AM$2,'MoDi Initiatives'!$C:$C,'Gap Analysis update'!$B$7)</f>
        <v>0</v>
      </c>
      <c r="AN38" s="298">
        <f>SUMIFS('MoDi Initiatives'!T:T,'MoDi Initiatives'!$E:$E,'Gap Analysis update'!$B38,'MoDi Initiatives'!$A:$A,'Gap Analysis update'!$A38,'MoDi Initiatives'!$B:$B,'Gap Analysis update'!AN$2)-SUMIFS('MoDi Initiatives'!T:T,'MoDi Initiatives'!$E:$E,'Gap Analysis update'!$B38,'MoDi Initiatives'!$A:$A,'Gap Analysis update'!$A38,'MoDi Initiatives'!$B:$B,'Gap Analysis update'!AN$2,'MoDi Initiatives'!$C:$C,'Gap Analysis update'!$B$7)</f>
        <v>0</v>
      </c>
      <c r="AO38" s="298">
        <f>SUMIFS('MoDi Initiatives'!U:U,'MoDi Initiatives'!$E:$E,'Gap Analysis update'!$B38,'MoDi Initiatives'!$A:$A,'Gap Analysis update'!$A38,'MoDi Initiatives'!$B:$B,'Gap Analysis update'!AO$2)-SUMIFS('MoDi Initiatives'!U:U,'MoDi Initiatives'!$E:$E,'Gap Analysis update'!$B38,'MoDi Initiatives'!$A:$A,'Gap Analysis update'!$A38,'MoDi Initiatives'!$B:$B,'Gap Analysis update'!AO$2,'MoDi Initiatives'!$C:$C,'Gap Analysis update'!$B$7)</f>
        <v>0</v>
      </c>
      <c r="AP38" s="298">
        <f>SUMIFS('MoDi Initiatives'!V:V,'MoDi Initiatives'!$E:$E,'Gap Analysis update'!$B38,'MoDi Initiatives'!$A:$A,'Gap Analysis update'!$A38,'MoDi Initiatives'!$B:$B,'Gap Analysis update'!AP$2)-SUMIFS('MoDi Initiatives'!V:V,'MoDi Initiatives'!$E:$E,'Gap Analysis update'!$B38,'MoDi Initiatives'!$A:$A,'Gap Analysis update'!$A38,'MoDi Initiatives'!$B:$B,'Gap Analysis update'!AP$2,'MoDi Initiatives'!$C:$C,'Gap Analysis update'!$B$7)</f>
        <v>0</v>
      </c>
      <c r="AQ38" s="298">
        <f>SUMIFS('MoDi Initiatives'!W:W,'MoDi Initiatives'!$E:$E,'Gap Analysis update'!$B38,'MoDi Initiatives'!$A:$A,'Gap Analysis update'!$A38,'MoDi Initiatives'!$B:$B,'Gap Analysis update'!AQ$2)-SUMIFS('MoDi Initiatives'!W:W,'MoDi Initiatives'!$E:$E,'Gap Analysis update'!$B38,'MoDi Initiatives'!$A:$A,'Gap Analysis update'!$A38,'MoDi Initiatives'!$B:$B,'Gap Analysis update'!AQ$2,'MoDi Initiatives'!$C:$C,'Gap Analysis update'!$B$7)</f>
        <v>0</v>
      </c>
      <c r="AR38" s="293"/>
      <c r="AS38" s="303"/>
      <c r="AT38" s="303">
        <f t="shared" si="31"/>
        <v>0</v>
      </c>
      <c r="AU38" s="303">
        <f t="shared" si="31"/>
        <v>0</v>
      </c>
      <c r="AV38" s="303">
        <f t="shared" si="31"/>
        <v>0</v>
      </c>
      <c r="AW38" s="303">
        <f t="shared" si="31"/>
        <v>0</v>
      </c>
      <c r="AX38" s="303">
        <f t="shared" si="31"/>
        <v>0</v>
      </c>
      <c r="AY38" s="303">
        <f t="shared" si="31"/>
        <v>0</v>
      </c>
      <c r="AZ38" s="303">
        <f t="shared" si="31"/>
        <v>0</v>
      </c>
      <c r="BA38" s="303">
        <f t="shared" si="31"/>
        <v>0</v>
      </c>
      <c r="BB38" s="303">
        <f t="shared" si="31"/>
        <v>0</v>
      </c>
      <c r="BC38" s="303">
        <f t="shared" si="31"/>
        <v>0</v>
      </c>
      <c r="BD38" s="303">
        <f t="shared" si="31"/>
        <v>0</v>
      </c>
      <c r="BE38" s="303">
        <f t="shared" si="31"/>
        <v>0</v>
      </c>
      <c r="BF38" s="303">
        <f t="shared" si="31"/>
        <v>0</v>
      </c>
      <c r="BG38" s="303">
        <f t="shared" si="31"/>
        <v>0</v>
      </c>
      <c r="BH38" s="303">
        <f t="shared" si="31"/>
        <v>0</v>
      </c>
      <c r="BI38" s="303">
        <f t="shared" si="31"/>
        <v>0</v>
      </c>
      <c r="BJ38" s="293"/>
      <c r="BK38" s="288"/>
      <c r="BL38" s="288"/>
      <c r="BM38" s="288" t="s">
        <v>51</v>
      </c>
      <c r="BN38" s="288"/>
      <c r="BO38" s="288"/>
      <c r="BP38" s="288" t="s">
        <v>22</v>
      </c>
      <c r="BQ38" s="288"/>
      <c r="BR38" s="288" t="s">
        <v>52</v>
      </c>
      <c r="BS38" s="288" t="s">
        <v>51</v>
      </c>
      <c r="BT38" s="288" t="s">
        <v>22</v>
      </c>
      <c r="BU38" s="288"/>
      <c r="BV38" s="288"/>
      <c r="BW38" s="288"/>
      <c r="BX38" s="288"/>
      <c r="BY38" s="288"/>
      <c r="BZ38" s="288"/>
      <c r="CA38" s="288"/>
      <c r="CB38" s="288"/>
    </row>
    <row r="39" spans="1:80" s="298" customFormat="1" ht="39">
      <c r="A39" s="296" t="s">
        <v>93</v>
      </c>
      <c r="B39" s="287" t="s">
        <v>53</v>
      </c>
      <c r="C39" s="288">
        <f t="shared" si="32"/>
        <v>5.3952383955208245E-5</v>
      </c>
      <c r="D39" s="289">
        <f t="shared" si="33"/>
        <v>0</v>
      </c>
      <c r="E39" s="289">
        <f t="shared" si="8"/>
        <v>5.3952383955208245E-5</v>
      </c>
      <c r="F39" s="286" t="s">
        <v>54</v>
      </c>
      <c r="G39" s="286" t="s">
        <v>55</v>
      </c>
      <c r="H39" s="297"/>
      <c r="J39" s="288">
        <f>SUMIFS('MoDi Initiatives'!H:H,'MoDi Initiatives'!$E:$E,'Gap Analysis update'!$B39,'MoDi Initiatives'!$A:$A,'Gap Analysis update'!$A39,'MoDi Initiatives'!$B:$B,'Gap Analysis update'!J$2)-SUMIFS('MoDi Initiatives'!H:H,'MoDi Initiatives'!$E:$E,'Gap Analysis update'!$B39,'MoDi Initiatives'!$A:$A,'Gap Analysis update'!$A39,'MoDi Initiatives'!$C:$C,'Gap Analysis update'!$B$7,'MoDi Initiatives'!$B:$B,'Gap Analysis update'!J$2)</f>
        <v>0</v>
      </c>
      <c r="K39" s="288">
        <f>SUMIFS('MoDi Initiatives'!I:I,'MoDi Initiatives'!$E:$E,'Gap Analysis update'!$B39,'MoDi Initiatives'!$A:$A,'Gap Analysis update'!$A39,'MoDi Initiatives'!$B:$B,'Gap Analysis update'!K$2)-SUMIFS('MoDi Initiatives'!I:I,'MoDi Initiatives'!$E:$E,'Gap Analysis update'!$B39,'MoDi Initiatives'!$A:$A,'Gap Analysis update'!$A39,'MoDi Initiatives'!$C:$C,'Gap Analysis update'!$B$7,'MoDi Initiatives'!$B:$B,'Gap Analysis update'!K$2)</f>
        <v>0</v>
      </c>
      <c r="L39" s="288">
        <f>SUMIFS('MoDi Initiatives'!J:J,'MoDi Initiatives'!$E:$E,'Gap Analysis update'!$B39,'MoDi Initiatives'!$A:$A,'Gap Analysis update'!$A39,'MoDi Initiatives'!$B:$B,'Gap Analysis update'!L$2)-SUMIFS('MoDi Initiatives'!J:J,'MoDi Initiatives'!$E:$E,'Gap Analysis update'!$B39,'MoDi Initiatives'!$A:$A,'Gap Analysis update'!$A39,'MoDi Initiatives'!$C:$C,'Gap Analysis update'!$B$7,'MoDi Initiatives'!$B:$B,'Gap Analysis update'!L$2)</f>
        <v>0</v>
      </c>
      <c r="M39" s="288">
        <f>SUMIFS('MoDi Initiatives'!K:K,'MoDi Initiatives'!$E:$E,'Gap Analysis update'!$B39,'MoDi Initiatives'!$A:$A,'Gap Analysis update'!$A39,'MoDi Initiatives'!$B:$B,'Gap Analysis update'!M$2)-SUMIFS('MoDi Initiatives'!K:K,'MoDi Initiatives'!$E:$E,'Gap Analysis update'!$B39,'MoDi Initiatives'!$A:$A,'Gap Analysis update'!$A39,'MoDi Initiatives'!$C:$C,'Gap Analysis update'!$B$7,'MoDi Initiatives'!$B:$B,'Gap Analysis update'!M$2)</f>
        <v>-7.664517588016187E-3</v>
      </c>
      <c r="N39" s="288">
        <f>SUMIFS('MoDi Initiatives'!L:L,'MoDi Initiatives'!$E:$E,'Gap Analysis update'!$B39,'MoDi Initiatives'!$A:$A,'Gap Analysis update'!$A39,'MoDi Initiatives'!$B:$B,'Gap Analysis update'!N$2)-SUMIFS('MoDi Initiatives'!L:L,'MoDi Initiatives'!$E:$E,'Gap Analysis update'!$B39,'MoDi Initiatives'!$A:$A,'Gap Analysis update'!$A39,'MoDi Initiatives'!$C:$C,'Gap Analysis update'!$B$7,'MoDi Initiatives'!$B:$B,'Gap Analysis update'!N$2)</f>
        <v>0</v>
      </c>
      <c r="O39" s="288">
        <f>SUMIFS('MoDi Initiatives'!M:M,'MoDi Initiatives'!$E:$E,'Gap Analysis update'!$B39,'MoDi Initiatives'!$A:$A,'Gap Analysis update'!$A39,'MoDi Initiatives'!$B:$B,'Gap Analysis update'!O$2)-SUMIFS('MoDi Initiatives'!M:M,'MoDi Initiatives'!$E:$E,'Gap Analysis update'!$B39,'MoDi Initiatives'!$A:$A,'Gap Analysis update'!$A39,'MoDi Initiatives'!$C:$C,'Gap Analysis update'!$B$7,'MoDi Initiatives'!$B:$B,'Gap Analysis update'!O$2)</f>
        <v>0</v>
      </c>
      <c r="P39" s="288">
        <f>SUMIFS('MoDi Initiatives'!N:N,'MoDi Initiatives'!$E:$E,'Gap Analysis update'!$B39,'MoDi Initiatives'!$A:$A,'Gap Analysis update'!$A39,'MoDi Initiatives'!$B:$B,'Gap Analysis update'!P$2)-SUMIFS('MoDi Initiatives'!N:N,'MoDi Initiatives'!$E:$E,'Gap Analysis update'!$B39,'MoDi Initiatives'!$A:$A,'Gap Analysis update'!$A39,'MoDi Initiatives'!$C:$C,'Gap Analysis update'!$B$7,'MoDi Initiatives'!$B:$B,'Gap Analysis update'!P$2)</f>
        <v>0</v>
      </c>
      <c r="Q39" s="288">
        <f>SUMIFS('MoDi Initiatives'!O:O,'MoDi Initiatives'!$E:$E,'Gap Analysis update'!$B39,'MoDi Initiatives'!$A:$A,'Gap Analysis update'!$A39,'MoDi Initiatives'!$B:$B,'Gap Analysis update'!Q$2)-SUMIFS('MoDi Initiatives'!O:O,'MoDi Initiatives'!$E:$E,'Gap Analysis update'!$B39,'MoDi Initiatives'!$A:$A,'Gap Analysis update'!$A39,'MoDi Initiatives'!$C:$C,'Gap Analysis update'!$B$7,'MoDi Initiatives'!$B:$B,'Gap Analysis update'!Q$2)</f>
        <v>0</v>
      </c>
      <c r="R39" s="288">
        <f>SUMIFS('MoDi Initiatives'!P:P,'MoDi Initiatives'!$E:$E,'Gap Analysis update'!$B39,'MoDi Initiatives'!$A:$A,'Gap Analysis update'!$A39,'MoDi Initiatives'!$B:$B,'Gap Analysis update'!R$2)-SUMIFS('MoDi Initiatives'!P:P,'MoDi Initiatives'!$E:$E,'Gap Analysis update'!$B39,'MoDi Initiatives'!$A:$A,'Gap Analysis update'!$A39,'MoDi Initiatives'!$C:$C,'Gap Analysis update'!$B$7,'MoDi Initiatives'!$B:$B,'Gap Analysis update'!R$2)</f>
        <v>0</v>
      </c>
      <c r="S39" s="288">
        <f>SUMIFS('MoDi Initiatives'!Q:Q,'MoDi Initiatives'!$E:$E,'Gap Analysis update'!$B39,'MoDi Initiatives'!$A:$A,'Gap Analysis update'!$A39,'MoDi Initiatives'!$B:$B,'Gap Analysis update'!S$2)-SUMIFS('MoDi Initiatives'!Q:Q,'MoDi Initiatives'!$E:$E,'Gap Analysis update'!$B39,'MoDi Initiatives'!$A:$A,'Gap Analysis update'!$A39,'MoDi Initiatives'!$C:$C,'Gap Analysis update'!$B$7,'MoDi Initiatives'!$B:$B,'Gap Analysis update'!S$2)</f>
        <v>0</v>
      </c>
      <c r="T39" s="288">
        <f>SUMIFS('MoDi Initiatives'!R:R,'MoDi Initiatives'!$E:$E,'Gap Analysis update'!$B39,'MoDi Initiatives'!$A:$A,'Gap Analysis update'!$A39,'MoDi Initiatives'!$B:$B,'Gap Analysis update'!T$2)-SUMIFS('MoDi Initiatives'!R:R,'MoDi Initiatives'!$E:$E,'Gap Analysis update'!$B39,'MoDi Initiatives'!$A:$A,'Gap Analysis update'!$A39,'MoDi Initiatives'!$C:$C,'Gap Analysis update'!$B$7,'MoDi Initiatives'!$B:$B,'Gap Analysis update'!T$2)</f>
        <v>-7.664517588016187E-3</v>
      </c>
      <c r="U39" s="288">
        <f>SUMIFS('MoDi Initiatives'!S:S,'MoDi Initiatives'!$E:$E,'Gap Analysis update'!$B39,'MoDi Initiatives'!$A:$A,'Gap Analysis update'!$A39,'MoDi Initiatives'!$B:$B,'Gap Analysis update'!U$2)-SUMIFS('MoDi Initiatives'!S:S,'MoDi Initiatives'!$E:$E,'Gap Analysis update'!$B39,'MoDi Initiatives'!$A:$A,'Gap Analysis update'!$A39,'MoDi Initiatives'!$C:$C,'Gap Analysis update'!$B$7,'MoDi Initiatives'!$B:$B,'Gap Analysis update'!U$2)</f>
        <v>0</v>
      </c>
      <c r="V39" s="288">
        <f>SUMIFS('MoDi Initiatives'!T:T,'MoDi Initiatives'!$E:$E,'Gap Analysis update'!$B39,'MoDi Initiatives'!$A:$A,'Gap Analysis update'!$A39,'MoDi Initiatives'!$B:$B,'Gap Analysis update'!V$2)-SUMIFS('MoDi Initiatives'!T:T,'MoDi Initiatives'!$E:$E,'Gap Analysis update'!$B39,'MoDi Initiatives'!$A:$A,'Gap Analysis update'!$A39,'MoDi Initiatives'!$C:$C,'Gap Analysis update'!$B$7,'MoDi Initiatives'!$B:$B,'Gap Analysis update'!V$2)</f>
        <v>0</v>
      </c>
      <c r="W39" s="288">
        <f>SUMIFS('MoDi Initiatives'!U:U,'MoDi Initiatives'!$E:$E,'Gap Analysis update'!$B39,'MoDi Initiatives'!$A:$A,'Gap Analysis update'!$A39,'MoDi Initiatives'!$B:$B,'Gap Analysis update'!W$2)-SUMIFS('MoDi Initiatives'!U:U,'MoDi Initiatives'!$E:$E,'Gap Analysis update'!$B39,'MoDi Initiatives'!$A:$A,'Gap Analysis update'!$A39,'MoDi Initiatives'!$C:$C,'Gap Analysis update'!$B$7,'MoDi Initiatives'!$B:$B,'Gap Analysis update'!W$2)</f>
        <v>0</v>
      </c>
      <c r="X39" s="288">
        <f>SUMIFS('MoDi Initiatives'!V:V,'MoDi Initiatives'!$E:$E,'Gap Analysis update'!$B39,'MoDi Initiatives'!$A:$A,'Gap Analysis update'!$A39,'MoDi Initiatives'!$B:$B,'Gap Analysis update'!X$2)-SUMIFS('MoDi Initiatives'!V:V,'MoDi Initiatives'!$E:$E,'Gap Analysis update'!$B39,'MoDi Initiatives'!$A:$A,'Gap Analysis update'!$A39,'MoDi Initiatives'!$C:$C,'Gap Analysis update'!$B$7,'MoDi Initiatives'!$B:$B,'Gap Analysis update'!X$2)</f>
        <v>0</v>
      </c>
      <c r="Y39" s="288">
        <f>SUMIFS('MoDi Initiatives'!W:W,'MoDi Initiatives'!$E:$E,'Gap Analysis update'!$B39,'MoDi Initiatives'!$A:$A,'Gap Analysis update'!$A39,'MoDi Initiatives'!$B:$B,'Gap Analysis update'!Y$2)-SUMIFS('MoDi Initiatives'!W:W,'MoDi Initiatives'!$E:$E,'Gap Analysis update'!$B39,'MoDi Initiatives'!$A:$A,'Gap Analysis update'!$A39,'MoDi Initiatives'!$C:$C,'Gap Analysis update'!$B$7,'MoDi Initiatives'!$B:$B,'Gap Analysis update'!Y$2)</f>
        <v>0</v>
      </c>
      <c r="Z39" s="293"/>
      <c r="AB39" s="298">
        <f>SUMIFS('MoDi Initiatives'!H:H,'MoDi Initiatives'!$E:$E,'Gap Analysis update'!$B39,'MoDi Initiatives'!$A:$A,'Gap Analysis update'!$A39,'MoDi Initiatives'!$B:$B,'Gap Analysis update'!AB$2)-SUMIFS('MoDi Initiatives'!H:H,'MoDi Initiatives'!$E:$E,'Gap Analysis update'!$B39,'MoDi Initiatives'!$A:$A,'Gap Analysis update'!$A39,'MoDi Initiatives'!$B:$B,'Gap Analysis update'!AB$2,'MoDi Initiatives'!$C:$C,'Gap Analysis update'!$B$7)</f>
        <v>0</v>
      </c>
      <c r="AC39" s="298">
        <f>SUMIFS('MoDi Initiatives'!I:I,'MoDi Initiatives'!$E:$E,'Gap Analysis update'!$B39,'MoDi Initiatives'!$A:$A,'Gap Analysis update'!$A39,'MoDi Initiatives'!$B:$B,'Gap Analysis update'!AC$2)-SUMIFS('MoDi Initiatives'!I:I,'MoDi Initiatives'!$E:$E,'Gap Analysis update'!$B39,'MoDi Initiatives'!$A:$A,'Gap Analysis update'!$A39,'MoDi Initiatives'!$B:$B,'Gap Analysis update'!AC$2,'MoDi Initiatives'!$C:$C,'Gap Analysis update'!$B$7)</f>
        <v>0</v>
      </c>
      <c r="AD39" s="299">
        <f>SUMIFS('MoDi Initiatives'!J:J,'MoDi Initiatives'!$E:$E,'Gap Analysis update'!$B39,'MoDi Initiatives'!$A:$A,'Gap Analysis update'!$A39,'MoDi Initiatives'!$B:$B,'Gap Analysis update'!AD$2)-SUMIFS('MoDi Initiatives'!J:J,'MoDi Initiatives'!$E:$E,'Gap Analysis update'!$B39,'MoDi Initiatives'!$A:$A,'Gap Analysis update'!$A39,'MoDi Initiatives'!$B:$B,'Gap Analysis update'!AD$2,'MoDi Initiatives'!$C:$C,'Gap Analysis update'!$B$7)</f>
        <v>-7.6105652040609787E-3</v>
      </c>
      <c r="AE39" s="298">
        <f>SUMIFS('MoDi Initiatives'!K:K,'MoDi Initiatives'!$E:$E,'Gap Analysis update'!$B39,'MoDi Initiatives'!$A:$A,'Gap Analysis update'!$A39,'MoDi Initiatives'!$B:$B,'Gap Analysis update'!AE$2)-SUMIFS('MoDi Initiatives'!K:K,'MoDi Initiatives'!$E:$E,'Gap Analysis update'!$B39,'MoDi Initiatives'!$A:$A,'Gap Analysis update'!$A39,'MoDi Initiatives'!$B:$B,'Gap Analysis update'!AE$2,'MoDi Initiatives'!$C:$C,'Gap Analysis update'!$B$7)</f>
        <v>0</v>
      </c>
      <c r="AF39" s="298">
        <f>SUMIFS('MoDi Initiatives'!L:L,'MoDi Initiatives'!$E:$E,'Gap Analysis update'!$B39,'MoDi Initiatives'!$A:$A,'Gap Analysis update'!$A39,'MoDi Initiatives'!$B:$B,'Gap Analysis update'!AF$2)-SUMIFS('MoDi Initiatives'!L:L,'MoDi Initiatives'!$E:$E,'Gap Analysis update'!$B39,'MoDi Initiatives'!$A:$A,'Gap Analysis update'!$A39,'MoDi Initiatives'!$B:$B,'Gap Analysis update'!AF$2,'MoDi Initiatives'!$C:$C,'Gap Analysis update'!$B$7)</f>
        <v>0</v>
      </c>
      <c r="AG39" s="298">
        <f>SUMIFS('MoDi Initiatives'!M:M,'MoDi Initiatives'!$E:$E,'Gap Analysis update'!$B39,'MoDi Initiatives'!$A:$A,'Gap Analysis update'!$A39,'MoDi Initiatives'!$B:$B,'Gap Analysis update'!AG$2)-SUMIFS('MoDi Initiatives'!M:M,'MoDi Initiatives'!$E:$E,'Gap Analysis update'!$B39,'MoDi Initiatives'!$A:$A,'Gap Analysis update'!$A39,'MoDi Initiatives'!$B:$B,'Gap Analysis update'!AG$2,'MoDi Initiatives'!$C:$C,'Gap Analysis update'!$B$7)</f>
        <v>0</v>
      </c>
      <c r="AH39" s="298">
        <f>SUMIFS('MoDi Initiatives'!N:N,'MoDi Initiatives'!$E:$E,'Gap Analysis update'!$B39,'MoDi Initiatives'!$A:$A,'Gap Analysis update'!$A39,'MoDi Initiatives'!$B:$B,'Gap Analysis update'!AH$2)-SUMIFS('MoDi Initiatives'!N:N,'MoDi Initiatives'!$E:$E,'Gap Analysis update'!$B39,'MoDi Initiatives'!$A:$A,'Gap Analysis update'!$A39,'MoDi Initiatives'!$B:$B,'Gap Analysis update'!AH$2,'MoDi Initiatives'!$C:$C,'Gap Analysis update'!$B$7)</f>
        <v>0</v>
      </c>
      <c r="AI39" s="298">
        <f>SUMIFS('MoDi Initiatives'!O:O,'MoDi Initiatives'!$E:$E,'Gap Analysis update'!$B39,'MoDi Initiatives'!$A:$A,'Gap Analysis update'!$A39,'MoDi Initiatives'!$B:$B,'Gap Analysis update'!AI$2)-SUMIFS('MoDi Initiatives'!O:O,'MoDi Initiatives'!$E:$E,'Gap Analysis update'!$B39,'MoDi Initiatives'!$A:$A,'Gap Analysis update'!$A39,'MoDi Initiatives'!$B:$B,'Gap Analysis update'!AI$2,'MoDi Initiatives'!$C:$C,'Gap Analysis update'!$B$7)</f>
        <v>0</v>
      </c>
      <c r="AJ39" s="298">
        <f>SUMIFS('MoDi Initiatives'!P:P,'MoDi Initiatives'!$E:$E,'Gap Analysis update'!$B39,'MoDi Initiatives'!$A:$A,'Gap Analysis update'!$A39,'MoDi Initiatives'!$B:$B,'Gap Analysis update'!AJ$2)-SUMIFS('MoDi Initiatives'!P:P,'MoDi Initiatives'!$E:$E,'Gap Analysis update'!$B39,'MoDi Initiatives'!$A:$A,'Gap Analysis update'!$A39,'MoDi Initiatives'!$B:$B,'Gap Analysis update'!AJ$2,'MoDi Initiatives'!$C:$C,'Gap Analysis update'!$B$7)</f>
        <v>0</v>
      </c>
      <c r="AK39" s="298">
        <f>SUMIFS('MoDi Initiatives'!Q:Q,'MoDi Initiatives'!$E:$E,'Gap Analysis update'!$B39,'MoDi Initiatives'!$A:$A,'Gap Analysis update'!$A39,'MoDi Initiatives'!$B:$B,'Gap Analysis update'!AK$2)-SUMIFS('MoDi Initiatives'!Q:Q,'MoDi Initiatives'!$E:$E,'Gap Analysis update'!$B39,'MoDi Initiatives'!$A:$A,'Gap Analysis update'!$A39,'MoDi Initiatives'!$B:$B,'Gap Analysis update'!AK$2,'MoDi Initiatives'!$C:$C,'Gap Analysis update'!$B$7)</f>
        <v>0</v>
      </c>
      <c r="AL39" s="298">
        <f>SUMIFS('MoDi Initiatives'!R:R,'MoDi Initiatives'!$E:$E,'Gap Analysis update'!$B39,'MoDi Initiatives'!$A:$A,'Gap Analysis update'!$A39,'MoDi Initiatives'!$B:$B,'Gap Analysis update'!AL$2)-SUMIFS('MoDi Initiatives'!R:R,'MoDi Initiatives'!$E:$E,'Gap Analysis update'!$B39,'MoDi Initiatives'!$A:$A,'Gap Analysis update'!$A39,'MoDi Initiatives'!$B:$B,'Gap Analysis update'!AL$2,'MoDi Initiatives'!$C:$C,'Gap Analysis update'!$B$7)</f>
        <v>-7.664517588016187E-3</v>
      </c>
      <c r="AM39" s="299">
        <f>SUMIFS('MoDi Initiatives'!S:S,'MoDi Initiatives'!$E:$E,'Gap Analysis update'!$B39,'MoDi Initiatives'!$A:$A,'Gap Analysis update'!$A39,'MoDi Initiatives'!$B:$B,'Gap Analysis update'!AM$2)-SUMIFS('MoDi Initiatives'!S:S,'MoDi Initiatives'!$E:$E,'Gap Analysis update'!$B39,'MoDi Initiatives'!$A:$A,'Gap Analysis update'!$A39,'MoDi Initiatives'!$B:$B,'Gap Analysis update'!AM$2,'MoDi Initiatives'!$C:$C,'Gap Analysis update'!$B$7)</f>
        <v>0</v>
      </c>
      <c r="AN39" s="298">
        <f>SUMIFS('MoDi Initiatives'!T:T,'MoDi Initiatives'!$E:$E,'Gap Analysis update'!$B39,'MoDi Initiatives'!$A:$A,'Gap Analysis update'!$A39,'MoDi Initiatives'!$B:$B,'Gap Analysis update'!AN$2)-SUMIFS('MoDi Initiatives'!T:T,'MoDi Initiatives'!$E:$E,'Gap Analysis update'!$B39,'MoDi Initiatives'!$A:$A,'Gap Analysis update'!$A39,'MoDi Initiatives'!$B:$B,'Gap Analysis update'!AN$2,'MoDi Initiatives'!$C:$C,'Gap Analysis update'!$B$7)</f>
        <v>0</v>
      </c>
      <c r="AO39" s="298">
        <f>SUMIFS('MoDi Initiatives'!U:U,'MoDi Initiatives'!$E:$E,'Gap Analysis update'!$B39,'MoDi Initiatives'!$A:$A,'Gap Analysis update'!$A39,'MoDi Initiatives'!$B:$B,'Gap Analysis update'!AO$2)-SUMIFS('MoDi Initiatives'!U:U,'MoDi Initiatives'!$E:$E,'Gap Analysis update'!$B39,'MoDi Initiatives'!$A:$A,'Gap Analysis update'!$A39,'MoDi Initiatives'!$B:$B,'Gap Analysis update'!AO$2,'MoDi Initiatives'!$C:$C,'Gap Analysis update'!$B$7)</f>
        <v>0</v>
      </c>
      <c r="AP39" s="298">
        <f>SUMIFS('MoDi Initiatives'!V:V,'MoDi Initiatives'!$E:$E,'Gap Analysis update'!$B39,'MoDi Initiatives'!$A:$A,'Gap Analysis update'!$A39,'MoDi Initiatives'!$B:$B,'Gap Analysis update'!AP$2)-SUMIFS('MoDi Initiatives'!V:V,'MoDi Initiatives'!$E:$E,'Gap Analysis update'!$B39,'MoDi Initiatives'!$A:$A,'Gap Analysis update'!$A39,'MoDi Initiatives'!$B:$B,'Gap Analysis update'!AP$2,'MoDi Initiatives'!$C:$C,'Gap Analysis update'!$B$7)</f>
        <v>0</v>
      </c>
      <c r="AQ39" s="298">
        <f>SUMIFS('MoDi Initiatives'!W:W,'MoDi Initiatives'!$E:$E,'Gap Analysis update'!$B39,'MoDi Initiatives'!$A:$A,'Gap Analysis update'!$A39,'MoDi Initiatives'!$B:$B,'Gap Analysis update'!AQ$2)-SUMIFS('MoDi Initiatives'!W:W,'MoDi Initiatives'!$E:$E,'Gap Analysis update'!$B39,'MoDi Initiatives'!$A:$A,'Gap Analysis update'!$A39,'MoDi Initiatives'!$B:$B,'Gap Analysis update'!AQ$2,'MoDi Initiatives'!$C:$C,'Gap Analysis update'!$B$7)</f>
        <v>0</v>
      </c>
      <c r="AR39" s="293"/>
      <c r="AS39" s="303"/>
      <c r="AT39" s="303">
        <f t="shared" si="31"/>
        <v>0</v>
      </c>
      <c r="AU39" s="303">
        <f t="shared" si="31"/>
        <v>0</v>
      </c>
      <c r="AV39" s="303">
        <f t="shared" si="31"/>
        <v>-7.6105652040609787E-3</v>
      </c>
      <c r="AW39" s="303">
        <f t="shared" si="31"/>
        <v>7.664517588016187E-3</v>
      </c>
      <c r="AX39" s="303">
        <f t="shared" si="31"/>
        <v>0</v>
      </c>
      <c r="AY39" s="303">
        <f t="shared" si="31"/>
        <v>0</v>
      </c>
      <c r="AZ39" s="303">
        <f t="shared" si="31"/>
        <v>0</v>
      </c>
      <c r="BA39" s="303">
        <f t="shared" si="31"/>
        <v>0</v>
      </c>
      <c r="BB39" s="303">
        <f t="shared" si="31"/>
        <v>0</v>
      </c>
      <c r="BC39" s="303">
        <f t="shared" si="31"/>
        <v>0</v>
      </c>
      <c r="BD39" s="303">
        <f t="shared" si="31"/>
        <v>0</v>
      </c>
      <c r="BE39" s="303">
        <f t="shared" si="31"/>
        <v>0</v>
      </c>
      <c r="BF39" s="303">
        <f t="shared" si="31"/>
        <v>0</v>
      </c>
      <c r="BG39" s="303">
        <f t="shared" si="31"/>
        <v>0</v>
      </c>
      <c r="BH39" s="303">
        <f t="shared" si="31"/>
        <v>0</v>
      </c>
      <c r="BI39" s="303">
        <f t="shared" si="31"/>
        <v>0</v>
      </c>
      <c r="BJ39" s="293"/>
      <c r="BK39" s="288"/>
      <c r="BL39" s="288"/>
      <c r="BM39" s="288"/>
      <c r="BN39" s="288"/>
      <c r="BO39" s="288"/>
      <c r="BP39" s="288"/>
      <c r="BQ39" s="288"/>
      <c r="BR39" s="288"/>
      <c r="BS39" s="288"/>
      <c r="BT39" s="288"/>
      <c r="BU39" s="288"/>
      <c r="BV39" s="288"/>
      <c r="BW39" s="288"/>
      <c r="BX39" s="288"/>
      <c r="BY39" s="288"/>
      <c r="BZ39" s="288"/>
      <c r="CA39" s="288"/>
      <c r="CB39" s="288"/>
    </row>
    <row r="40" spans="1:80" s="298" customFormat="1" ht="52">
      <c r="A40" s="296" t="s">
        <v>93</v>
      </c>
      <c r="B40" s="287" t="s">
        <v>58</v>
      </c>
      <c r="C40" s="288">
        <f>SUM(AS40:BA40)</f>
        <v>-2.4358139509983246E-3</v>
      </c>
      <c r="D40" s="289">
        <f t="shared" si="33"/>
        <v>4.802617139016397E-2</v>
      </c>
      <c r="E40" s="289">
        <f t="shared" si="8"/>
        <v>4.5590357439165646E-2</v>
      </c>
      <c r="F40" s="286" t="s">
        <v>102</v>
      </c>
      <c r="G40" s="286" t="s">
        <v>103</v>
      </c>
      <c r="H40" s="297"/>
      <c r="J40" s="288">
        <f>SUMIFS('MoDi Initiatives'!H:H,'MoDi Initiatives'!$E:$E,'Gap Analysis update'!$B40,'MoDi Initiatives'!$A:$A,'Gap Analysis update'!$A40,'MoDi Initiatives'!$B:$B,'Gap Analysis update'!J$2)-SUMIFS('MoDi Initiatives'!H:H,'MoDi Initiatives'!$E:$E,'Gap Analysis update'!$B40,'MoDi Initiatives'!$A:$A,'Gap Analysis update'!$A40,'MoDi Initiatives'!$C:$C,'Gap Analysis update'!$B$7,'MoDi Initiatives'!$B:$B,'Gap Analysis update'!J$2)</f>
        <v>0</v>
      </c>
      <c r="K40" s="288">
        <f>SUMIFS('MoDi Initiatives'!I:I,'MoDi Initiatives'!$E:$E,'Gap Analysis update'!$B40,'MoDi Initiatives'!$A:$A,'Gap Analysis update'!$A40,'MoDi Initiatives'!$B:$B,'Gap Analysis update'!K$2)-SUMIFS('MoDi Initiatives'!I:I,'MoDi Initiatives'!$E:$E,'Gap Analysis update'!$B40,'MoDi Initiatives'!$A:$A,'Gap Analysis update'!$A40,'MoDi Initiatives'!$C:$C,'Gap Analysis update'!$B$7,'MoDi Initiatives'!$B:$B,'Gap Analysis update'!K$2)</f>
        <v>6.7064528895141636E-3</v>
      </c>
      <c r="L40" s="288">
        <f>SUMIFS('MoDi Initiatives'!J:J,'MoDi Initiatives'!$E:$E,'Gap Analysis update'!$B40,'MoDi Initiatives'!$A:$A,'Gap Analysis update'!$A40,'MoDi Initiatives'!$B:$B,'Gap Analysis update'!L$2)-SUMIFS('MoDi Initiatives'!J:J,'MoDi Initiatives'!$E:$E,'Gap Analysis update'!$B40,'MoDi Initiatives'!$A:$A,'Gap Analysis update'!$A40,'MoDi Initiatives'!$C:$C,'Gap Analysis update'!$B$7,'MoDi Initiatives'!$B:$B,'Gap Analysis update'!L$2)</f>
        <v>0</v>
      </c>
      <c r="M40" s="288">
        <f>SUMIFS('MoDi Initiatives'!K:K,'MoDi Initiatives'!$E:$E,'Gap Analysis update'!$B40,'MoDi Initiatives'!$A:$A,'Gap Analysis update'!$A40,'MoDi Initiatives'!$B:$B,'Gap Analysis update'!M$2)-SUMIFS('MoDi Initiatives'!K:K,'MoDi Initiatives'!$E:$E,'Gap Analysis update'!$B40,'MoDi Initiatives'!$A:$A,'Gap Analysis update'!$A40,'MoDi Initiatives'!$C:$C,'Gap Analysis update'!$B$7,'MoDi Initiatives'!$B:$B,'Gap Analysis update'!M$2)</f>
        <v>0</v>
      </c>
      <c r="N40" s="288">
        <f>SUMIFS('MoDi Initiatives'!L:L,'MoDi Initiatives'!$E:$E,'Gap Analysis update'!$B40,'MoDi Initiatives'!$A:$A,'Gap Analysis update'!$A40,'MoDi Initiatives'!$B:$B,'Gap Analysis update'!N$2)-SUMIFS('MoDi Initiatives'!L:L,'MoDi Initiatives'!$E:$E,'Gap Analysis update'!$B40,'MoDi Initiatives'!$A:$A,'Gap Analysis update'!$A40,'MoDi Initiatives'!$C:$C,'Gap Analysis update'!$B$7,'MoDi Initiatives'!$B:$B,'Gap Analysis update'!N$2)</f>
        <v>0</v>
      </c>
      <c r="O40" s="288">
        <f>SUMIFS('MoDi Initiatives'!M:M,'MoDi Initiatives'!$E:$E,'Gap Analysis update'!$B40,'MoDi Initiatives'!$A:$A,'Gap Analysis update'!$A40,'MoDi Initiatives'!$B:$B,'Gap Analysis update'!O$2)-SUMIFS('MoDi Initiatives'!M:M,'MoDi Initiatives'!$E:$E,'Gap Analysis update'!$B40,'MoDi Initiatives'!$A:$A,'Gap Analysis update'!$A40,'MoDi Initiatives'!$C:$C,'Gap Analysis update'!$B$7,'MoDi Initiatives'!$B:$B,'Gap Analysis update'!O$2)</f>
        <v>0</v>
      </c>
      <c r="P40" s="288">
        <f>SUMIFS('MoDi Initiatives'!N:N,'MoDi Initiatives'!$E:$E,'Gap Analysis update'!$B40,'MoDi Initiatives'!$A:$A,'Gap Analysis update'!$A40,'MoDi Initiatives'!$B:$B,'Gap Analysis update'!P$2)-SUMIFS('MoDi Initiatives'!N:N,'MoDi Initiatives'!$E:$E,'Gap Analysis update'!$B40,'MoDi Initiatives'!$A:$A,'Gap Analysis update'!$A40,'MoDi Initiatives'!$C:$C,'Gap Analysis update'!$B$7,'MoDi Initiatives'!$B:$B,'Gap Analysis update'!P$2)</f>
        <v>0</v>
      </c>
      <c r="Q40" s="288">
        <f>SUMIFS('MoDi Initiatives'!O:O,'MoDi Initiatives'!$E:$E,'Gap Analysis update'!$B40,'MoDi Initiatives'!$A:$A,'Gap Analysis update'!$A40,'MoDi Initiatives'!$B:$B,'Gap Analysis update'!Q$2)-SUMIFS('MoDi Initiatives'!O:O,'MoDi Initiatives'!$E:$E,'Gap Analysis update'!$B40,'MoDi Initiatives'!$A:$A,'Gap Analysis update'!$A40,'MoDi Initiatives'!$C:$C,'Gap Analysis update'!$B$7,'MoDi Initiatives'!$B:$B,'Gap Analysis update'!Q$2)</f>
        <v>0</v>
      </c>
      <c r="R40" s="288">
        <f>SUMIFS('MoDi Initiatives'!P:P,'MoDi Initiatives'!$E:$E,'Gap Analysis update'!$B40,'MoDi Initiatives'!$A:$A,'Gap Analysis update'!$A40,'MoDi Initiatives'!$B:$B,'Gap Analysis update'!R$2)-SUMIFS('MoDi Initiatives'!P:P,'MoDi Initiatives'!$E:$E,'Gap Analysis update'!$B40,'MoDi Initiatives'!$A:$A,'Gap Analysis update'!$A40,'MoDi Initiatives'!$C:$C,'Gap Analysis update'!$B$7,'MoDi Initiatives'!$B:$B,'Gap Analysis update'!R$2)</f>
        <v>-4.7903234925101172E-2</v>
      </c>
      <c r="S40" s="288">
        <f>SUMIFS('MoDi Initiatives'!Q:Q,'MoDi Initiatives'!$E:$E,'Gap Analysis update'!$B40,'MoDi Initiatives'!$A:$A,'Gap Analysis update'!$A40,'MoDi Initiatives'!$B:$B,'Gap Analysis update'!S$2)-SUMIFS('MoDi Initiatives'!Q:Q,'MoDi Initiatives'!$E:$E,'Gap Analysis update'!$B40,'MoDi Initiatives'!$A:$A,'Gap Analysis update'!$A40,'MoDi Initiatives'!$C:$C,'Gap Analysis update'!$B$7,'MoDi Initiatives'!$B:$B,'Gap Analysis update'!S$2)</f>
        <v>0</v>
      </c>
      <c r="T40" s="288">
        <f>SUMIFS('MoDi Initiatives'!R:R,'MoDi Initiatives'!$E:$E,'Gap Analysis update'!$B40,'MoDi Initiatives'!$A:$A,'Gap Analysis update'!$A40,'MoDi Initiatives'!$B:$B,'Gap Analysis update'!T$2)-SUMIFS('MoDi Initiatives'!R:R,'MoDi Initiatives'!$E:$E,'Gap Analysis update'!$B40,'MoDi Initiatives'!$A:$A,'Gap Analysis update'!$A40,'MoDi Initiatives'!$C:$C,'Gap Analysis update'!$B$7,'MoDi Initiatives'!$B:$B,'Gap Analysis update'!T$2)</f>
        <v>0</v>
      </c>
      <c r="U40" s="288">
        <f>SUMIFS('MoDi Initiatives'!S:S,'MoDi Initiatives'!$E:$E,'Gap Analysis update'!$B40,'MoDi Initiatives'!$A:$A,'Gap Analysis update'!$A40,'MoDi Initiatives'!$B:$B,'Gap Analysis update'!U$2)-SUMIFS('MoDi Initiatives'!S:S,'MoDi Initiatives'!$E:$E,'Gap Analysis update'!$B40,'MoDi Initiatives'!$A:$A,'Gap Analysis update'!$A40,'MoDi Initiatives'!$C:$C,'Gap Analysis update'!$B$7,'MoDi Initiatives'!$B:$B,'Gap Analysis update'!U$2)</f>
        <v>0</v>
      </c>
      <c r="V40" s="288">
        <f>SUMIFS('MoDi Initiatives'!T:T,'MoDi Initiatives'!$E:$E,'Gap Analysis update'!$B40,'MoDi Initiatives'!$A:$A,'Gap Analysis update'!$A40,'MoDi Initiatives'!$B:$B,'Gap Analysis update'!V$2)-SUMIFS('MoDi Initiatives'!T:T,'MoDi Initiatives'!$E:$E,'Gap Analysis update'!$B40,'MoDi Initiatives'!$A:$A,'Gap Analysis update'!$A40,'MoDi Initiatives'!$C:$C,'Gap Analysis update'!$B$7,'MoDi Initiatives'!$B:$B,'Gap Analysis update'!V$2)</f>
        <v>0</v>
      </c>
      <c r="W40" s="288">
        <f>SUMIFS('MoDi Initiatives'!U:U,'MoDi Initiatives'!$E:$E,'Gap Analysis update'!$B40,'MoDi Initiatives'!$A:$A,'Gap Analysis update'!$A40,'MoDi Initiatives'!$B:$B,'Gap Analysis update'!W$2)-SUMIFS('MoDi Initiatives'!U:U,'MoDi Initiatives'!$E:$E,'Gap Analysis update'!$B40,'MoDi Initiatives'!$A:$A,'Gap Analysis update'!$A40,'MoDi Initiatives'!$C:$C,'Gap Analysis update'!$B$7,'MoDi Initiatives'!$B:$B,'Gap Analysis update'!W$2)</f>
        <v>0</v>
      </c>
      <c r="X40" s="288">
        <f>SUMIFS('MoDi Initiatives'!V:V,'MoDi Initiatives'!$E:$E,'Gap Analysis update'!$B40,'MoDi Initiatives'!$A:$A,'Gap Analysis update'!$A40,'MoDi Initiatives'!$B:$B,'Gap Analysis update'!X$2)-SUMIFS('MoDi Initiatives'!V:V,'MoDi Initiatives'!$E:$E,'Gap Analysis update'!$B40,'MoDi Initiatives'!$A:$A,'Gap Analysis update'!$A40,'MoDi Initiatives'!$C:$C,'Gap Analysis update'!$B$7,'MoDi Initiatives'!$B:$B,'Gap Analysis update'!X$2)</f>
        <v>0</v>
      </c>
      <c r="Y40" s="288">
        <f>SUMIFS('MoDi Initiatives'!W:W,'MoDi Initiatives'!$E:$E,'Gap Analysis update'!$B40,'MoDi Initiatives'!$A:$A,'Gap Analysis update'!$A40,'MoDi Initiatives'!$B:$B,'Gap Analysis update'!Y$2)-SUMIFS('MoDi Initiatives'!W:W,'MoDi Initiatives'!$E:$E,'Gap Analysis update'!$B40,'MoDi Initiatives'!$A:$A,'Gap Analysis update'!$A40,'MoDi Initiatives'!$C:$C,'Gap Analysis update'!$B$7,'MoDi Initiatives'!$B:$B,'Gap Analysis update'!Y$2)</f>
        <v>0</v>
      </c>
      <c r="Z40" s="293"/>
      <c r="AB40" s="298">
        <f>SUMIFS('MoDi Initiatives'!H:H,'MoDi Initiatives'!$E:$E,'Gap Analysis update'!$B40,'MoDi Initiatives'!$A:$A,'Gap Analysis update'!$A40,'MoDi Initiatives'!$B:$B,'Gap Analysis update'!AB$2)-SUMIFS('MoDi Initiatives'!H:H,'MoDi Initiatives'!$E:$E,'Gap Analysis update'!$B40,'MoDi Initiatives'!$A:$A,'Gap Analysis update'!$A40,'MoDi Initiatives'!$B:$B,'Gap Analysis update'!AB$2,'MoDi Initiatives'!$C:$C,'Gap Analysis update'!$B$7)</f>
        <v>5.9852153953585227E-4</v>
      </c>
      <c r="AC40" s="298">
        <f>SUMIFS('MoDi Initiatives'!I:I,'MoDi Initiatives'!$E:$E,'Gap Analysis update'!$B40,'MoDi Initiatives'!$A:$A,'Gap Analysis update'!$A40,'MoDi Initiatives'!$B:$B,'Gap Analysis update'!AC$2)-SUMIFS('MoDi Initiatives'!I:I,'MoDi Initiatives'!$E:$E,'Gap Analysis update'!$B40,'MoDi Initiatives'!$A:$A,'Gap Analysis update'!$A40,'MoDi Initiatives'!$B:$B,'Gap Analysis update'!AC$2,'MoDi Initiatives'!$C:$C,'Gap Analysis update'!$B$7)</f>
        <v>6.7095817797817522E-3</v>
      </c>
      <c r="AD40" s="298">
        <f>SUMIFS('MoDi Initiatives'!J:J,'MoDi Initiatives'!$E:$E,'Gap Analysis update'!$B40,'MoDi Initiatives'!$A:$A,'Gap Analysis update'!$A40,'MoDi Initiatives'!$B:$B,'Gap Analysis update'!AD$2)-SUMIFS('MoDi Initiatives'!J:J,'MoDi Initiatives'!$E:$E,'Gap Analysis update'!$B40,'MoDi Initiatives'!$A:$A,'Gap Analysis update'!$A40,'MoDi Initiatives'!$B:$B,'Gap Analysis update'!AD$2,'MoDi Initiatives'!$C:$C,'Gap Analysis update'!$B$7)</f>
        <v>-6.0884521631996937E-5</v>
      </c>
      <c r="AE40" s="298">
        <f>SUMIFS('MoDi Initiatives'!K:K,'MoDi Initiatives'!$E:$E,'Gap Analysis update'!$B40,'MoDi Initiatives'!$A:$A,'Gap Analysis update'!$A40,'MoDi Initiatives'!$B:$B,'Gap Analysis update'!AE$2)-SUMIFS('MoDi Initiatives'!K:K,'MoDi Initiatives'!$E:$E,'Gap Analysis update'!$B40,'MoDi Initiatives'!$A:$A,'Gap Analysis update'!$A40,'MoDi Initiatives'!$B:$B,'Gap Analysis update'!AE$2,'MoDi Initiatives'!$C:$C,'Gap Analysis update'!$B$7)</f>
        <v>0</v>
      </c>
      <c r="AF40" s="298">
        <f>SUMIFS('MoDi Initiatives'!L:L,'MoDi Initiatives'!$E:$E,'Gap Analysis update'!$B40,'MoDi Initiatives'!$A:$A,'Gap Analysis update'!$A40,'MoDi Initiatives'!$B:$B,'Gap Analysis update'!AF$2)-SUMIFS('MoDi Initiatives'!L:L,'MoDi Initiatives'!$E:$E,'Gap Analysis update'!$B40,'MoDi Initiatives'!$A:$A,'Gap Analysis update'!$A40,'MoDi Initiatives'!$B:$B,'Gap Analysis update'!AF$2,'MoDi Initiatives'!$C:$C,'Gap Analysis update'!$B$7)</f>
        <v>0</v>
      </c>
      <c r="AG40" s="298">
        <f>SUMIFS('MoDi Initiatives'!M:M,'MoDi Initiatives'!$E:$E,'Gap Analysis update'!$B40,'MoDi Initiatives'!$A:$A,'Gap Analysis update'!$A40,'MoDi Initiatives'!$B:$B,'Gap Analysis update'!AG$2)-SUMIFS('MoDi Initiatives'!M:M,'MoDi Initiatives'!$E:$E,'Gap Analysis update'!$B40,'MoDi Initiatives'!$A:$A,'Gap Analysis update'!$A40,'MoDi Initiatives'!$B:$B,'Gap Analysis update'!AG$2,'MoDi Initiatives'!$C:$C,'Gap Analysis update'!$B$7)</f>
        <v>-2.6792115138126217E-3</v>
      </c>
      <c r="AH40" s="298">
        <f>SUMIFS('MoDi Initiatives'!N:N,'MoDi Initiatives'!$E:$E,'Gap Analysis update'!$B40,'MoDi Initiatives'!$A:$A,'Gap Analysis update'!$A40,'MoDi Initiatives'!$B:$B,'Gap Analysis update'!AH$2)-SUMIFS('MoDi Initiatives'!N:N,'MoDi Initiatives'!$E:$E,'Gap Analysis update'!$B40,'MoDi Initiatives'!$A:$A,'Gap Analysis update'!$A40,'MoDi Initiatives'!$B:$B,'Gap Analysis update'!AH$2,'MoDi Initiatives'!$C:$C,'Gap Analysis update'!$B$7)</f>
        <v>-1.4897137775626845E-4</v>
      </c>
      <c r="AI40" s="298">
        <f>SUMIFS('MoDi Initiatives'!O:O,'MoDi Initiatives'!$E:$E,'Gap Analysis update'!$B40,'MoDi Initiatives'!$A:$A,'Gap Analysis update'!$A40,'MoDi Initiatives'!$B:$B,'Gap Analysis update'!AI$2)-SUMIFS('MoDi Initiatives'!O:O,'MoDi Initiatives'!$E:$E,'Gap Analysis update'!$B40,'MoDi Initiatives'!$A:$A,'Gap Analysis update'!$A40,'MoDi Initiatives'!$B:$B,'Gap Analysis update'!AI$2,'MoDi Initiatives'!$C:$C,'Gap Analysis update'!$B$7)</f>
        <v>-1.4839696760087805E-4</v>
      </c>
      <c r="AJ40" s="288">
        <f>SUMIFS('MoDi Initiatives'!P:P,'MoDi Initiatives'!$E:$E,'Gap Analysis update'!$B40,'MoDi Initiatives'!$A:$A,'Gap Analysis update'!$A40,'MoDi Initiatives'!$B:$B,'Gap Analysis update'!AJ$2)-SUMIFS('MoDi Initiatives'!P:P,'MoDi Initiatives'!$E:$E,'Gap Analysis update'!$B40,'MoDi Initiatives'!$A:$A,'Gap Analysis update'!$A40,'MoDi Initiatives'!$B:$B,'Gap Analysis update'!AJ$2,'MoDi Initiatives'!$C:$C,'Gap Analysis update'!$B$7)</f>
        <v>1.2293646506279614E-4</v>
      </c>
      <c r="AK40" s="298">
        <f>SUMIFS('MoDi Initiatives'!Q:Q,'MoDi Initiatives'!$E:$E,'Gap Analysis update'!$B40,'MoDi Initiatives'!$A:$A,'Gap Analysis update'!$A40,'MoDi Initiatives'!$B:$B,'Gap Analysis update'!AK$2)-SUMIFS('MoDi Initiatives'!Q:Q,'MoDi Initiatives'!$E:$E,'Gap Analysis update'!$B40,'MoDi Initiatives'!$A:$A,'Gap Analysis update'!$A40,'MoDi Initiatives'!$B:$B,'Gap Analysis update'!AK$2,'MoDi Initiatives'!$C:$C,'Gap Analysis update'!$B$7)</f>
        <v>0</v>
      </c>
      <c r="AL40" s="298">
        <f>SUMIFS('MoDi Initiatives'!R:R,'MoDi Initiatives'!$E:$E,'Gap Analysis update'!$B40,'MoDi Initiatives'!$A:$A,'Gap Analysis update'!$A40,'MoDi Initiatives'!$B:$B,'Gap Analysis update'!AL$2)-SUMIFS('MoDi Initiatives'!R:R,'MoDi Initiatives'!$E:$E,'Gap Analysis update'!$B40,'MoDi Initiatives'!$A:$A,'Gap Analysis update'!$A40,'MoDi Initiatives'!$B:$B,'Gap Analysis update'!AL$2,'MoDi Initiatives'!$C:$C,'Gap Analysis update'!$B$7)</f>
        <v>0</v>
      </c>
      <c r="AM40" s="298">
        <f>SUMIFS('MoDi Initiatives'!S:S,'MoDi Initiatives'!$E:$E,'Gap Analysis update'!$B40,'MoDi Initiatives'!$A:$A,'Gap Analysis update'!$A40,'MoDi Initiatives'!$B:$B,'Gap Analysis update'!AM$2)-SUMIFS('MoDi Initiatives'!S:S,'MoDi Initiatives'!$E:$E,'Gap Analysis update'!$B40,'MoDi Initiatives'!$A:$A,'Gap Analysis update'!$A40,'MoDi Initiatives'!$B:$B,'Gap Analysis update'!AM$2,'MoDi Initiatives'!$C:$C,'Gap Analysis update'!$B$7)</f>
        <v>0</v>
      </c>
      <c r="AN40" s="298">
        <f>SUMIFS('MoDi Initiatives'!T:T,'MoDi Initiatives'!$E:$E,'Gap Analysis update'!$B40,'MoDi Initiatives'!$A:$A,'Gap Analysis update'!$A40,'MoDi Initiatives'!$B:$B,'Gap Analysis update'!AN$2)-SUMIFS('MoDi Initiatives'!T:T,'MoDi Initiatives'!$E:$E,'Gap Analysis update'!$B40,'MoDi Initiatives'!$A:$A,'Gap Analysis update'!$A40,'MoDi Initiatives'!$B:$B,'Gap Analysis update'!AN$2,'MoDi Initiatives'!$C:$C,'Gap Analysis update'!$B$7)</f>
        <v>0</v>
      </c>
      <c r="AO40" s="298">
        <f>SUMIFS('MoDi Initiatives'!U:U,'MoDi Initiatives'!$E:$E,'Gap Analysis update'!$B40,'MoDi Initiatives'!$A:$A,'Gap Analysis update'!$A40,'MoDi Initiatives'!$B:$B,'Gap Analysis update'!AO$2)-SUMIFS('MoDi Initiatives'!U:U,'MoDi Initiatives'!$E:$E,'Gap Analysis update'!$B40,'MoDi Initiatives'!$A:$A,'Gap Analysis update'!$A40,'MoDi Initiatives'!$B:$B,'Gap Analysis update'!AO$2,'MoDi Initiatives'!$C:$C,'Gap Analysis update'!$B$7)</f>
        <v>0</v>
      </c>
      <c r="AP40" s="298">
        <f>SUMIFS('MoDi Initiatives'!V:V,'MoDi Initiatives'!$E:$E,'Gap Analysis update'!$B40,'MoDi Initiatives'!$A:$A,'Gap Analysis update'!$A40,'MoDi Initiatives'!$B:$B,'Gap Analysis update'!AP$2)-SUMIFS('MoDi Initiatives'!V:V,'MoDi Initiatives'!$E:$E,'Gap Analysis update'!$B40,'MoDi Initiatives'!$A:$A,'Gap Analysis update'!$A40,'MoDi Initiatives'!$B:$B,'Gap Analysis update'!AP$2,'MoDi Initiatives'!$C:$C,'Gap Analysis update'!$B$7)</f>
        <v>0</v>
      </c>
      <c r="AQ40" s="298">
        <f>SUMIFS('MoDi Initiatives'!W:W,'MoDi Initiatives'!$E:$E,'Gap Analysis update'!$B40,'MoDi Initiatives'!$A:$A,'Gap Analysis update'!$A40,'MoDi Initiatives'!$B:$B,'Gap Analysis update'!AQ$2)-SUMIFS('MoDi Initiatives'!W:W,'MoDi Initiatives'!$E:$E,'Gap Analysis update'!$B40,'MoDi Initiatives'!$A:$A,'Gap Analysis update'!$A40,'MoDi Initiatives'!$B:$B,'Gap Analysis update'!AQ$2,'MoDi Initiatives'!$C:$C,'Gap Analysis update'!$B$7)</f>
        <v>0</v>
      </c>
      <c r="AR40" s="293"/>
      <c r="AS40" s="303"/>
      <c r="AT40" s="303">
        <f t="shared" si="31"/>
        <v>5.9852153953585227E-4</v>
      </c>
      <c r="AU40" s="303">
        <f t="shared" si="31"/>
        <v>3.1288902675886271E-6</v>
      </c>
      <c r="AV40" s="303">
        <f t="shared" si="31"/>
        <v>-6.0884521631996937E-5</v>
      </c>
      <c r="AW40" s="303">
        <f t="shared" si="31"/>
        <v>0</v>
      </c>
      <c r="AX40" s="303">
        <f t="shared" si="31"/>
        <v>0</v>
      </c>
      <c r="AY40" s="303">
        <f t="shared" si="31"/>
        <v>-2.6792115138126217E-3</v>
      </c>
      <c r="AZ40" s="303">
        <f t="shared" si="31"/>
        <v>-1.4897137775626845E-4</v>
      </c>
      <c r="BA40" s="303">
        <f t="shared" si="31"/>
        <v>-1.4839696760087805E-4</v>
      </c>
      <c r="BB40" s="303">
        <f t="shared" si="31"/>
        <v>4.802617139016397E-2</v>
      </c>
      <c r="BC40" s="303">
        <f t="shared" si="31"/>
        <v>0</v>
      </c>
      <c r="BD40" s="303">
        <f t="shared" si="31"/>
        <v>0</v>
      </c>
      <c r="BE40" s="303">
        <f t="shared" si="31"/>
        <v>0</v>
      </c>
      <c r="BF40" s="303">
        <f t="shared" si="31"/>
        <v>0</v>
      </c>
      <c r="BG40" s="303">
        <f t="shared" si="31"/>
        <v>0</v>
      </c>
      <c r="BH40" s="303">
        <f t="shared" si="31"/>
        <v>0</v>
      </c>
      <c r="BI40" s="303">
        <f t="shared" si="31"/>
        <v>0</v>
      </c>
      <c r="BJ40" s="293"/>
      <c r="BK40" s="288"/>
      <c r="BL40" s="288" t="s">
        <v>104</v>
      </c>
      <c r="BM40" s="288"/>
      <c r="BN40" s="288" t="s">
        <v>62</v>
      </c>
      <c r="BO40" s="288"/>
      <c r="BP40" s="288" t="s">
        <v>22</v>
      </c>
      <c r="BQ40" s="288" t="s">
        <v>105</v>
      </c>
      <c r="BR40" s="288" t="s">
        <v>62</v>
      </c>
      <c r="BS40" s="288" t="s">
        <v>62</v>
      </c>
      <c r="BT40" s="288" t="s">
        <v>106</v>
      </c>
      <c r="BU40" s="288"/>
      <c r="BV40" s="288"/>
      <c r="BW40" s="288"/>
      <c r="BX40" s="288"/>
      <c r="BY40" s="288"/>
      <c r="BZ40" s="288"/>
      <c r="CA40" s="288"/>
      <c r="CB40" s="288"/>
    </row>
    <row r="41" spans="1:80" s="299" customFormat="1" ht="12" customHeight="1">
      <c r="A41" s="300" t="s">
        <v>107</v>
      </c>
      <c r="B41" s="275" t="s">
        <v>20</v>
      </c>
      <c r="C41" s="276">
        <f>AI41-Q41</f>
        <v>0.23071161866805356</v>
      </c>
      <c r="D41" s="277">
        <f>AQ41-Y41-C41</f>
        <v>4.9924129321276878E-2</v>
      </c>
      <c r="E41" s="277">
        <f t="shared" si="8"/>
        <v>0.28063574798933044</v>
      </c>
      <c r="F41" s="278"/>
      <c r="G41" s="278"/>
      <c r="H41" s="285"/>
      <c r="I41" s="276">
        <v>2.0773645103514742</v>
      </c>
      <c r="J41" s="280">
        <f>+I41+J42+J43</f>
        <v>2.0773645103514742</v>
      </c>
      <c r="K41" s="280">
        <f>+J41+K42+K43</f>
        <v>2.0773645103514742</v>
      </c>
      <c r="L41" s="305">
        <v>2.0972126353256528</v>
      </c>
      <c r="M41" s="280">
        <f>+L41+M42+M43</f>
        <v>2.0895481177376367</v>
      </c>
      <c r="N41" s="280">
        <f t="shared" ref="N41:Y41" si="34">+M41+N42+N43</f>
        <v>2.0895481177376367</v>
      </c>
      <c r="O41" s="280">
        <f t="shared" si="34"/>
        <v>1.968866298073241</v>
      </c>
      <c r="P41" s="280">
        <f t="shared" si="34"/>
        <v>1.8759507960042545</v>
      </c>
      <c r="Q41" s="280">
        <f t="shared" si="34"/>
        <v>1.8759507960042545</v>
      </c>
      <c r="R41" s="280">
        <f t="shared" si="34"/>
        <v>1.8759507960042545</v>
      </c>
      <c r="S41" s="280">
        <f t="shared" si="34"/>
        <v>1.8759507960042545</v>
      </c>
      <c r="T41" s="280">
        <f t="shared" si="34"/>
        <v>1.8682862784162384</v>
      </c>
      <c r="U41" s="280">
        <f t="shared" si="34"/>
        <v>1.8682862784162384</v>
      </c>
      <c r="V41" s="280">
        <f t="shared" si="34"/>
        <v>1.8615813704714606</v>
      </c>
      <c r="W41" s="280">
        <f t="shared" si="34"/>
        <v>1.8615813704714606</v>
      </c>
      <c r="X41" s="280">
        <f t="shared" si="34"/>
        <v>1.8615813704714606</v>
      </c>
      <c r="Y41" s="280">
        <f t="shared" si="34"/>
        <v>1.8615813704714606</v>
      </c>
      <c r="Z41" s="285"/>
      <c r="AA41" s="276"/>
      <c r="AB41" s="280"/>
      <c r="AC41" s="305">
        <v>2.1694276348031534</v>
      </c>
      <c r="AD41" s="280">
        <f>+AC41+AD42+AD43</f>
        <v>2.1615977495079748</v>
      </c>
      <c r="AE41" s="280">
        <f t="shared" ref="AE41:AI41" si="35">+AD41+AE42+AE43</f>
        <v>2.1615977495079748</v>
      </c>
      <c r="AF41" s="280">
        <f t="shared" si="35"/>
        <v>2.1615977495079748</v>
      </c>
      <c r="AG41" s="280">
        <f t="shared" si="35"/>
        <v>2.1445914251487004</v>
      </c>
      <c r="AH41" s="280">
        <f t="shared" si="35"/>
        <v>2.1229059365745959</v>
      </c>
      <c r="AI41" s="280">
        <f t="shared" si="35"/>
        <v>2.1066624146723081</v>
      </c>
      <c r="AJ41" s="280">
        <f>+AI41+AJ42+AJ43</f>
        <v>2.1068476342543634</v>
      </c>
      <c r="AK41" s="280">
        <f t="shared" ref="AK41:AS41" si="36">+AJ41+AK42+AK43</f>
        <v>2.1360752503001783</v>
      </c>
      <c r="AL41" s="280">
        <f t="shared" si="36"/>
        <v>2.1284107327121622</v>
      </c>
      <c r="AM41" s="280">
        <f t="shared" si="36"/>
        <v>2.1054689607611823</v>
      </c>
      <c r="AN41" s="280">
        <f t="shared" si="36"/>
        <v>2.1030770688399061</v>
      </c>
      <c r="AO41" s="280">
        <f t="shared" si="36"/>
        <v>2.142217118460791</v>
      </c>
      <c r="AP41" s="280">
        <f t="shared" si="36"/>
        <v>2.142217118460791</v>
      </c>
      <c r="AQ41" s="280">
        <f t="shared" si="36"/>
        <v>2.142217118460791</v>
      </c>
      <c r="AR41" s="280" t="e">
        <f t="shared" si="36"/>
        <v>#VALUE!</v>
      </c>
      <c r="AS41" s="280" t="e">
        <f t="shared" si="36"/>
        <v>#VALUE!</v>
      </c>
      <c r="AT41" s="284">
        <f t="shared" si="31"/>
        <v>-2.0773645103514742</v>
      </c>
      <c r="AU41" s="284">
        <f t="shared" si="31"/>
        <v>9.206312445167919E-2</v>
      </c>
      <c r="AV41" s="284">
        <f t="shared" si="31"/>
        <v>6.4385114182321956E-2</v>
      </c>
      <c r="AW41" s="284">
        <f t="shared" si="31"/>
        <v>7.2049631770338074E-2</v>
      </c>
      <c r="AX41" s="284">
        <f t="shared" si="31"/>
        <v>7.2049631770338074E-2</v>
      </c>
      <c r="AY41" s="284">
        <f t="shared" si="31"/>
        <v>0.1757251270754594</v>
      </c>
      <c r="AZ41" s="284">
        <f>AH41-P41</f>
        <v>0.2469551405703414</v>
      </c>
      <c r="BA41" s="284">
        <f t="shared" si="31"/>
        <v>0.23071161866805356</v>
      </c>
      <c r="BB41" s="284">
        <f>AJ41-R41</f>
        <v>0.23089683825010887</v>
      </c>
      <c r="BC41" s="284">
        <f t="shared" si="31"/>
        <v>0.26012445429592379</v>
      </c>
      <c r="BD41" s="284">
        <f t="shared" si="31"/>
        <v>0.26012445429592379</v>
      </c>
      <c r="BE41" s="284">
        <f t="shared" si="31"/>
        <v>0.23718268234494388</v>
      </c>
      <c r="BF41" s="284">
        <f t="shared" si="31"/>
        <v>0.24149569836844553</v>
      </c>
      <c r="BG41" s="284">
        <f t="shared" si="31"/>
        <v>0.28063574798933044</v>
      </c>
      <c r="BH41" s="284">
        <f t="shared" si="31"/>
        <v>0.28063574798933044</v>
      </c>
      <c r="BI41" s="284">
        <f t="shared" si="31"/>
        <v>0.28063574798933044</v>
      </c>
      <c r="BJ41" s="285"/>
      <c r="BK41" s="288"/>
      <c r="BL41" s="288"/>
      <c r="BM41" s="288"/>
      <c r="BN41" s="288"/>
      <c r="BO41" s="288"/>
      <c r="BP41" s="288"/>
      <c r="BQ41" s="288"/>
      <c r="BR41" s="288"/>
      <c r="BS41" s="288"/>
      <c r="BT41" s="288"/>
      <c r="BU41" s="288"/>
      <c r="BV41" s="288"/>
      <c r="BW41" s="288"/>
      <c r="BX41" s="288"/>
      <c r="BY41" s="288"/>
      <c r="BZ41" s="288"/>
      <c r="CA41" s="288"/>
      <c r="CB41" s="288"/>
    </row>
    <row r="42" spans="1:80" s="299" customFormat="1" ht="12" customHeight="1">
      <c r="A42" s="300" t="s">
        <v>107</v>
      </c>
      <c r="B42" s="275" t="s">
        <v>21</v>
      </c>
      <c r="C42" s="276">
        <f>SUM(AT42:BA42)</f>
        <v>0.13049431721202373</v>
      </c>
      <c r="D42" s="277">
        <f>SUM(BB42:BI42)</f>
        <v>7.5382091848354635E-3</v>
      </c>
      <c r="E42" s="277">
        <f t="shared" si="8"/>
        <v>0.1380325263968592</v>
      </c>
      <c r="F42" s="278"/>
      <c r="G42" s="278"/>
      <c r="H42" s="285"/>
      <c r="I42" s="280"/>
      <c r="J42" s="280"/>
      <c r="K42" s="280"/>
      <c r="L42" s="280">
        <f>SUBTOTAL(9,L44:L49)</f>
        <v>2.8002301978529508E-2</v>
      </c>
      <c r="M42" s="280">
        <f t="shared" ref="M42:Y42" si="37">SUBTOTAL(9,M44:M49)</f>
        <v>-7.664517588016187E-3</v>
      </c>
      <c r="N42" s="280">
        <f t="shared" si="37"/>
        <v>0</v>
      </c>
      <c r="O42" s="280">
        <f t="shared" si="37"/>
        <v>-0.12068181966439584</v>
      </c>
      <c r="P42" s="280">
        <f t="shared" si="37"/>
        <v>-9.2915502068986522E-2</v>
      </c>
      <c r="Q42" s="280">
        <f t="shared" si="37"/>
        <v>0</v>
      </c>
      <c r="R42" s="280">
        <f t="shared" si="37"/>
        <v>0</v>
      </c>
      <c r="S42" s="280">
        <f t="shared" si="37"/>
        <v>0</v>
      </c>
      <c r="T42" s="280">
        <f t="shared" si="37"/>
        <v>-7.664517588016187E-3</v>
      </c>
      <c r="U42" s="280">
        <f t="shared" si="37"/>
        <v>0</v>
      </c>
      <c r="V42" s="280">
        <f t="shared" si="37"/>
        <v>-6.7049079447777391E-3</v>
      </c>
      <c r="W42" s="280">
        <f t="shared" si="37"/>
        <v>0</v>
      </c>
      <c r="X42" s="280">
        <f t="shared" si="37"/>
        <v>0</v>
      </c>
      <c r="Y42" s="280">
        <f t="shared" si="37"/>
        <v>0</v>
      </c>
      <c r="Z42" s="285"/>
      <c r="AA42" s="285"/>
      <c r="AB42" s="280">
        <f>SUBTOTAL(9,AB44:AB49)</f>
        <v>0</v>
      </c>
      <c r="AC42" s="280">
        <f t="shared" ref="AC42:AM42" si="38">SUBTOTAL(9,AC44:AC49)</f>
        <v>0</v>
      </c>
      <c r="AD42" s="280">
        <f>SUBTOTAL(9,AD44:AD49)</f>
        <v>-7.8298852951783765E-3</v>
      </c>
      <c r="AE42" s="280">
        <f t="shared" si="38"/>
        <v>0</v>
      </c>
      <c r="AF42" s="280">
        <f t="shared" si="38"/>
        <v>0</v>
      </c>
      <c r="AG42" s="280">
        <f t="shared" si="38"/>
        <v>-1.7006324359274568E-2</v>
      </c>
      <c r="AH42" s="280">
        <f t="shared" si="38"/>
        <v>-2.1685488574104402E-2</v>
      </c>
      <c r="AI42" s="280">
        <f t="shared" si="38"/>
        <v>-1.6243521902287953E-2</v>
      </c>
      <c r="AJ42" s="280">
        <f t="shared" si="38"/>
        <v>1.8521958205515096E-4</v>
      </c>
      <c r="AK42" s="280">
        <f t="shared" si="38"/>
        <v>-4.8155195886663464E-3</v>
      </c>
      <c r="AL42" s="280">
        <f t="shared" si="38"/>
        <v>-7.664517588016187E-3</v>
      </c>
      <c r="AM42" s="280">
        <f t="shared" si="38"/>
        <v>-3.1284556452939899E-2</v>
      </c>
      <c r="AN42" s="280">
        <f>SUBTOTAL(9,AN44:AN49)</f>
        <v>-2.3918919212763136E-3</v>
      </c>
      <c r="AO42" s="280">
        <f t="shared" ref="AO42:AQ42" si="39">SUBTOTAL(9,AO44:AO49)</f>
        <v>3.9140049620885131E-2</v>
      </c>
      <c r="AP42" s="280">
        <f t="shared" si="39"/>
        <v>0</v>
      </c>
      <c r="AQ42" s="280">
        <f t="shared" si="39"/>
        <v>0</v>
      </c>
      <c r="AR42" s="285"/>
      <c r="AS42" s="284">
        <f>I42-AA42</f>
        <v>0</v>
      </c>
      <c r="AT42" s="284">
        <f>AB42-J42</f>
        <v>0</v>
      </c>
      <c r="AU42" s="284">
        <f t="shared" si="31"/>
        <v>0</v>
      </c>
      <c r="AV42" s="284">
        <f t="shared" si="31"/>
        <v>-3.5832187273707884E-2</v>
      </c>
      <c r="AW42" s="284">
        <f t="shared" si="31"/>
        <v>7.664517588016187E-3</v>
      </c>
      <c r="AX42" s="284">
        <f t="shared" si="31"/>
        <v>0</v>
      </c>
      <c r="AY42" s="284">
        <f t="shared" si="31"/>
        <v>0.10367549530512127</v>
      </c>
      <c r="AZ42" s="284">
        <f t="shared" si="31"/>
        <v>7.1230013494882116E-2</v>
      </c>
      <c r="BA42" s="284">
        <f t="shared" si="31"/>
        <v>-1.6243521902287953E-2</v>
      </c>
      <c r="BB42" s="284">
        <f t="shared" si="31"/>
        <v>1.8521958205515096E-4</v>
      </c>
      <c r="BC42" s="284">
        <f t="shared" si="31"/>
        <v>-4.8155195886663464E-3</v>
      </c>
      <c r="BD42" s="284">
        <f t="shared" si="31"/>
        <v>0</v>
      </c>
      <c r="BE42" s="284">
        <f t="shared" si="31"/>
        <v>-3.1284556452939899E-2</v>
      </c>
      <c r="BF42" s="284">
        <f t="shared" si="31"/>
        <v>4.3130160235014259E-3</v>
      </c>
      <c r="BG42" s="284">
        <f t="shared" si="31"/>
        <v>3.9140049620885131E-2</v>
      </c>
      <c r="BH42" s="284">
        <f t="shared" si="31"/>
        <v>0</v>
      </c>
      <c r="BI42" s="284">
        <f t="shared" si="31"/>
        <v>0</v>
      </c>
      <c r="BJ42" s="285"/>
      <c r="BK42" s="301"/>
      <c r="BL42" s="301"/>
      <c r="BM42" s="301"/>
      <c r="BN42" s="301"/>
      <c r="BO42" s="301"/>
      <c r="BP42" s="301"/>
      <c r="BQ42" s="301"/>
      <c r="BR42" s="301"/>
      <c r="BS42" s="301"/>
      <c r="BT42" s="301"/>
      <c r="BU42" s="301"/>
      <c r="BV42" s="301"/>
      <c r="BW42" s="301"/>
      <c r="BX42" s="301"/>
      <c r="BY42" s="301"/>
      <c r="BZ42" s="301"/>
      <c r="CA42" s="301"/>
      <c r="CB42" s="288"/>
    </row>
    <row r="43" spans="1:80" s="299" customFormat="1" ht="52">
      <c r="A43" s="300" t="s">
        <v>107</v>
      </c>
      <c r="B43" s="275" t="s">
        <v>22</v>
      </c>
      <c r="C43" s="276">
        <f>SUM(AT43:BA43)</f>
        <v>0</v>
      </c>
      <c r="D43" s="277">
        <f>SUM(BB43:BI43)</f>
        <v>4.2385920136441879E-2</v>
      </c>
      <c r="E43" s="277">
        <f>D43+C43</f>
        <v>4.2385920136441879E-2</v>
      </c>
      <c r="F43" s="278"/>
      <c r="G43" s="275" t="s">
        <v>23</v>
      </c>
      <c r="H43" s="285"/>
      <c r="I43" s="280"/>
      <c r="J43" s="280">
        <f>SUMIFS('MoDi Initiatives'!H:H,'MoDi Initiatives'!$C:$C,'Gap Analysis update'!$B43,'MoDi Initiatives'!$A:$A,'Gap Analysis update'!$A43,'MoDi Initiatives'!$B:$B,'Gap Analysis update'!J$2)</f>
        <v>0</v>
      </c>
      <c r="K43" s="280">
        <f>SUMIFS('MoDi Initiatives'!I:I,'MoDi Initiatives'!$C:$C,'Gap Analysis update'!$B43,'MoDi Initiatives'!$A:$A,'Gap Analysis update'!$A43,'MoDi Initiatives'!$B:$B,'Gap Analysis update'!K$2)</f>
        <v>0</v>
      </c>
      <c r="L43" s="280">
        <f>SUMIFS('MoDi Initiatives'!J:J,'MoDi Initiatives'!$C:$C,'Gap Analysis update'!$B43,'MoDi Initiatives'!$A:$A,'Gap Analysis update'!$A43,'MoDi Initiatives'!$B:$B,'Gap Analysis update'!L$2)</f>
        <v>0</v>
      </c>
      <c r="M43" s="280">
        <f>SUMIFS('MoDi Initiatives'!K:K,'MoDi Initiatives'!$C:$C,'Gap Analysis update'!$B43,'MoDi Initiatives'!$A:$A,'Gap Analysis update'!$A43,'MoDi Initiatives'!$B:$B,'Gap Analysis update'!M$2)</f>
        <v>0</v>
      </c>
      <c r="N43" s="280">
        <f>SUMIFS('MoDi Initiatives'!L:L,'MoDi Initiatives'!$C:$C,'Gap Analysis update'!$B43,'MoDi Initiatives'!$A:$A,'Gap Analysis update'!$A43,'MoDi Initiatives'!$B:$B,'Gap Analysis update'!N$2)</f>
        <v>0</v>
      </c>
      <c r="O43" s="280">
        <f>SUMIFS('MoDi Initiatives'!M:M,'MoDi Initiatives'!$C:$C,'Gap Analysis update'!$B43,'MoDi Initiatives'!$A:$A,'Gap Analysis update'!$A43,'MoDi Initiatives'!$B:$B,'Gap Analysis update'!O$2)</f>
        <v>0</v>
      </c>
      <c r="P43" s="280">
        <f>SUMIFS('MoDi Initiatives'!N:N,'MoDi Initiatives'!$C:$C,'Gap Analysis update'!$B43,'MoDi Initiatives'!$A:$A,'Gap Analysis update'!$A43,'MoDi Initiatives'!$B:$B,'Gap Analysis update'!P$2)</f>
        <v>0</v>
      </c>
      <c r="Q43" s="280">
        <f>SUMIFS('MoDi Initiatives'!O:O,'MoDi Initiatives'!$C:$C,'Gap Analysis update'!$B43,'MoDi Initiatives'!$A:$A,'Gap Analysis update'!$A43,'MoDi Initiatives'!$B:$B,'Gap Analysis update'!Q$2)</f>
        <v>0</v>
      </c>
      <c r="R43" s="280">
        <f>SUMIFS('MoDi Initiatives'!P:P,'MoDi Initiatives'!$C:$C,'Gap Analysis update'!$B43,'MoDi Initiatives'!$A:$A,'Gap Analysis update'!$A43,'MoDi Initiatives'!$B:$B,'Gap Analysis update'!R$2)</f>
        <v>0</v>
      </c>
      <c r="S43" s="280">
        <f>SUMIFS('MoDi Initiatives'!Q:Q,'MoDi Initiatives'!$C:$C,'Gap Analysis update'!$B43,'MoDi Initiatives'!$A:$A,'Gap Analysis update'!$A43,'MoDi Initiatives'!$B:$B,'Gap Analysis update'!S$2)</f>
        <v>0</v>
      </c>
      <c r="T43" s="280">
        <f>SUMIFS('MoDi Initiatives'!R:R,'MoDi Initiatives'!$C:$C,'Gap Analysis update'!$B43,'MoDi Initiatives'!$A:$A,'Gap Analysis update'!$A43,'MoDi Initiatives'!$B:$B,'Gap Analysis update'!T$2)</f>
        <v>0</v>
      </c>
      <c r="U43" s="280">
        <f>SUMIFS('MoDi Initiatives'!S:S,'MoDi Initiatives'!$C:$C,'Gap Analysis update'!$B43,'MoDi Initiatives'!$A:$A,'Gap Analysis update'!$A43,'MoDi Initiatives'!$B:$B,'Gap Analysis update'!U$2)</f>
        <v>0</v>
      </c>
      <c r="V43" s="280">
        <f>SUMIFS('MoDi Initiatives'!T:T,'MoDi Initiatives'!$C:$C,'Gap Analysis update'!$B43,'MoDi Initiatives'!$A:$A,'Gap Analysis update'!$A43,'MoDi Initiatives'!$B:$B,'Gap Analysis update'!V$2)</f>
        <v>0</v>
      </c>
      <c r="W43" s="280">
        <f>SUMIFS('MoDi Initiatives'!U:U,'MoDi Initiatives'!$C:$C,'Gap Analysis update'!$B43,'MoDi Initiatives'!$A:$A,'Gap Analysis update'!$A43,'MoDi Initiatives'!$B:$B,'Gap Analysis update'!W$2)</f>
        <v>0</v>
      </c>
      <c r="X43" s="280">
        <f>SUMIFS('MoDi Initiatives'!V:V,'MoDi Initiatives'!$C:$C,'Gap Analysis update'!$B43,'MoDi Initiatives'!$A:$A,'Gap Analysis update'!$A43,'MoDi Initiatives'!$B:$B,'Gap Analysis update'!X$2)</f>
        <v>0</v>
      </c>
      <c r="Y43" s="280">
        <f>SUMIFS('MoDi Initiatives'!W:W,'MoDi Initiatives'!$C:$C,'Gap Analysis update'!$B43,'MoDi Initiatives'!$A:$A,'Gap Analysis update'!$A43,'MoDi Initiatives'!$B:$B,'Gap Analysis update'!Y$2)</f>
        <v>0</v>
      </c>
      <c r="Z43" s="285"/>
      <c r="AA43" s="280"/>
      <c r="AB43" s="280">
        <f>SUMIFS('MoDi Initiatives'!H:H,'MoDi Initiatives'!$C:$C,'Gap Analysis update'!$B43,'MoDi Initiatives'!$A:$A,'Gap Analysis update'!$A43,'MoDi Initiatives'!$B:$B,'Gap Analysis update'!AB$2)</f>
        <v>0</v>
      </c>
      <c r="AC43" s="280">
        <f>SUMIFS('MoDi Initiatives'!I:I,'MoDi Initiatives'!$C:$C,'Gap Analysis update'!$B43,'MoDi Initiatives'!$A:$A,'Gap Analysis update'!$A43,'MoDi Initiatives'!$B:$B,'Gap Analysis update'!AC$2)</f>
        <v>0</v>
      </c>
      <c r="AD43" s="280">
        <f>SUMIFS('MoDi Initiatives'!J:J,'MoDi Initiatives'!$C:$C,'Gap Analysis update'!$B43,'MoDi Initiatives'!$A:$A,'Gap Analysis update'!$A43,'MoDi Initiatives'!$B:$B,'Gap Analysis update'!AD$2)</f>
        <v>0</v>
      </c>
      <c r="AE43" s="280">
        <f>SUMIFS('MoDi Initiatives'!K:K,'MoDi Initiatives'!$C:$C,'Gap Analysis update'!$B43,'MoDi Initiatives'!$A:$A,'Gap Analysis update'!$A43,'MoDi Initiatives'!$B:$B,'Gap Analysis update'!AE$2)</f>
        <v>0</v>
      </c>
      <c r="AF43" s="280">
        <f>SUMIFS('MoDi Initiatives'!L:L,'MoDi Initiatives'!$C:$C,'Gap Analysis update'!$B43,'MoDi Initiatives'!$A:$A,'Gap Analysis update'!$A43,'MoDi Initiatives'!$B:$B,'Gap Analysis update'!AF$2)</f>
        <v>0</v>
      </c>
      <c r="AG43" s="280">
        <f>SUMIFS('MoDi Initiatives'!M:M,'MoDi Initiatives'!$C:$C,'Gap Analysis update'!$B43,'MoDi Initiatives'!$A:$A,'Gap Analysis update'!$A43,'MoDi Initiatives'!$B:$B,'Gap Analysis update'!AG$2)</f>
        <v>0</v>
      </c>
      <c r="AH43" s="280">
        <f>SUMIFS('MoDi Initiatives'!N:N,'MoDi Initiatives'!$C:$C,'Gap Analysis update'!$B43,'MoDi Initiatives'!$A:$A,'Gap Analysis update'!$A43,'MoDi Initiatives'!$B:$B,'Gap Analysis update'!AH$2)</f>
        <v>0</v>
      </c>
      <c r="AI43" s="280">
        <f>SUMIFS('MoDi Initiatives'!O:O,'MoDi Initiatives'!$C:$C,'Gap Analysis update'!$B43,'MoDi Initiatives'!$A:$A,'Gap Analysis update'!$A43,'MoDi Initiatives'!$B:$B,'Gap Analysis update'!AI$2)</f>
        <v>0</v>
      </c>
      <c r="AJ43" s="280">
        <f>SUMIFS('MoDi Initiatives'!P:P,'MoDi Initiatives'!$C:$C,'Gap Analysis update'!$B43,'MoDi Initiatives'!$A:$A,'Gap Analysis update'!$A43,'MoDi Initiatives'!$B:$B,'Gap Analysis update'!AJ$2)</f>
        <v>0</v>
      </c>
      <c r="AK43" s="280">
        <f>SUMIFS('MoDi Initiatives'!Q:Q,'MoDi Initiatives'!$C:$C,'Gap Analysis update'!$B43,'MoDi Initiatives'!$A:$A,'Gap Analysis update'!$A43,'MoDi Initiatives'!$B:$B,'Gap Analysis update'!AK$2)</f>
        <v>3.4043135634481587E-2</v>
      </c>
      <c r="AL43" s="280">
        <f>SUMIFS('MoDi Initiatives'!R:R,'MoDi Initiatives'!$C:$C,'Gap Analysis update'!$B43,'MoDi Initiatives'!$A:$A,'Gap Analysis update'!$A43,'MoDi Initiatives'!$B:$B,'Gap Analysis update'!AL$2)</f>
        <v>0</v>
      </c>
      <c r="AM43" s="280">
        <f>SUMIFS('MoDi Initiatives'!S:S,'MoDi Initiatives'!$C:$C,'Gap Analysis update'!$B43,'MoDi Initiatives'!$A:$A,'Gap Analysis update'!$A43,'MoDi Initiatives'!$B:$B,'Gap Analysis update'!AM$2)</f>
        <v>8.3427845019602952E-3</v>
      </c>
      <c r="AN43" s="280">
        <f>SUMIFS('MoDi Initiatives'!T:T,'MoDi Initiatives'!$C:$C,'Gap Analysis update'!$B43,'MoDi Initiatives'!$A:$A,'Gap Analysis update'!$A43,'MoDi Initiatives'!$B:$B,'Gap Analysis update'!AN$2)</f>
        <v>0</v>
      </c>
      <c r="AO43" s="280">
        <f>SUMIFS('MoDi Initiatives'!U:U,'MoDi Initiatives'!$C:$C,'Gap Analysis update'!$B43,'MoDi Initiatives'!$A:$A,'Gap Analysis update'!$A43,'MoDi Initiatives'!$B:$B,'Gap Analysis update'!AO$2)</f>
        <v>0</v>
      </c>
      <c r="AP43" s="280">
        <f>SUMIFS('MoDi Initiatives'!V:V,'MoDi Initiatives'!$C:$C,'Gap Analysis update'!$B43,'MoDi Initiatives'!$A:$A,'Gap Analysis update'!$A43,'MoDi Initiatives'!$B:$B,'Gap Analysis update'!AP$2)</f>
        <v>0</v>
      </c>
      <c r="AQ43" s="280">
        <f>SUMIFS('MoDi Initiatives'!W:W,'MoDi Initiatives'!$C:$C,'Gap Analysis update'!$B43,'MoDi Initiatives'!$A:$A,'Gap Analysis update'!$A43,'MoDi Initiatives'!$B:$B,'Gap Analysis update'!AQ$2)</f>
        <v>0</v>
      </c>
      <c r="AR43" s="280" t="e">
        <f>SUMIFS('[1]MoDi Initiatives'!W:W,'[1]MoDi Initiatives'!$B:$B,'Gap Analysis update'!AR$2,'[1]MoDi Initiatives'!$A:$A,'Gap Analysis update'!$A43,'[1]MoDi Initiatives'!$C:$C,"Inflation")</f>
        <v>#VALUE!</v>
      </c>
      <c r="AS43" s="284">
        <f>I43-AA43</f>
        <v>0</v>
      </c>
      <c r="AT43" s="284">
        <f>AB43-J43</f>
        <v>0</v>
      </c>
      <c r="AU43" s="284">
        <f t="shared" si="31"/>
        <v>0</v>
      </c>
      <c r="AV43" s="284">
        <f t="shared" si="31"/>
        <v>0</v>
      </c>
      <c r="AW43" s="284">
        <f t="shared" si="31"/>
        <v>0</v>
      </c>
      <c r="AX43" s="284">
        <f>AF43-N43</f>
        <v>0</v>
      </c>
      <c r="AY43" s="284">
        <f t="shared" si="31"/>
        <v>0</v>
      </c>
      <c r="AZ43" s="284">
        <f>AH43-P43</f>
        <v>0</v>
      </c>
      <c r="BA43" s="284">
        <f t="shared" si="31"/>
        <v>0</v>
      </c>
      <c r="BB43" s="284">
        <f>AJ43-R43</f>
        <v>0</v>
      </c>
      <c r="BC43" s="284">
        <f t="shared" si="31"/>
        <v>3.4043135634481587E-2</v>
      </c>
      <c r="BD43" s="284">
        <f t="shared" si="31"/>
        <v>0</v>
      </c>
      <c r="BE43" s="284">
        <f t="shared" si="31"/>
        <v>8.3427845019602952E-3</v>
      </c>
      <c r="BF43" s="284">
        <f t="shared" si="31"/>
        <v>0</v>
      </c>
      <c r="BG43" s="284">
        <f t="shared" si="31"/>
        <v>0</v>
      </c>
      <c r="BH43" s="284">
        <f t="shared" si="31"/>
        <v>0</v>
      </c>
      <c r="BI43" s="284">
        <f t="shared" si="31"/>
        <v>0</v>
      </c>
      <c r="BJ43" s="285"/>
      <c r="BK43" s="301"/>
      <c r="BL43" s="301"/>
      <c r="BM43" s="301"/>
      <c r="BN43" s="301"/>
      <c r="BO43" s="301"/>
      <c r="BP43" s="301"/>
      <c r="BQ43" s="301"/>
      <c r="BR43" s="301"/>
      <c r="BS43" s="301"/>
      <c r="BT43" s="301"/>
      <c r="BU43" s="301"/>
      <c r="BV43" s="301"/>
      <c r="BW43" s="301"/>
      <c r="BX43" s="301"/>
      <c r="BY43" s="301"/>
      <c r="BZ43" s="301"/>
      <c r="CA43" s="301"/>
      <c r="CB43" s="288"/>
    </row>
    <row r="44" spans="1:80" s="298" customFormat="1" ht="65">
      <c r="A44" s="296" t="s">
        <v>107</v>
      </c>
      <c r="B44" s="287" t="s">
        <v>24</v>
      </c>
      <c r="C44" s="288">
        <f>SUM(AS44:BA44)</f>
        <v>0</v>
      </c>
      <c r="D44" s="289">
        <f t="shared" ref="D44:D49" si="40">SUM(BB44:BI44)</f>
        <v>0</v>
      </c>
      <c r="E44" s="289">
        <f t="shared" si="8"/>
        <v>0</v>
      </c>
      <c r="F44" s="306"/>
      <c r="G44" s="286"/>
      <c r="H44" s="297"/>
      <c r="J44" s="288"/>
      <c r="K44" s="288"/>
      <c r="L44" s="288">
        <f>SUMIFS('MoDi Initiatives'!J:J,'MoDi Initiatives'!$E:$E,'Gap Analysis update'!$B44,'MoDi Initiatives'!$A:$A,'Gap Analysis update'!$A44,'MoDi Initiatives'!$B:$B,'Gap Analysis update'!L$2)-SUMIFS('MoDi Initiatives'!J:J,'MoDi Initiatives'!$E:$E,'Gap Analysis update'!$B44,'MoDi Initiatives'!$A:$A,'Gap Analysis update'!$A44,'MoDi Initiatives'!$C:$C,'Gap Analysis update'!$B$7,'MoDi Initiatives'!$B:$B,'Gap Analysis update'!L$2)</f>
        <v>0</v>
      </c>
      <c r="M44" s="288">
        <f>SUMIFS('MoDi Initiatives'!K:K,'MoDi Initiatives'!$E:$E,'Gap Analysis update'!$B44,'MoDi Initiatives'!$A:$A,'Gap Analysis update'!$A44,'MoDi Initiatives'!$B:$B,'Gap Analysis update'!M$2)-SUMIFS('MoDi Initiatives'!K:K,'MoDi Initiatives'!$E:$E,'Gap Analysis update'!$B44,'MoDi Initiatives'!$A:$A,'Gap Analysis update'!$A44,'MoDi Initiatives'!$C:$C,'Gap Analysis update'!$B$7,'MoDi Initiatives'!$B:$B,'Gap Analysis update'!M$2)</f>
        <v>0</v>
      </c>
      <c r="N44" s="288">
        <f>SUMIFS('MoDi Initiatives'!L:L,'MoDi Initiatives'!$E:$E,'Gap Analysis update'!$B44,'MoDi Initiatives'!$A:$A,'Gap Analysis update'!$A44,'MoDi Initiatives'!$B:$B,'Gap Analysis update'!N$2)-SUMIFS('MoDi Initiatives'!L:L,'MoDi Initiatives'!$E:$E,'Gap Analysis update'!$B44,'MoDi Initiatives'!$A:$A,'Gap Analysis update'!$A44,'MoDi Initiatives'!$C:$C,'Gap Analysis update'!$B$7,'MoDi Initiatives'!$B:$B,'Gap Analysis update'!N$2)</f>
        <v>0</v>
      </c>
      <c r="O44" s="288">
        <f>SUMIFS('MoDi Initiatives'!M:M,'MoDi Initiatives'!$E:$E,'Gap Analysis update'!$B44,'MoDi Initiatives'!$A:$A,'Gap Analysis update'!$A44,'MoDi Initiatives'!$B:$B,'Gap Analysis update'!O$2)-SUMIFS('MoDi Initiatives'!M:M,'MoDi Initiatives'!$E:$E,'Gap Analysis update'!$B44,'MoDi Initiatives'!$A:$A,'Gap Analysis update'!$A44,'MoDi Initiatives'!$C:$C,'Gap Analysis update'!$B$7,'MoDi Initiatives'!$B:$B,'Gap Analysis update'!O$2)</f>
        <v>0</v>
      </c>
      <c r="P44" s="288">
        <f>SUMIFS('MoDi Initiatives'!N:N,'MoDi Initiatives'!$E:$E,'Gap Analysis update'!$B44,'MoDi Initiatives'!$A:$A,'Gap Analysis update'!$A44,'MoDi Initiatives'!$B:$B,'Gap Analysis update'!P$2)-SUMIFS('MoDi Initiatives'!N:N,'MoDi Initiatives'!$E:$E,'Gap Analysis update'!$B44,'MoDi Initiatives'!$A:$A,'Gap Analysis update'!$A44,'MoDi Initiatives'!$C:$C,'Gap Analysis update'!$B$7,'MoDi Initiatives'!$B:$B,'Gap Analysis update'!P$2)</f>
        <v>0</v>
      </c>
      <c r="Q44" s="288">
        <f>SUMIFS('MoDi Initiatives'!O:O,'MoDi Initiatives'!$E:$E,'Gap Analysis update'!$B44,'MoDi Initiatives'!$A:$A,'Gap Analysis update'!$A44,'MoDi Initiatives'!$B:$B,'Gap Analysis update'!Q$2)-SUMIFS('MoDi Initiatives'!O:O,'MoDi Initiatives'!$E:$E,'Gap Analysis update'!$B44,'MoDi Initiatives'!$A:$A,'Gap Analysis update'!$A44,'MoDi Initiatives'!$C:$C,'Gap Analysis update'!$B$7,'MoDi Initiatives'!$B:$B,'Gap Analysis update'!Q$2)</f>
        <v>0</v>
      </c>
      <c r="R44" s="288">
        <f>SUMIFS('MoDi Initiatives'!P:P,'MoDi Initiatives'!$E:$E,'Gap Analysis update'!$B44,'MoDi Initiatives'!$A:$A,'Gap Analysis update'!$A44,'MoDi Initiatives'!$B:$B,'Gap Analysis update'!R$2)-SUMIFS('MoDi Initiatives'!P:P,'MoDi Initiatives'!$E:$E,'Gap Analysis update'!$B44,'MoDi Initiatives'!$A:$A,'Gap Analysis update'!$A44,'MoDi Initiatives'!$C:$C,'Gap Analysis update'!$B$7,'MoDi Initiatives'!$B:$B,'Gap Analysis update'!R$2)</f>
        <v>0</v>
      </c>
      <c r="S44" s="288">
        <f>SUMIFS('MoDi Initiatives'!Q:Q,'MoDi Initiatives'!$E:$E,'Gap Analysis update'!$B44,'MoDi Initiatives'!$A:$A,'Gap Analysis update'!$A44,'MoDi Initiatives'!$B:$B,'Gap Analysis update'!S$2)-SUMIFS('MoDi Initiatives'!Q:Q,'MoDi Initiatives'!$E:$E,'Gap Analysis update'!$B44,'MoDi Initiatives'!$A:$A,'Gap Analysis update'!$A44,'MoDi Initiatives'!$C:$C,'Gap Analysis update'!$B$7,'MoDi Initiatives'!$B:$B,'Gap Analysis update'!S$2)</f>
        <v>0</v>
      </c>
      <c r="T44" s="288">
        <f>SUMIFS('MoDi Initiatives'!R:R,'MoDi Initiatives'!$E:$E,'Gap Analysis update'!$B44,'MoDi Initiatives'!$A:$A,'Gap Analysis update'!$A44,'MoDi Initiatives'!$B:$B,'Gap Analysis update'!T$2)-SUMIFS('MoDi Initiatives'!R:R,'MoDi Initiatives'!$E:$E,'Gap Analysis update'!$B44,'MoDi Initiatives'!$A:$A,'Gap Analysis update'!$A44,'MoDi Initiatives'!$C:$C,'Gap Analysis update'!$B$7,'MoDi Initiatives'!$B:$B,'Gap Analysis update'!T$2)</f>
        <v>0</v>
      </c>
      <c r="U44" s="288">
        <f>SUMIFS('MoDi Initiatives'!S:S,'MoDi Initiatives'!$E:$E,'Gap Analysis update'!$B44,'MoDi Initiatives'!$A:$A,'Gap Analysis update'!$A44,'MoDi Initiatives'!$B:$B,'Gap Analysis update'!U$2)-SUMIFS('MoDi Initiatives'!S:S,'MoDi Initiatives'!$E:$E,'Gap Analysis update'!$B44,'MoDi Initiatives'!$A:$A,'Gap Analysis update'!$A44,'MoDi Initiatives'!$C:$C,'Gap Analysis update'!$B$7,'MoDi Initiatives'!$B:$B,'Gap Analysis update'!U$2)</f>
        <v>0</v>
      </c>
      <c r="V44" s="288">
        <f>SUMIFS('MoDi Initiatives'!T:T,'MoDi Initiatives'!$E:$E,'Gap Analysis update'!$B44,'MoDi Initiatives'!$A:$A,'Gap Analysis update'!$A44,'MoDi Initiatives'!$B:$B,'Gap Analysis update'!V$2)-SUMIFS('MoDi Initiatives'!T:T,'MoDi Initiatives'!$E:$E,'Gap Analysis update'!$B44,'MoDi Initiatives'!$A:$A,'Gap Analysis update'!$A44,'MoDi Initiatives'!$C:$C,'Gap Analysis update'!$B$7,'MoDi Initiatives'!$B:$B,'Gap Analysis update'!V$2)</f>
        <v>0</v>
      </c>
      <c r="W44" s="288">
        <f>SUMIFS('MoDi Initiatives'!U:U,'MoDi Initiatives'!$E:$E,'Gap Analysis update'!$B44,'MoDi Initiatives'!$A:$A,'Gap Analysis update'!$A44,'MoDi Initiatives'!$B:$B,'Gap Analysis update'!W$2)-SUMIFS('MoDi Initiatives'!U:U,'MoDi Initiatives'!$E:$E,'Gap Analysis update'!$B44,'MoDi Initiatives'!$A:$A,'Gap Analysis update'!$A44,'MoDi Initiatives'!$C:$C,'Gap Analysis update'!$B$7,'MoDi Initiatives'!$B:$B,'Gap Analysis update'!W$2)</f>
        <v>0</v>
      </c>
      <c r="X44" s="288">
        <f>SUMIFS('MoDi Initiatives'!V:V,'MoDi Initiatives'!$E:$E,'Gap Analysis update'!$B44,'MoDi Initiatives'!$A:$A,'Gap Analysis update'!$A44,'MoDi Initiatives'!$B:$B,'Gap Analysis update'!X$2)-SUMIFS('MoDi Initiatives'!V:V,'MoDi Initiatives'!$E:$E,'Gap Analysis update'!$B44,'MoDi Initiatives'!$A:$A,'Gap Analysis update'!$A44,'MoDi Initiatives'!$C:$C,'Gap Analysis update'!$B$7,'MoDi Initiatives'!$B:$B,'Gap Analysis update'!X$2)</f>
        <v>0</v>
      </c>
      <c r="Y44" s="288">
        <f>SUMIFS('MoDi Initiatives'!W:W,'MoDi Initiatives'!$E:$E,'Gap Analysis update'!$B44,'MoDi Initiatives'!$A:$A,'Gap Analysis update'!$A44,'MoDi Initiatives'!$B:$B,'Gap Analysis update'!Y$2)-SUMIFS('MoDi Initiatives'!W:W,'MoDi Initiatives'!$E:$E,'Gap Analysis update'!$B44,'MoDi Initiatives'!$A:$A,'Gap Analysis update'!$A44,'MoDi Initiatives'!$C:$C,'Gap Analysis update'!$B$7,'MoDi Initiatives'!$B:$B,'Gap Analysis update'!Y$2)</f>
        <v>0</v>
      </c>
      <c r="Z44" s="293"/>
      <c r="AB44" s="298">
        <f>SUMIFS('MoDi Initiatives'!H:H,'MoDi Initiatives'!$E:$E,'Gap Analysis update'!$B44,'MoDi Initiatives'!$A:$A,'Gap Analysis update'!$A44,'MoDi Initiatives'!$B:$B,'Gap Analysis update'!AB$2)-SUMIFS('MoDi Initiatives'!H:H,'MoDi Initiatives'!$E:$E,'Gap Analysis update'!$B44,'MoDi Initiatives'!$A:$A,'Gap Analysis update'!$A44,'MoDi Initiatives'!$B:$B,'Gap Analysis update'!AB$2,'MoDi Initiatives'!$C:$C,'Gap Analysis update'!$B$7)</f>
        <v>0</v>
      </c>
      <c r="AC44" s="288">
        <f>SUMIFS('MoDi Initiatives'!I:I,'MoDi Initiatives'!$E:$E,'Gap Analysis update'!$B44,'MoDi Initiatives'!$A:$A,'Gap Analysis update'!$A44,'MoDi Initiatives'!$B:$B,'Gap Analysis update'!AC$2)-SUMIFS('MoDi Initiatives'!I:I,'MoDi Initiatives'!$E:$E,'Gap Analysis update'!$B44,'MoDi Initiatives'!$A:$A,'Gap Analysis update'!$A44,'MoDi Initiatives'!$B:$B,'Gap Analysis update'!AC$2,'MoDi Initiatives'!$C:$C,'Gap Analysis update'!$B$7)</f>
        <v>0</v>
      </c>
      <c r="AD44" s="288">
        <f>SUMIFS('MoDi Initiatives'!J:J,'MoDi Initiatives'!$E:$E,'Gap Analysis update'!$B44,'MoDi Initiatives'!$A:$A,'Gap Analysis update'!$A44,'MoDi Initiatives'!$B:$B,'Gap Analysis update'!AD$2)-SUMIFS('MoDi Initiatives'!J:J,'MoDi Initiatives'!$E:$E,'Gap Analysis update'!$B44,'MoDi Initiatives'!$A:$A,'Gap Analysis update'!$A44,'MoDi Initiatives'!$B:$B,'Gap Analysis update'!AD$2,'MoDi Initiatives'!$C:$C,'Gap Analysis update'!$B$7)</f>
        <v>0</v>
      </c>
      <c r="AE44" s="298">
        <f>SUMIFS('MoDi Initiatives'!K:K,'MoDi Initiatives'!$E:$E,'Gap Analysis update'!$B44,'MoDi Initiatives'!$A:$A,'Gap Analysis update'!$A44,'MoDi Initiatives'!$B:$B,'Gap Analysis update'!AE$2)-SUMIFS('MoDi Initiatives'!K:K,'MoDi Initiatives'!$E:$E,'Gap Analysis update'!$B44,'MoDi Initiatives'!$A:$A,'Gap Analysis update'!$A44,'MoDi Initiatives'!$B:$B,'Gap Analysis update'!AE$2,'MoDi Initiatives'!$C:$C,'Gap Analysis update'!$B$7)</f>
        <v>0</v>
      </c>
      <c r="AF44" s="298">
        <f>SUMIFS('MoDi Initiatives'!L:L,'MoDi Initiatives'!$E:$E,'Gap Analysis update'!$B44,'MoDi Initiatives'!$A:$A,'Gap Analysis update'!$A44,'MoDi Initiatives'!$B:$B,'Gap Analysis update'!AF$2)-SUMIFS('MoDi Initiatives'!L:L,'MoDi Initiatives'!$E:$E,'Gap Analysis update'!$B44,'MoDi Initiatives'!$A:$A,'Gap Analysis update'!$A44,'MoDi Initiatives'!$B:$B,'Gap Analysis update'!AF$2,'MoDi Initiatives'!$C:$C,'Gap Analysis update'!$B$7)</f>
        <v>0</v>
      </c>
      <c r="AG44" s="298">
        <f>SUMIFS('MoDi Initiatives'!M:M,'MoDi Initiatives'!$E:$E,'Gap Analysis update'!$B44,'MoDi Initiatives'!$A:$A,'Gap Analysis update'!$A44,'MoDi Initiatives'!$B:$B,'Gap Analysis update'!AG$2)-SUMIFS('MoDi Initiatives'!M:M,'MoDi Initiatives'!$E:$E,'Gap Analysis update'!$B44,'MoDi Initiatives'!$A:$A,'Gap Analysis update'!$A44,'MoDi Initiatives'!$B:$B,'Gap Analysis update'!AG$2,'MoDi Initiatives'!$C:$C,'Gap Analysis update'!$B$7)</f>
        <v>0</v>
      </c>
      <c r="AH44" s="298">
        <f>SUMIFS('MoDi Initiatives'!N:N,'MoDi Initiatives'!$E:$E,'Gap Analysis update'!$B44,'MoDi Initiatives'!$A:$A,'Gap Analysis update'!$A44,'MoDi Initiatives'!$B:$B,'Gap Analysis update'!AH$2)-SUMIFS('MoDi Initiatives'!N:N,'MoDi Initiatives'!$E:$E,'Gap Analysis update'!$B44,'MoDi Initiatives'!$A:$A,'Gap Analysis update'!$A44,'MoDi Initiatives'!$B:$B,'Gap Analysis update'!AH$2,'MoDi Initiatives'!$C:$C,'Gap Analysis update'!$B$7)</f>
        <v>0</v>
      </c>
      <c r="AI44" s="298">
        <f>SUMIFS('MoDi Initiatives'!O:O,'MoDi Initiatives'!$E:$E,'Gap Analysis update'!$B44,'MoDi Initiatives'!$A:$A,'Gap Analysis update'!$A44,'MoDi Initiatives'!$B:$B,'Gap Analysis update'!AI$2)-SUMIFS('MoDi Initiatives'!O:O,'MoDi Initiatives'!$E:$E,'Gap Analysis update'!$B44,'MoDi Initiatives'!$A:$A,'Gap Analysis update'!$A44,'MoDi Initiatives'!$B:$B,'Gap Analysis update'!AI$2,'MoDi Initiatives'!$C:$C,'Gap Analysis update'!$B$7)</f>
        <v>0</v>
      </c>
      <c r="AJ44" s="302">
        <f>SUMIFS('MoDi Initiatives'!P:P,'MoDi Initiatives'!$E:$E,'Gap Analysis update'!$B44,'MoDi Initiatives'!$A:$A,'Gap Analysis update'!$A44,'MoDi Initiatives'!$B:$B,'Gap Analysis update'!AJ$2)-SUMIFS('MoDi Initiatives'!P:P,'MoDi Initiatives'!$E:$E,'Gap Analysis update'!$B44,'MoDi Initiatives'!$A:$A,'Gap Analysis update'!$A44,'MoDi Initiatives'!$B:$B,'Gap Analysis update'!AJ$2,'MoDi Initiatives'!$C:$C,'Gap Analysis update'!$B$7)</f>
        <v>0</v>
      </c>
      <c r="AK44" s="298">
        <f>SUMIFS('MoDi Initiatives'!Q:Q,'MoDi Initiatives'!$E:$E,'Gap Analysis update'!$B44,'MoDi Initiatives'!$A:$A,'Gap Analysis update'!$A44,'MoDi Initiatives'!$B:$B,'Gap Analysis update'!AK$2)-SUMIFS('MoDi Initiatives'!Q:Q,'MoDi Initiatives'!$E:$E,'Gap Analysis update'!$B44,'MoDi Initiatives'!$A:$A,'Gap Analysis update'!$A44,'MoDi Initiatives'!$B:$B,'Gap Analysis update'!AK$2,'MoDi Initiatives'!$C:$C,'Gap Analysis update'!$B$7)</f>
        <v>0</v>
      </c>
      <c r="AL44" s="298">
        <f>SUMIFS('MoDi Initiatives'!R:R,'MoDi Initiatives'!$E:$E,'Gap Analysis update'!$B44,'MoDi Initiatives'!$A:$A,'Gap Analysis update'!$A44,'MoDi Initiatives'!$B:$B,'Gap Analysis update'!AL$2)-SUMIFS('MoDi Initiatives'!R:R,'MoDi Initiatives'!$E:$E,'Gap Analysis update'!$B44,'MoDi Initiatives'!$A:$A,'Gap Analysis update'!$A44,'MoDi Initiatives'!$B:$B,'Gap Analysis update'!AL$2,'MoDi Initiatives'!$C:$C,'Gap Analysis update'!$B$7)</f>
        <v>0</v>
      </c>
      <c r="AM44" s="298">
        <f>SUMIFS('MoDi Initiatives'!S:S,'MoDi Initiatives'!$E:$E,'Gap Analysis update'!$B44,'MoDi Initiatives'!$A:$A,'Gap Analysis update'!$A44,'MoDi Initiatives'!$B:$B,'Gap Analysis update'!AM$2)-SUMIFS('MoDi Initiatives'!S:S,'MoDi Initiatives'!$E:$E,'Gap Analysis update'!$B44,'MoDi Initiatives'!$A:$A,'Gap Analysis update'!$A44,'MoDi Initiatives'!$B:$B,'Gap Analysis update'!AM$2,'MoDi Initiatives'!$C:$C,'Gap Analysis update'!$B$7)</f>
        <v>0</v>
      </c>
      <c r="AN44" s="298">
        <f>SUMIFS('MoDi Initiatives'!T:T,'MoDi Initiatives'!$E:$E,'Gap Analysis update'!$B44,'MoDi Initiatives'!$A:$A,'Gap Analysis update'!$A44,'MoDi Initiatives'!$B:$B,'Gap Analysis update'!AN$2)-SUMIFS('MoDi Initiatives'!T:T,'MoDi Initiatives'!$E:$E,'Gap Analysis update'!$B44,'MoDi Initiatives'!$A:$A,'Gap Analysis update'!$A44,'MoDi Initiatives'!$B:$B,'Gap Analysis update'!AN$2,'MoDi Initiatives'!$C:$C,'Gap Analysis update'!$B$7)</f>
        <v>0</v>
      </c>
      <c r="AO44" s="298">
        <f>SUMIFS('MoDi Initiatives'!U:U,'MoDi Initiatives'!$E:$E,'Gap Analysis update'!$B44,'MoDi Initiatives'!$A:$A,'Gap Analysis update'!$A44,'MoDi Initiatives'!$B:$B,'Gap Analysis update'!AO$2)-SUMIFS('MoDi Initiatives'!U:U,'MoDi Initiatives'!$E:$E,'Gap Analysis update'!$B44,'MoDi Initiatives'!$A:$A,'Gap Analysis update'!$A44,'MoDi Initiatives'!$B:$B,'Gap Analysis update'!AO$2,'MoDi Initiatives'!$C:$C,'Gap Analysis update'!$B$7)</f>
        <v>0</v>
      </c>
      <c r="AP44" s="298">
        <f>SUMIFS('MoDi Initiatives'!V:V,'MoDi Initiatives'!$E:$E,'Gap Analysis update'!$B44,'MoDi Initiatives'!$A:$A,'Gap Analysis update'!$A44,'MoDi Initiatives'!$B:$B,'Gap Analysis update'!AP$2)-SUMIFS('MoDi Initiatives'!V:V,'MoDi Initiatives'!$E:$E,'Gap Analysis update'!$B44,'MoDi Initiatives'!$A:$A,'Gap Analysis update'!$A44,'MoDi Initiatives'!$B:$B,'Gap Analysis update'!AP$2,'MoDi Initiatives'!$C:$C,'Gap Analysis update'!$B$7)</f>
        <v>0</v>
      </c>
      <c r="AQ44" s="298">
        <f>SUMIFS('MoDi Initiatives'!W:W,'MoDi Initiatives'!$E:$E,'Gap Analysis update'!$B44,'MoDi Initiatives'!$A:$A,'Gap Analysis update'!$A44,'MoDi Initiatives'!$B:$B,'Gap Analysis update'!AQ$2)-SUMIFS('MoDi Initiatives'!W:W,'MoDi Initiatives'!$E:$E,'Gap Analysis update'!$B44,'MoDi Initiatives'!$A:$A,'Gap Analysis update'!$A44,'MoDi Initiatives'!$B:$B,'Gap Analysis update'!AQ$2,'MoDi Initiatives'!$C:$C,'Gap Analysis update'!$B$7)</f>
        <v>0</v>
      </c>
      <c r="AR44" s="293"/>
      <c r="AS44" s="303"/>
      <c r="AT44" s="289">
        <f t="shared" ref="AT44:BI52" si="41">AB44-J44</f>
        <v>0</v>
      </c>
      <c r="AU44" s="289">
        <f t="shared" si="41"/>
        <v>0</v>
      </c>
      <c r="AV44" s="289">
        <f t="shared" si="41"/>
        <v>0</v>
      </c>
      <c r="AW44" s="303">
        <f t="shared" si="41"/>
        <v>0</v>
      </c>
      <c r="AX44" s="303">
        <f t="shared" si="41"/>
        <v>0</v>
      </c>
      <c r="AY44" s="303">
        <f t="shared" si="41"/>
        <v>0</v>
      </c>
      <c r="AZ44" s="303">
        <f t="shared" si="41"/>
        <v>0</v>
      </c>
      <c r="BA44" s="303">
        <f t="shared" si="41"/>
        <v>0</v>
      </c>
      <c r="BB44" s="303">
        <f t="shared" si="41"/>
        <v>0</v>
      </c>
      <c r="BC44" s="303">
        <f t="shared" si="41"/>
        <v>0</v>
      </c>
      <c r="BD44" s="303">
        <f t="shared" si="41"/>
        <v>0</v>
      </c>
      <c r="BE44" s="303">
        <f t="shared" si="41"/>
        <v>0</v>
      </c>
      <c r="BF44" s="303">
        <f t="shared" si="41"/>
        <v>0</v>
      </c>
      <c r="BG44" s="303">
        <f t="shared" si="41"/>
        <v>0</v>
      </c>
      <c r="BH44" s="303">
        <f t="shared" si="41"/>
        <v>0</v>
      </c>
      <c r="BI44" s="303">
        <f t="shared" si="41"/>
        <v>0</v>
      </c>
      <c r="BJ44" s="293"/>
      <c r="BK44" s="302"/>
      <c r="BL44" s="302"/>
      <c r="BM44" s="302"/>
      <c r="BN44" s="302"/>
      <c r="BO44" s="302"/>
      <c r="BP44" s="302"/>
      <c r="BQ44" s="302"/>
      <c r="BR44" s="302" t="s">
        <v>108</v>
      </c>
      <c r="BS44" s="302" t="s">
        <v>109</v>
      </c>
      <c r="BT44" s="302" t="s">
        <v>110</v>
      </c>
      <c r="BU44" s="302"/>
      <c r="BV44" s="302"/>
      <c r="BW44" s="302"/>
      <c r="BX44" s="302"/>
      <c r="BY44" s="302"/>
      <c r="BZ44" s="302"/>
      <c r="CA44" s="302"/>
    </row>
    <row r="45" spans="1:80" s="298" customFormat="1" ht="78">
      <c r="A45" s="296" t="s">
        <v>107</v>
      </c>
      <c r="B45" s="287" t="s">
        <v>33</v>
      </c>
      <c r="C45" s="288">
        <f t="shared" ref="C45:C49" si="42">SUM(AS45:BA45)</f>
        <v>0.1309019505878618</v>
      </c>
      <c r="D45" s="289">
        <f t="shared" si="40"/>
        <v>6.7781507836790975E-3</v>
      </c>
      <c r="E45" s="289">
        <f t="shared" si="8"/>
        <v>0.13768010137154091</v>
      </c>
      <c r="F45" s="306"/>
      <c r="G45" s="286"/>
      <c r="H45" s="297"/>
      <c r="J45" s="288"/>
      <c r="K45" s="288"/>
      <c r="L45" s="288">
        <f>SUMIFS('MoDi Initiatives'!J:J,'MoDi Initiatives'!$E:$E,'Gap Analysis update'!$B45,'MoDi Initiatives'!$A:$A,'Gap Analysis update'!$A45,'MoDi Initiatives'!$B:$B,'Gap Analysis update'!L$2)-SUMIFS('MoDi Initiatives'!J:J,'MoDi Initiatives'!$E:$E,'Gap Analysis update'!$B45,'MoDi Initiatives'!$A:$A,'Gap Analysis update'!$A45,'MoDi Initiatives'!$C:$C,'Gap Analysis update'!$B$7,'MoDi Initiatives'!$B:$B,'Gap Analysis update'!L$2)</f>
        <v>2.8002301978529508E-2</v>
      </c>
      <c r="M45" s="288">
        <f>SUMIFS('MoDi Initiatives'!K:K,'MoDi Initiatives'!$E:$E,'Gap Analysis update'!$B45,'MoDi Initiatives'!$A:$A,'Gap Analysis update'!$A45,'MoDi Initiatives'!$B:$B,'Gap Analysis update'!M$2)-SUMIFS('MoDi Initiatives'!K:K,'MoDi Initiatives'!$E:$E,'Gap Analysis update'!$B45,'MoDi Initiatives'!$A:$A,'Gap Analysis update'!$A45,'MoDi Initiatives'!$C:$C,'Gap Analysis update'!$B$7,'MoDi Initiatives'!$B:$B,'Gap Analysis update'!M$2)</f>
        <v>0</v>
      </c>
      <c r="N45" s="288">
        <f>SUMIFS('MoDi Initiatives'!L:L,'MoDi Initiatives'!$E:$E,'Gap Analysis update'!$B45,'MoDi Initiatives'!$A:$A,'Gap Analysis update'!$A45,'MoDi Initiatives'!$B:$B,'Gap Analysis update'!N$2)-SUMIFS('MoDi Initiatives'!L:L,'MoDi Initiatives'!$E:$E,'Gap Analysis update'!$B45,'MoDi Initiatives'!$A:$A,'Gap Analysis update'!$A45,'MoDi Initiatives'!$C:$C,'Gap Analysis update'!$B$7,'MoDi Initiatives'!$B:$B,'Gap Analysis update'!N$2)</f>
        <v>0</v>
      </c>
      <c r="O45" s="288">
        <f>SUMIFS('MoDi Initiatives'!M:M,'MoDi Initiatives'!$E:$E,'Gap Analysis update'!$B45,'MoDi Initiatives'!$A:$A,'Gap Analysis update'!$A45,'MoDi Initiatives'!$B:$B,'Gap Analysis update'!O$2)-SUMIFS('MoDi Initiatives'!M:M,'MoDi Initiatives'!$E:$E,'Gap Analysis update'!$B45,'MoDi Initiatives'!$A:$A,'Gap Analysis update'!$A45,'MoDi Initiatives'!$C:$C,'Gap Analysis update'!$B$7,'MoDi Initiatives'!$B:$B,'Gap Analysis update'!O$2)</f>
        <v>-0.12068181966439584</v>
      </c>
      <c r="P45" s="288">
        <f>SUMIFS('MoDi Initiatives'!N:N,'MoDi Initiatives'!$E:$E,'Gap Analysis update'!$B45,'MoDi Initiatives'!$A:$A,'Gap Analysis update'!$A45,'MoDi Initiatives'!$B:$B,'Gap Analysis update'!P$2)-SUMIFS('MoDi Initiatives'!N:N,'MoDi Initiatives'!$E:$E,'Gap Analysis update'!$B45,'MoDi Initiatives'!$A:$A,'Gap Analysis update'!$A45,'MoDi Initiatives'!$C:$C,'Gap Analysis update'!$B$7,'MoDi Initiatives'!$B:$B,'Gap Analysis update'!P$2)</f>
        <v>-7.2796143400444019E-2</v>
      </c>
      <c r="Q45" s="288">
        <f>SUMIFS('MoDi Initiatives'!O:O,'MoDi Initiatives'!$E:$E,'Gap Analysis update'!$B45,'MoDi Initiatives'!$A:$A,'Gap Analysis update'!$A45,'MoDi Initiatives'!$B:$B,'Gap Analysis update'!Q$2)-SUMIFS('MoDi Initiatives'!O:O,'MoDi Initiatives'!$E:$E,'Gap Analysis update'!$B45,'MoDi Initiatives'!$A:$A,'Gap Analysis update'!$A45,'MoDi Initiatives'!$C:$C,'Gap Analysis update'!$B$7,'MoDi Initiatives'!$B:$B,'Gap Analysis update'!Q$2)</f>
        <v>0</v>
      </c>
      <c r="R45" s="288">
        <f>SUMIFS('MoDi Initiatives'!P:P,'MoDi Initiatives'!$E:$E,'Gap Analysis update'!$B45,'MoDi Initiatives'!$A:$A,'Gap Analysis update'!$A45,'MoDi Initiatives'!$B:$B,'Gap Analysis update'!R$2)-SUMIFS('MoDi Initiatives'!P:P,'MoDi Initiatives'!$E:$E,'Gap Analysis update'!$B45,'MoDi Initiatives'!$A:$A,'Gap Analysis update'!$A45,'MoDi Initiatives'!$C:$C,'Gap Analysis update'!$B$7,'MoDi Initiatives'!$B:$B,'Gap Analysis update'!R$2)</f>
        <v>0</v>
      </c>
      <c r="S45" s="288">
        <f>SUMIFS('MoDi Initiatives'!Q:Q,'MoDi Initiatives'!$E:$E,'Gap Analysis update'!$B45,'MoDi Initiatives'!$A:$A,'Gap Analysis update'!$A45,'MoDi Initiatives'!$B:$B,'Gap Analysis update'!S$2)-SUMIFS('MoDi Initiatives'!Q:Q,'MoDi Initiatives'!$E:$E,'Gap Analysis update'!$B45,'MoDi Initiatives'!$A:$A,'Gap Analysis update'!$A45,'MoDi Initiatives'!$C:$C,'Gap Analysis update'!$B$7,'MoDi Initiatives'!$B:$B,'Gap Analysis update'!S$2)</f>
        <v>0</v>
      </c>
      <c r="T45" s="288">
        <f>SUMIFS('MoDi Initiatives'!R:R,'MoDi Initiatives'!$E:$E,'Gap Analysis update'!$B45,'MoDi Initiatives'!$A:$A,'Gap Analysis update'!$A45,'MoDi Initiatives'!$B:$B,'Gap Analysis update'!T$2)-SUMIFS('MoDi Initiatives'!R:R,'MoDi Initiatives'!$E:$E,'Gap Analysis update'!$B45,'MoDi Initiatives'!$A:$A,'Gap Analysis update'!$A45,'MoDi Initiatives'!$C:$C,'Gap Analysis update'!$B$7,'MoDi Initiatives'!$B:$B,'Gap Analysis update'!T$2)</f>
        <v>0</v>
      </c>
      <c r="U45" s="288">
        <f>SUMIFS('MoDi Initiatives'!S:S,'MoDi Initiatives'!$E:$E,'Gap Analysis update'!$B45,'MoDi Initiatives'!$A:$A,'Gap Analysis update'!$A45,'MoDi Initiatives'!$B:$B,'Gap Analysis update'!U$2)-SUMIFS('MoDi Initiatives'!S:S,'MoDi Initiatives'!$E:$E,'Gap Analysis update'!$B45,'MoDi Initiatives'!$A:$A,'Gap Analysis update'!$A45,'MoDi Initiatives'!$C:$C,'Gap Analysis update'!$B$7,'MoDi Initiatives'!$B:$B,'Gap Analysis update'!U$2)</f>
        <v>0</v>
      </c>
      <c r="V45" s="288">
        <f>SUMIFS('MoDi Initiatives'!T:T,'MoDi Initiatives'!$E:$E,'Gap Analysis update'!$B45,'MoDi Initiatives'!$A:$A,'Gap Analysis update'!$A45,'MoDi Initiatives'!$B:$B,'Gap Analysis update'!V$2)-SUMIFS('MoDi Initiatives'!T:T,'MoDi Initiatives'!$E:$E,'Gap Analysis update'!$B45,'MoDi Initiatives'!$A:$A,'Gap Analysis update'!$A45,'MoDi Initiatives'!$C:$C,'Gap Analysis update'!$B$7,'MoDi Initiatives'!$B:$B,'Gap Analysis update'!V$2)</f>
        <v>-6.7049079447777391E-3</v>
      </c>
      <c r="W45" s="288">
        <f>SUMIFS('MoDi Initiatives'!U:U,'MoDi Initiatives'!$E:$E,'Gap Analysis update'!$B45,'MoDi Initiatives'!$A:$A,'Gap Analysis update'!$A45,'MoDi Initiatives'!$B:$B,'Gap Analysis update'!W$2)-SUMIFS('MoDi Initiatives'!U:U,'MoDi Initiatives'!$E:$E,'Gap Analysis update'!$B45,'MoDi Initiatives'!$A:$A,'Gap Analysis update'!$A45,'MoDi Initiatives'!$C:$C,'Gap Analysis update'!$B$7,'MoDi Initiatives'!$B:$B,'Gap Analysis update'!W$2)</f>
        <v>0</v>
      </c>
      <c r="X45" s="288">
        <f>SUMIFS('MoDi Initiatives'!V:V,'MoDi Initiatives'!$E:$E,'Gap Analysis update'!$B45,'MoDi Initiatives'!$A:$A,'Gap Analysis update'!$A45,'MoDi Initiatives'!$B:$B,'Gap Analysis update'!X$2)-SUMIFS('MoDi Initiatives'!V:V,'MoDi Initiatives'!$E:$E,'Gap Analysis update'!$B45,'MoDi Initiatives'!$A:$A,'Gap Analysis update'!$A45,'MoDi Initiatives'!$C:$C,'Gap Analysis update'!$B$7,'MoDi Initiatives'!$B:$B,'Gap Analysis update'!X$2)</f>
        <v>0</v>
      </c>
      <c r="Y45" s="288">
        <f>SUMIFS('MoDi Initiatives'!W:W,'MoDi Initiatives'!$E:$E,'Gap Analysis update'!$B45,'MoDi Initiatives'!$A:$A,'Gap Analysis update'!$A45,'MoDi Initiatives'!$B:$B,'Gap Analysis update'!Y$2)-SUMIFS('MoDi Initiatives'!W:W,'MoDi Initiatives'!$E:$E,'Gap Analysis update'!$B45,'MoDi Initiatives'!$A:$A,'Gap Analysis update'!$A45,'MoDi Initiatives'!$C:$C,'Gap Analysis update'!$B$7,'MoDi Initiatives'!$B:$B,'Gap Analysis update'!Y$2)</f>
        <v>0</v>
      </c>
      <c r="Z45" s="293"/>
      <c r="AB45" s="298">
        <f>SUMIFS('MoDi Initiatives'!H:H,'MoDi Initiatives'!$E:$E,'Gap Analysis update'!$B45,'MoDi Initiatives'!$A:$A,'Gap Analysis update'!$A45,'MoDi Initiatives'!$B:$B,'Gap Analysis update'!AB$2)-SUMIFS('MoDi Initiatives'!H:H,'MoDi Initiatives'!$E:$E,'Gap Analysis update'!$B45,'MoDi Initiatives'!$A:$A,'Gap Analysis update'!$A45,'MoDi Initiatives'!$B:$B,'Gap Analysis update'!AB$2,'MoDi Initiatives'!$C:$C,'Gap Analysis update'!$B$7)</f>
        <v>0</v>
      </c>
      <c r="AC45" s="298">
        <f>SUMIFS('MoDi Initiatives'!I:I,'MoDi Initiatives'!$E:$E,'Gap Analysis update'!$B45,'MoDi Initiatives'!$A:$A,'Gap Analysis update'!$A45,'MoDi Initiatives'!$B:$B,'Gap Analysis update'!AC$2)-SUMIFS('MoDi Initiatives'!I:I,'MoDi Initiatives'!$E:$E,'Gap Analysis update'!$B45,'MoDi Initiatives'!$A:$A,'Gap Analysis update'!$A45,'MoDi Initiatives'!$B:$B,'Gap Analysis update'!AC$2,'MoDi Initiatives'!$C:$C,'Gap Analysis update'!$B$7)</f>
        <v>0</v>
      </c>
      <c r="AD45" s="298">
        <f>SUMIFS('MoDi Initiatives'!J:J,'MoDi Initiatives'!$E:$E,'Gap Analysis update'!$B45,'MoDi Initiatives'!$A:$A,'Gap Analysis update'!$A45,'MoDi Initiatives'!$B:$B,'Gap Analysis update'!AD$2)-SUMIFS('MoDi Initiatives'!J:J,'MoDi Initiatives'!$E:$E,'Gap Analysis update'!$B45,'MoDi Initiatives'!$A:$A,'Gap Analysis update'!$A45,'MoDi Initiatives'!$B:$B,'Gap Analysis update'!AD$2,'MoDi Initiatives'!$C:$C,'Gap Analysis update'!$B$7)</f>
        <v>0</v>
      </c>
      <c r="AE45" s="298">
        <f>SUMIFS('MoDi Initiatives'!K:K,'MoDi Initiatives'!$E:$E,'Gap Analysis update'!$B45,'MoDi Initiatives'!$A:$A,'Gap Analysis update'!$A45,'MoDi Initiatives'!$B:$B,'Gap Analysis update'!AE$2)-SUMIFS('MoDi Initiatives'!K:K,'MoDi Initiatives'!$E:$E,'Gap Analysis update'!$B45,'MoDi Initiatives'!$A:$A,'Gap Analysis update'!$A45,'MoDi Initiatives'!$B:$B,'Gap Analysis update'!AE$2,'MoDi Initiatives'!$C:$C,'Gap Analysis update'!$B$7)</f>
        <v>0</v>
      </c>
      <c r="AF45" s="298">
        <f>SUMIFS('MoDi Initiatives'!L:L,'MoDi Initiatives'!$E:$E,'Gap Analysis update'!$B45,'MoDi Initiatives'!$A:$A,'Gap Analysis update'!$A45,'MoDi Initiatives'!$B:$B,'Gap Analysis update'!AF$2)-SUMIFS('MoDi Initiatives'!L:L,'MoDi Initiatives'!$E:$E,'Gap Analysis update'!$B45,'MoDi Initiatives'!$A:$A,'Gap Analysis update'!$A45,'MoDi Initiatives'!$B:$B,'Gap Analysis update'!AF$2,'MoDi Initiatives'!$C:$C,'Gap Analysis update'!$B$7)</f>
        <v>0</v>
      </c>
      <c r="AG45" s="298">
        <f>SUMIFS('MoDi Initiatives'!M:M,'MoDi Initiatives'!$E:$E,'Gap Analysis update'!$B45,'MoDi Initiatives'!$A:$A,'Gap Analysis update'!$A45,'MoDi Initiatives'!$B:$B,'Gap Analysis update'!AG$2)-SUMIFS('MoDi Initiatives'!M:M,'MoDi Initiatives'!$E:$E,'Gap Analysis update'!$B45,'MoDi Initiatives'!$A:$A,'Gap Analysis update'!$A45,'MoDi Initiatives'!$B:$B,'Gap Analysis update'!AG$2,'MoDi Initiatives'!$C:$C,'Gap Analysis update'!$B$7)</f>
        <v>0</v>
      </c>
      <c r="AH45" s="298">
        <f>SUMIFS('MoDi Initiatives'!N:N,'MoDi Initiatives'!$E:$E,'Gap Analysis update'!$B45,'MoDi Initiatives'!$A:$A,'Gap Analysis update'!$A45,'MoDi Initiatives'!$B:$B,'Gap Analysis update'!AH$2)-SUMIFS('MoDi Initiatives'!N:N,'MoDi Initiatives'!$E:$E,'Gap Analysis update'!$B45,'MoDi Initiatives'!$A:$A,'Gap Analysis update'!$A45,'MoDi Initiatives'!$B:$B,'Gap Analysis update'!AH$2,'MoDi Initiatives'!$C:$C,'Gap Analysis update'!$B$7)</f>
        <v>-1.8482801209862426E-2</v>
      </c>
      <c r="AI45" s="298">
        <f>SUMIFS('MoDi Initiatives'!O:O,'MoDi Initiatives'!$E:$E,'Gap Analysis update'!$B45,'MoDi Initiatives'!$A:$A,'Gap Analysis update'!$A45,'MoDi Initiatives'!$B:$B,'Gap Analysis update'!AI$2)-SUMIFS('MoDi Initiatives'!O:O,'MoDi Initiatives'!$E:$E,'Gap Analysis update'!$B45,'MoDi Initiatives'!$A:$A,'Gap Analysis update'!$A45,'MoDi Initiatives'!$B:$B,'Gap Analysis update'!AI$2,'MoDi Initiatives'!$C:$C,'Gap Analysis update'!$B$7)</f>
        <v>-1.609090928858611E-2</v>
      </c>
      <c r="AJ45" s="298">
        <f>SUMIFS('MoDi Initiatives'!P:P,'MoDi Initiatives'!$E:$E,'Gap Analysis update'!$B45,'MoDi Initiatives'!$A:$A,'Gap Analysis update'!$A45,'MoDi Initiatives'!$B:$B,'Gap Analysis update'!AJ$2)-SUMIFS('MoDi Initiatives'!P:P,'MoDi Initiatives'!$E:$E,'Gap Analysis update'!$B45,'MoDi Initiatives'!$A:$A,'Gap Analysis update'!$A45,'MoDi Initiatives'!$B:$B,'Gap Analysis update'!AJ$2,'MoDi Initiatives'!$C:$C,'Gap Analysis update'!$B$7)</f>
        <v>0</v>
      </c>
      <c r="AK45" s="292">
        <f>SUMIFS('MoDi Initiatives'!Q:Q,'MoDi Initiatives'!$E:$E,'Gap Analysis update'!$B45,'MoDi Initiatives'!$A:$A,'Gap Analysis update'!$A45,'MoDi Initiatives'!$B:$B,'Gap Analysis update'!AK$2)-SUMIFS('MoDi Initiatives'!Q:Q,'MoDi Initiatives'!$E:$E,'Gap Analysis update'!$B45,'MoDi Initiatives'!$A:$A,'Gap Analysis update'!$A45,'MoDi Initiatives'!$B:$B,'Gap Analysis update'!AK$2,'MoDi Initiatives'!$C:$C,'Gap Analysis update'!$B$7)</f>
        <v>-5.3903584077675606E-3</v>
      </c>
      <c r="AL45" s="298">
        <f>SUMIFS('MoDi Initiatives'!R:R,'MoDi Initiatives'!$E:$E,'Gap Analysis update'!$B45,'MoDi Initiatives'!$A:$A,'Gap Analysis update'!$A45,'MoDi Initiatives'!$B:$B,'Gap Analysis update'!AL$2)-SUMIFS('MoDi Initiatives'!R:R,'MoDi Initiatives'!$E:$E,'Gap Analysis update'!$B45,'MoDi Initiatives'!$A:$A,'Gap Analysis update'!$A45,'MoDi Initiatives'!$B:$B,'Gap Analysis update'!AL$2,'MoDi Initiatives'!$C:$C,'Gap Analysis update'!$B$7)</f>
        <v>0</v>
      </c>
      <c r="AM45" s="298">
        <f>SUMIFS('MoDi Initiatives'!S:S,'MoDi Initiatives'!$E:$E,'Gap Analysis update'!$B45,'MoDi Initiatives'!$A:$A,'Gap Analysis update'!$A45,'MoDi Initiatives'!$B:$B,'Gap Analysis update'!AM$2)-SUMIFS('MoDi Initiatives'!S:S,'MoDi Initiatives'!$E:$E,'Gap Analysis update'!$B45,'MoDi Initiatives'!$A:$A,'Gap Analysis update'!$A45,'MoDi Initiatives'!$B:$B,'Gap Analysis update'!AM$2,'MoDi Initiatives'!$C:$C,'Gap Analysis update'!$B$7)</f>
        <v>-3.1284556452939899E-2</v>
      </c>
      <c r="AN45" s="298">
        <f>SUMIFS('MoDi Initiatives'!T:T,'MoDi Initiatives'!$E:$E,'Gap Analysis update'!$B45,'MoDi Initiatives'!$A:$A,'Gap Analysis update'!$A45,'MoDi Initiatives'!$B:$B,'Gap Analysis update'!AN$2)-SUMIFS('MoDi Initiatives'!T:T,'MoDi Initiatives'!$E:$E,'Gap Analysis update'!$B45,'MoDi Initiatives'!$A:$A,'Gap Analysis update'!$A45,'MoDi Initiatives'!$B:$B,'Gap Analysis update'!AN$2,'MoDi Initiatives'!$C:$C,'Gap Analysis update'!$B$7)</f>
        <v>-2.3918919212763136E-3</v>
      </c>
      <c r="AO45" s="298">
        <f>SUMIFS('MoDi Initiatives'!U:U,'MoDi Initiatives'!$E:$E,'Gap Analysis update'!$B45,'MoDi Initiatives'!$A:$A,'Gap Analysis update'!$A45,'MoDi Initiatives'!$B:$B,'Gap Analysis update'!AO$2)-SUMIFS('MoDi Initiatives'!U:U,'MoDi Initiatives'!$E:$E,'Gap Analysis update'!$B45,'MoDi Initiatives'!$A:$A,'Gap Analysis update'!$A45,'MoDi Initiatives'!$B:$B,'Gap Analysis update'!AO$2,'MoDi Initiatives'!$C:$C,'Gap Analysis update'!$B$7)</f>
        <v>3.9140049620885131E-2</v>
      </c>
      <c r="AP45" s="298">
        <f>SUMIFS('MoDi Initiatives'!V:V,'MoDi Initiatives'!$E:$E,'Gap Analysis update'!$B45,'MoDi Initiatives'!$A:$A,'Gap Analysis update'!$A45,'MoDi Initiatives'!$B:$B,'Gap Analysis update'!AP$2)-SUMIFS('MoDi Initiatives'!V:V,'MoDi Initiatives'!$E:$E,'Gap Analysis update'!$B45,'MoDi Initiatives'!$A:$A,'Gap Analysis update'!$A45,'MoDi Initiatives'!$B:$B,'Gap Analysis update'!AP$2,'MoDi Initiatives'!$C:$C,'Gap Analysis update'!$B$7)</f>
        <v>0</v>
      </c>
      <c r="AQ45" s="298">
        <f>SUMIFS('MoDi Initiatives'!W:W,'MoDi Initiatives'!$E:$E,'Gap Analysis update'!$B45,'MoDi Initiatives'!$A:$A,'Gap Analysis update'!$A45,'MoDi Initiatives'!$B:$B,'Gap Analysis update'!AQ$2)-SUMIFS('MoDi Initiatives'!W:W,'MoDi Initiatives'!$E:$E,'Gap Analysis update'!$B45,'MoDi Initiatives'!$A:$A,'Gap Analysis update'!$A45,'MoDi Initiatives'!$B:$B,'Gap Analysis update'!AQ$2,'MoDi Initiatives'!$C:$C,'Gap Analysis update'!$B$7)</f>
        <v>0</v>
      </c>
      <c r="AR45" s="293"/>
      <c r="AS45" s="303"/>
      <c r="AT45" s="303">
        <f t="shared" si="41"/>
        <v>0</v>
      </c>
      <c r="AU45" s="303">
        <f t="shared" si="41"/>
        <v>0</v>
      </c>
      <c r="AV45" s="303">
        <f t="shared" si="41"/>
        <v>-2.8002301978529508E-2</v>
      </c>
      <c r="AW45" s="303">
        <f t="shared" si="41"/>
        <v>0</v>
      </c>
      <c r="AX45" s="303">
        <f t="shared" si="41"/>
        <v>0</v>
      </c>
      <c r="AY45" s="303">
        <f t="shared" si="41"/>
        <v>0.12068181966439584</v>
      </c>
      <c r="AZ45" s="303">
        <f t="shared" si="41"/>
        <v>5.4313342190581593E-2</v>
      </c>
      <c r="BA45" s="303">
        <f t="shared" si="41"/>
        <v>-1.609090928858611E-2</v>
      </c>
      <c r="BB45" s="295">
        <f t="shared" si="41"/>
        <v>0</v>
      </c>
      <c r="BC45" s="303">
        <f t="shared" si="41"/>
        <v>-5.3903584077675606E-3</v>
      </c>
      <c r="BD45" s="303">
        <f t="shared" si="41"/>
        <v>0</v>
      </c>
      <c r="BE45" s="303">
        <f t="shared" si="41"/>
        <v>-3.1284556452939899E-2</v>
      </c>
      <c r="BF45" s="303">
        <f t="shared" si="41"/>
        <v>4.3130160235014259E-3</v>
      </c>
      <c r="BG45" s="303">
        <f t="shared" si="41"/>
        <v>3.9140049620885131E-2</v>
      </c>
      <c r="BH45" s="303">
        <f t="shared" si="41"/>
        <v>0</v>
      </c>
      <c r="BI45" s="303">
        <f t="shared" si="41"/>
        <v>0</v>
      </c>
      <c r="BJ45" s="293"/>
      <c r="BK45" s="302"/>
      <c r="BL45" s="302" t="s">
        <v>111</v>
      </c>
      <c r="BM45" s="302"/>
      <c r="BN45" s="302" t="s">
        <v>112</v>
      </c>
      <c r="BO45" s="302"/>
      <c r="BP45" s="302"/>
      <c r="BQ45" s="302" t="s">
        <v>113</v>
      </c>
      <c r="BR45" s="302" t="s">
        <v>114</v>
      </c>
      <c r="BS45" s="302" t="s">
        <v>115</v>
      </c>
      <c r="BT45" s="302" t="s">
        <v>22</v>
      </c>
      <c r="BU45" s="302" t="s">
        <v>116</v>
      </c>
      <c r="BV45" s="302"/>
      <c r="BW45" s="302"/>
      <c r="BX45" s="302" t="s">
        <v>42</v>
      </c>
      <c r="BY45" s="302" t="s">
        <v>117</v>
      </c>
      <c r="BZ45" s="302"/>
      <c r="CA45" s="302"/>
    </row>
    <row r="46" spans="1:80" s="298" customFormat="1" ht="52">
      <c r="A46" s="296" t="s">
        <v>107</v>
      </c>
      <c r="B46" s="287" t="s">
        <v>43</v>
      </c>
      <c r="C46" s="288">
        <f t="shared" si="42"/>
        <v>2.2167073355642943E-3</v>
      </c>
      <c r="D46" s="289">
        <f t="shared" si="40"/>
        <v>5.7483881910121398E-4</v>
      </c>
      <c r="E46" s="289">
        <f t="shared" si="8"/>
        <v>2.7915461546655085E-3</v>
      </c>
      <c r="F46" s="306"/>
      <c r="G46" s="286"/>
      <c r="H46" s="297"/>
      <c r="J46" s="288"/>
      <c r="K46" s="288"/>
      <c r="L46" s="288">
        <f>SUMIFS('MoDi Initiatives'!J:J,'MoDi Initiatives'!$E:$E,'Gap Analysis update'!$B46,'MoDi Initiatives'!$A:$A,'Gap Analysis update'!$A46,'MoDi Initiatives'!$B:$B,'Gap Analysis update'!L$2)-SUMIFS('MoDi Initiatives'!J:J,'MoDi Initiatives'!$E:$E,'Gap Analysis update'!$B46,'MoDi Initiatives'!$A:$A,'Gap Analysis update'!$A46,'MoDi Initiatives'!$C:$C,'Gap Analysis update'!$B$7,'MoDi Initiatives'!$B:$B,'Gap Analysis update'!L$2)</f>
        <v>0</v>
      </c>
      <c r="M46" s="288">
        <f>SUMIFS('MoDi Initiatives'!K:K,'MoDi Initiatives'!$E:$E,'Gap Analysis update'!$B46,'MoDi Initiatives'!$A:$A,'Gap Analysis update'!$A46,'MoDi Initiatives'!$B:$B,'Gap Analysis update'!M$2)-SUMIFS('MoDi Initiatives'!K:K,'MoDi Initiatives'!$E:$E,'Gap Analysis update'!$B46,'MoDi Initiatives'!$A:$A,'Gap Analysis update'!$A46,'MoDi Initiatives'!$C:$C,'Gap Analysis update'!$B$7,'MoDi Initiatives'!$B:$B,'Gap Analysis update'!M$2)</f>
        <v>0</v>
      </c>
      <c r="N46" s="288">
        <f>SUMIFS('MoDi Initiatives'!L:L,'MoDi Initiatives'!$E:$E,'Gap Analysis update'!$B46,'MoDi Initiatives'!$A:$A,'Gap Analysis update'!$A46,'MoDi Initiatives'!$B:$B,'Gap Analysis update'!N$2)-SUMIFS('MoDi Initiatives'!L:L,'MoDi Initiatives'!$E:$E,'Gap Analysis update'!$B46,'MoDi Initiatives'!$A:$A,'Gap Analysis update'!$A46,'MoDi Initiatives'!$C:$C,'Gap Analysis update'!$B$7,'MoDi Initiatives'!$B:$B,'Gap Analysis update'!N$2)</f>
        <v>0</v>
      </c>
      <c r="O46" s="288">
        <f>SUMIFS('MoDi Initiatives'!M:M,'MoDi Initiatives'!$E:$E,'Gap Analysis update'!$B46,'MoDi Initiatives'!$A:$A,'Gap Analysis update'!$A46,'MoDi Initiatives'!$B:$B,'Gap Analysis update'!O$2)-SUMIFS('MoDi Initiatives'!M:M,'MoDi Initiatives'!$E:$E,'Gap Analysis update'!$B46,'MoDi Initiatives'!$A:$A,'Gap Analysis update'!$A46,'MoDi Initiatives'!$C:$C,'Gap Analysis update'!$B$7,'MoDi Initiatives'!$B:$B,'Gap Analysis update'!O$2)</f>
        <v>0</v>
      </c>
      <c r="P46" s="288">
        <f>SUMIFS('MoDi Initiatives'!N:N,'MoDi Initiatives'!$E:$E,'Gap Analysis update'!$B46,'MoDi Initiatives'!$A:$A,'Gap Analysis update'!$A46,'MoDi Initiatives'!$B:$B,'Gap Analysis update'!P$2)-SUMIFS('MoDi Initiatives'!N:N,'MoDi Initiatives'!$E:$E,'Gap Analysis update'!$B46,'MoDi Initiatives'!$A:$A,'Gap Analysis update'!$A46,'MoDi Initiatives'!$C:$C,'Gap Analysis update'!$B$7,'MoDi Initiatives'!$B:$B,'Gap Analysis update'!P$2)</f>
        <v>-8.6225822865182104E-3</v>
      </c>
      <c r="Q46" s="288">
        <f>SUMIFS('MoDi Initiatives'!O:O,'MoDi Initiatives'!$E:$E,'Gap Analysis update'!$B46,'MoDi Initiatives'!$A:$A,'Gap Analysis update'!$A46,'MoDi Initiatives'!$B:$B,'Gap Analysis update'!Q$2)-SUMIFS('MoDi Initiatives'!O:O,'MoDi Initiatives'!$E:$E,'Gap Analysis update'!$B46,'MoDi Initiatives'!$A:$A,'Gap Analysis update'!$A46,'MoDi Initiatives'!$C:$C,'Gap Analysis update'!$B$7,'MoDi Initiatives'!$B:$B,'Gap Analysis update'!Q$2)</f>
        <v>0</v>
      </c>
      <c r="R46" s="288">
        <f>SUMIFS('MoDi Initiatives'!P:P,'MoDi Initiatives'!$E:$E,'Gap Analysis update'!$B46,'MoDi Initiatives'!$A:$A,'Gap Analysis update'!$A46,'MoDi Initiatives'!$B:$B,'Gap Analysis update'!R$2)-SUMIFS('MoDi Initiatives'!P:P,'MoDi Initiatives'!$E:$E,'Gap Analysis update'!$B46,'MoDi Initiatives'!$A:$A,'Gap Analysis update'!$A46,'MoDi Initiatives'!$C:$C,'Gap Analysis update'!$B$7,'MoDi Initiatives'!$B:$B,'Gap Analysis update'!R$2)</f>
        <v>0</v>
      </c>
      <c r="S46" s="288">
        <f>SUMIFS('MoDi Initiatives'!Q:Q,'MoDi Initiatives'!$E:$E,'Gap Analysis update'!$B46,'MoDi Initiatives'!$A:$A,'Gap Analysis update'!$A46,'MoDi Initiatives'!$B:$B,'Gap Analysis update'!S$2)-SUMIFS('MoDi Initiatives'!Q:Q,'MoDi Initiatives'!$E:$E,'Gap Analysis update'!$B46,'MoDi Initiatives'!$A:$A,'Gap Analysis update'!$A46,'MoDi Initiatives'!$C:$C,'Gap Analysis update'!$B$7,'MoDi Initiatives'!$B:$B,'Gap Analysis update'!S$2)</f>
        <v>0</v>
      </c>
      <c r="T46" s="288">
        <f>SUMIFS('MoDi Initiatives'!R:R,'MoDi Initiatives'!$E:$E,'Gap Analysis update'!$B46,'MoDi Initiatives'!$A:$A,'Gap Analysis update'!$A46,'MoDi Initiatives'!$B:$B,'Gap Analysis update'!T$2)-SUMIFS('MoDi Initiatives'!R:R,'MoDi Initiatives'!$E:$E,'Gap Analysis update'!$B46,'MoDi Initiatives'!$A:$A,'Gap Analysis update'!$A46,'MoDi Initiatives'!$C:$C,'Gap Analysis update'!$B$7,'MoDi Initiatives'!$B:$B,'Gap Analysis update'!T$2)</f>
        <v>0</v>
      </c>
      <c r="U46" s="288">
        <f>SUMIFS('MoDi Initiatives'!S:S,'MoDi Initiatives'!$E:$E,'Gap Analysis update'!$B46,'MoDi Initiatives'!$A:$A,'Gap Analysis update'!$A46,'MoDi Initiatives'!$B:$B,'Gap Analysis update'!U$2)-SUMIFS('MoDi Initiatives'!S:S,'MoDi Initiatives'!$E:$E,'Gap Analysis update'!$B46,'MoDi Initiatives'!$A:$A,'Gap Analysis update'!$A46,'MoDi Initiatives'!$C:$C,'Gap Analysis update'!$B$7,'MoDi Initiatives'!$B:$B,'Gap Analysis update'!U$2)</f>
        <v>0</v>
      </c>
      <c r="V46" s="288">
        <f>SUMIFS('MoDi Initiatives'!T:T,'MoDi Initiatives'!$E:$E,'Gap Analysis update'!$B46,'MoDi Initiatives'!$A:$A,'Gap Analysis update'!$A46,'MoDi Initiatives'!$B:$B,'Gap Analysis update'!V$2)-SUMIFS('MoDi Initiatives'!T:T,'MoDi Initiatives'!$E:$E,'Gap Analysis update'!$B46,'MoDi Initiatives'!$A:$A,'Gap Analysis update'!$A46,'MoDi Initiatives'!$C:$C,'Gap Analysis update'!$B$7,'MoDi Initiatives'!$B:$B,'Gap Analysis update'!V$2)</f>
        <v>0</v>
      </c>
      <c r="W46" s="288">
        <f>SUMIFS('MoDi Initiatives'!U:U,'MoDi Initiatives'!$E:$E,'Gap Analysis update'!$B46,'MoDi Initiatives'!$A:$A,'Gap Analysis update'!$A46,'MoDi Initiatives'!$B:$B,'Gap Analysis update'!W$2)-SUMIFS('MoDi Initiatives'!U:U,'MoDi Initiatives'!$E:$E,'Gap Analysis update'!$B46,'MoDi Initiatives'!$A:$A,'Gap Analysis update'!$A46,'MoDi Initiatives'!$C:$C,'Gap Analysis update'!$B$7,'MoDi Initiatives'!$B:$B,'Gap Analysis update'!W$2)</f>
        <v>0</v>
      </c>
      <c r="X46" s="288">
        <f>SUMIFS('MoDi Initiatives'!V:V,'MoDi Initiatives'!$E:$E,'Gap Analysis update'!$B46,'MoDi Initiatives'!$A:$A,'Gap Analysis update'!$A46,'MoDi Initiatives'!$B:$B,'Gap Analysis update'!X$2)-SUMIFS('MoDi Initiatives'!V:V,'MoDi Initiatives'!$E:$E,'Gap Analysis update'!$B46,'MoDi Initiatives'!$A:$A,'Gap Analysis update'!$A46,'MoDi Initiatives'!$C:$C,'Gap Analysis update'!$B$7,'MoDi Initiatives'!$B:$B,'Gap Analysis update'!X$2)</f>
        <v>0</v>
      </c>
      <c r="Y46" s="288">
        <f>SUMIFS('MoDi Initiatives'!W:W,'MoDi Initiatives'!$E:$E,'Gap Analysis update'!$B46,'MoDi Initiatives'!$A:$A,'Gap Analysis update'!$A46,'MoDi Initiatives'!$B:$B,'Gap Analysis update'!Y$2)-SUMIFS('MoDi Initiatives'!W:W,'MoDi Initiatives'!$E:$E,'Gap Analysis update'!$B46,'MoDi Initiatives'!$A:$A,'Gap Analysis update'!$A46,'MoDi Initiatives'!$C:$C,'Gap Analysis update'!$B$7,'MoDi Initiatives'!$B:$B,'Gap Analysis update'!Y$2)</f>
        <v>0</v>
      </c>
      <c r="Z46" s="293"/>
      <c r="AB46" s="298">
        <f>SUMIFS('MoDi Initiatives'!H:H,'MoDi Initiatives'!$E:$E,'Gap Analysis update'!$B46,'MoDi Initiatives'!$A:$A,'Gap Analysis update'!$A46,'MoDi Initiatives'!$B:$B,'Gap Analysis update'!AB$2)-SUMIFS('MoDi Initiatives'!H:H,'MoDi Initiatives'!$E:$E,'Gap Analysis update'!$B46,'MoDi Initiatives'!$A:$A,'Gap Analysis update'!$A46,'MoDi Initiatives'!$B:$B,'Gap Analysis update'!AB$2,'MoDi Initiatives'!$C:$C,'Gap Analysis update'!$B$7)</f>
        <v>0</v>
      </c>
      <c r="AC46" s="298">
        <f>SUMIFS('MoDi Initiatives'!I:I,'MoDi Initiatives'!$E:$E,'Gap Analysis update'!$B46,'MoDi Initiatives'!$A:$A,'Gap Analysis update'!$A46,'MoDi Initiatives'!$B:$B,'Gap Analysis update'!AC$2)-SUMIFS('MoDi Initiatives'!I:I,'MoDi Initiatives'!$E:$E,'Gap Analysis update'!$B46,'MoDi Initiatives'!$A:$A,'Gap Analysis update'!$A46,'MoDi Initiatives'!$B:$B,'Gap Analysis update'!AC$2,'MoDi Initiatives'!$C:$C,'Gap Analysis update'!$B$7)</f>
        <v>0</v>
      </c>
      <c r="AD46" s="298">
        <f>SUMIFS('MoDi Initiatives'!J:J,'MoDi Initiatives'!$E:$E,'Gap Analysis update'!$B46,'MoDi Initiatives'!$A:$A,'Gap Analysis update'!$A46,'MoDi Initiatives'!$B:$B,'Gap Analysis update'!AD$2)-SUMIFS('MoDi Initiatives'!J:J,'MoDi Initiatives'!$E:$E,'Gap Analysis update'!$B46,'MoDi Initiatives'!$A:$A,'Gap Analysis update'!$A46,'MoDi Initiatives'!$B:$B,'Gap Analysis update'!AD$2,'MoDi Initiatives'!$C:$C,'Gap Analysis update'!$B$7)</f>
        <v>-5.1316953947384066E-4</v>
      </c>
      <c r="AE46" s="298">
        <f>SUMIFS('MoDi Initiatives'!K:K,'MoDi Initiatives'!$E:$E,'Gap Analysis update'!$B46,'MoDi Initiatives'!$A:$A,'Gap Analysis update'!$A46,'MoDi Initiatives'!$B:$B,'Gap Analysis update'!AE$2)-SUMIFS('MoDi Initiatives'!K:K,'MoDi Initiatives'!$E:$E,'Gap Analysis update'!$B46,'MoDi Initiatives'!$A:$A,'Gap Analysis update'!$A46,'MoDi Initiatives'!$B:$B,'Gap Analysis update'!AE$2,'MoDi Initiatives'!$C:$C,'Gap Analysis update'!$B$7)</f>
        <v>0</v>
      </c>
      <c r="AF46" s="298">
        <f>SUMIFS('MoDi Initiatives'!L:L,'MoDi Initiatives'!$E:$E,'Gap Analysis update'!$B46,'MoDi Initiatives'!$A:$A,'Gap Analysis update'!$A46,'MoDi Initiatives'!$B:$B,'Gap Analysis update'!AF$2)-SUMIFS('MoDi Initiatives'!L:L,'MoDi Initiatives'!$E:$E,'Gap Analysis update'!$B46,'MoDi Initiatives'!$A:$A,'Gap Analysis update'!$A46,'MoDi Initiatives'!$B:$B,'Gap Analysis update'!AF$2,'MoDi Initiatives'!$C:$C,'Gap Analysis update'!$B$7)</f>
        <v>0</v>
      </c>
      <c r="AG46" s="298">
        <f>SUMIFS('MoDi Initiatives'!M:M,'MoDi Initiatives'!$E:$E,'Gap Analysis update'!$B46,'MoDi Initiatives'!$A:$A,'Gap Analysis update'!$A46,'MoDi Initiatives'!$B:$B,'Gap Analysis update'!AG$2)-SUMIFS('MoDi Initiatives'!M:M,'MoDi Initiatives'!$E:$E,'Gap Analysis update'!$B46,'MoDi Initiatives'!$A:$A,'Gap Analysis update'!$A46,'MoDi Initiatives'!$B:$B,'Gap Analysis update'!AG$2,'MoDi Initiatives'!$C:$C,'Gap Analysis update'!$B$7)</f>
        <v>-5.8927054114800755E-3</v>
      </c>
      <c r="AH46" s="298">
        <f>SUMIFS('MoDi Initiatives'!N:N,'MoDi Initiatives'!$E:$E,'Gap Analysis update'!$B46,'MoDi Initiatives'!$A:$A,'Gap Analysis update'!$A46,'MoDi Initiatives'!$B:$B,'Gap Analysis update'!AH$2)-SUMIFS('MoDi Initiatives'!N:N,'MoDi Initiatives'!$E:$E,'Gap Analysis update'!$B46,'MoDi Initiatives'!$A:$A,'Gap Analysis update'!$A46,'MoDi Initiatives'!$B:$B,'Gap Analysis update'!AH$2,'MoDi Initiatives'!$C:$C,'Gap Analysis update'!$B$7)</f>
        <v>0</v>
      </c>
      <c r="AI46" s="298">
        <f>SUMIFS('MoDi Initiatives'!O:O,'MoDi Initiatives'!$E:$E,'Gap Analysis update'!$B46,'MoDi Initiatives'!$A:$A,'Gap Analysis update'!$A46,'MoDi Initiatives'!$B:$B,'Gap Analysis update'!AI$2)-SUMIFS('MoDi Initiatives'!O:O,'MoDi Initiatives'!$E:$E,'Gap Analysis update'!$B46,'MoDi Initiatives'!$A:$A,'Gap Analysis update'!$A46,'MoDi Initiatives'!$B:$B,'Gap Analysis update'!AI$2,'MoDi Initiatives'!$C:$C,'Gap Analysis update'!$B$7)</f>
        <v>0</v>
      </c>
      <c r="AJ46" s="298">
        <f>SUMIFS('MoDi Initiatives'!P:P,'MoDi Initiatives'!$E:$E,'Gap Analysis update'!$B46,'MoDi Initiatives'!$A:$A,'Gap Analysis update'!$A46,'MoDi Initiatives'!$B:$B,'Gap Analysis update'!AJ$2)-SUMIFS('MoDi Initiatives'!P:P,'MoDi Initiatives'!$E:$E,'Gap Analysis update'!$B46,'MoDi Initiatives'!$A:$A,'Gap Analysis update'!$A46,'MoDi Initiatives'!$B:$B,'Gap Analysis update'!AJ$2,'MoDi Initiatives'!$C:$C,'Gap Analysis update'!$B$7)</f>
        <v>0</v>
      </c>
      <c r="AK46" s="298">
        <f>SUMIFS('MoDi Initiatives'!Q:Q,'MoDi Initiatives'!$E:$E,'Gap Analysis update'!$B46,'MoDi Initiatives'!$A:$A,'Gap Analysis update'!$A46,'MoDi Initiatives'!$B:$B,'Gap Analysis update'!AK$2)-SUMIFS('MoDi Initiatives'!Q:Q,'MoDi Initiatives'!$E:$E,'Gap Analysis update'!$B46,'MoDi Initiatives'!$A:$A,'Gap Analysis update'!$A46,'MoDi Initiatives'!$B:$B,'Gap Analysis update'!AK$2,'MoDi Initiatives'!$C:$C,'Gap Analysis update'!$B$7)</f>
        <v>5.7483881910121398E-4</v>
      </c>
      <c r="AL46" s="298">
        <f>SUMIFS('MoDi Initiatives'!R:R,'MoDi Initiatives'!$E:$E,'Gap Analysis update'!$B46,'MoDi Initiatives'!$A:$A,'Gap Analysis update'!$A46,'MoDi Initiatives'!$B:$B,'Gap Analysis update'!AL$2)-SUMIFS('MoDi Initiatives'!R:R,'MoDi Initiatives'!$E:$E,'Gap Analysis update'!$B46,'MoDi Initiatives'!$A:$A,'Gap Analysis update'!$A46,'MoDi Initiatives'!$B:$B,'Gap Analysis update'!AL$2,'MoDi Initiatives'!$C:$C,'Gap Analysis update'!$B$7)</f>
        <v>0</v>
      </c>
      <c r="AM46" s="298">
        <f>SUMIFS('MoDi Initiatives'!S:S,'MoDi Initiatives'!$E:$E,'Gap Analysis update'!$B46,'MoDi Initiatives'!$A:$A,'Gap Analysis update'!$A46,'MoDi Initiatives'!$B:$B,'Gap Analysis update'!AM$2)-SUMIFS('MoDi Initiatives'!S:S,'MoDi Initiatives'!$E:$E,'Gap Analysis update'!$B46,'MoDi Initiatives'!$A:$A,'Gap Analysis update'!$A46,'MoDi Initiatives'!$B:$B,'Gap Analysis update'!AM$2,'MoDi Initiatives'!$C:$C,'Gap Analysis update'!$B$7)</f>
        <v>0</v>
      </c>
      <c r="AN46" s="298">
        <f>SUMIFS('MoDi Initiatives'!T:T,'MoDi Initiatives'!$E:$E,'Gap Analysis update'!$B46,'MoDi Initiatives'!$A:$A,'Gap Analysis update'!$A46,'MoDi Initiatives'!$B:$B,'Gap Analysis update'!AN$2)-SUMIFS('MoDi Initiatives'!T:T,'MoDi Initiatives'!$E:$E,'Gap Analysis update'!$B46,'MoDi Initiatives'!$A:$A,'Gap Analysis update'!$A46,'MoDi Initiatives'!$B:$B,'Gap Analysis update'!AN$2,'MoDi Initiatives'!$C:$C,'Gap Analysis update'!$B$7)</f>
        <v>0</v>
      </c>
      <c r="AO46" s="298">
        <f>SUMIFS('MoDi Initiatives'!U:U,'MoDi Initiatives'!$E:$E,'Gap Analysis update'!$B46,'MoDi Initiatives'!$A:$A,'Gap Analysis update'!$A46,'MoDi Initiatives'!$B:$B,'Gap Analysis update'!AO$2)-SUMIFS('MoDi Initiatives'!U:U,'MoDi Initiatives'!$E:$E,'Gap Analysis update'!$B46,'MoDi Initiatives'!$A:$A,'Gap Analysis update'!$A46,'MoDi Initiatives'!$B:$B,'Gap Analysis update'!AO$2,'MoDi Initiatives'!$C:$C,'Gap Analysis update'!$B$7)</f>
        <v>0</v>
      </c>
      <c r="AP46" s="298">
        <f>SUMIFS('MoDi Initiatives'!V:V,'MoDi Initiatives'!$E:$E,'Gap Analysis update'!$B46,'MoDi Initiatives'!$A:$A,'Gap Analysis update'!$A46,'MoDi Initiatives'!$B:$B,'Gap Analysis update'!AP$2)-SUMIFS('MoDi Initiatives'!V:V,'MoDi Initiatives'!$E:$E,'Gap Analysis update'!$B46,'MoDi Initiatives'!$A:$A,'Gap Analysis update'!$A46,'MoDi Initiatives'!$B:$B,'Gap Analysis update'!AP$2,'MoDi Initiatives'!$C:$C,'Gap Analysis update'!$B$7)</f>
        <v>0</v>
      </c>
      <c r="AQ46" s="298">
        <f>SUMIFS('MoDi Initiatives'!W:W,'MoDi Initiatives'!$E:$E,'Gap Analysis update'!$B46,'MoDi Initiatives'!$A:$A,'Gap Analysis update'!$A46,'MoDi Initiatives'!$B:$B,'Gap Analysis update'!AQ$2)-SUMIFS('MoDi Initiatives'!W:W,'MoDi Initiatives'!$E:$E,'Gap Analysis update'!$B46,'MoDi Initiatives'!$A:$A,'Gap Analysis update'!$A46,'MoDi Initiatives'!$B:$B,'Gap Analysis update'!AQ$2,'MoDi Initiatives'!$C:$C,'Gap Analysis update'!$B$7)</f>
        <v>0</v>
      </c>
      <c r="AR46" s="293"/>
      <c r="AS46" s="303"/>
      <c r="AT46" s="303">
        <f t="shared" si="41"/>
        <v>0</v>
      </c>
      <c r="AU46" s="303">
        <f t="shared" si="41"/>
        <v>0</v>
      </c>
      <c r="AV46" s="303">
        <f t="shared" si="41"/>
        <v>-5.1316953947384066E-4</v>
      </c>
      <c r="AW46" s="303">
        <f t="shared" si="41"/>
        <v>0</v>
      </c>
      <c r="AX46" s="303">
        <f t="shared" si="41"/>
        <v>0</v>
      </c>
      <c r="AY46" s="304">
        <f t="shared" si="41"/>
        <v>-5.8927054114800755E-3</v>
      </c>
      <c r="AZ46" s="303">
        <f t="shared" si="41"/>
        <v>8.6225822865182104E-3</v>
      </c>
      <c r="BA46" s="303">
        <f t="shared" si="41"/>
        <v>0</v>
      </c>
      <c r="BB46" s="303">
        <f t="shared" si="41"/>
        <v>0</v>
      </c>
      <c r="BC46" s="304">
        <f t="shared" si="41"/>
        <v>5.7483881910121398E-4</v>
      </c>
      <c r="BD46" s="303">
        <f t="shared" si="41"/>
        <v>0</v>
      </c>
      <c r="BE46" s="303">
        <f t="shared" si="41"/>
        <v>0</v>
      </c>
      <c r="BF46" s="303">
        <f t="shared" si="41"/>
        <v>0</v>
      </c>
      <c r="BG46" s="303">
        <f t="shared" si="41"/>
        <v>0</v>
      </c>
      <c r="BH46" s="303">
        <f t="shared" si="41"/>
        <v>0</v>
      </c>
      <c r="BI46" s="303">
        <f t="shared" si="41"/>
        <v>0</v>
      </c>
      <c r="BJ46" s="293"/>
      <c r="BK46" s="302"/>
      <c r="BL46" s="302"/>
      <c r="BM46" s="302"/>
      <c r="BN46" s="302" t="s">
        <v>118</v>
      </c>
      <c r="BO46" s="302"/>
      <c r="BP46" s="302"/>
      <c r="BQ46" s="302" t="s">
        <v>76</v>
      </c>
      <c r="BR46" s="302" t="s">
        <v>29</v>
      </c>
      <c r="BS46" s="302"/>
      <c r="BT46" s="302" t="s">
        <v>22</v>
      </c>
      <c r="BU46" s="302" t="s">
        <v>78</v>
      </c>
      <c r="BV46" s="302"/>
      <c r="BW46" s="302"/>
      <c r="BX46" s="302"/>
      <c r="BY46" s="302"/>
      <c r="BZ46" s="302"/>
      <c r="CA46" s="302"/>
    </row>
    <row r="47" spans="1:80" s="298" customFormat="1" ht="26">
      <c r="A47" s="296" t="s">
        <v>107</v>
      </c>
      <c r="B47" s="287" t="s">
        <v>49</v>
      </c>
      <c r="C47" s="288">
        <f t="shared" si="42"/>
        <v>0</v>
      </c>
      <c r="D47" s="289">
        <f t="shared" si="40"/>
        <v>0</v>
      </c>
      <c r="E47" s="289">
        <f t="shared" si="8"/>
        <v>0</v>
      </c>
      <c r="F47" s="306"/>
      <c r="G47" s="286"/>
      <c r="H47" s="297"/>
      <c r="J47" s="288"/>
      <c r="K47" s="288"/>
      <c r="L47" s="288">
        <f>SUMIFS('MoDi Initiatives'!J:J,'MoDi Initiatives'!$E:$E,'Gap Analysis update'!$B47,'MoDi Initiatives'!$A:$A,'Gap Analysis update'!$A47,'MoDi Initiatives'!$B:$B,'Gap Analysis update'!L$2)-SUMIFS('MoDi Initiatives'!J:J,'MoDi Initiatives'!$E:$E,'Gap Analysis update'!$B47,'MoDi Initiatives'!$A:$A,'Gap Analysis update'!$A47,'MoDi Initiatives'!$C:$C,'Gap Analysis update'!$B$7,'MoDi Initiatives'!$B:$B,'Gap Analysis update'!L$2)</f>
        <v>0</v>
      </c>
      <c r="M47" s="288">
        <f>SUMIFS('MoDi Initiatives'!K:K,'MoDi Initiatives'!$E:$E,'Gap Analysis update'!$B47,'MoDi Initiatives'!$A:$A,'Gap Analysis update'!$A47,'MoDi Initiatives'!$B:$B,'Gap Analysis update'!M$2)-SUMIFS('MoDi Initiatives'!K:K,'MoDi Initiatives'!$E:$E,'Gap Analysis update'!$B47,'MoDi Initiatives'!$A:$A,'Gap Analysis update'!$A47,'MoDi Initiatives'!$C:$C,'Gap Analysis update'!$B$7,'MoDi Initiatives'!$B:$B,'Gap Analysis update'!M$2)</f>
        <v>0</v>
      </c>
      <c r="N47" s="288">
        <f>SUMIFS('MoDi Initiatives'!L:L,'MoDi Initiatives'!$E:$E,'Gap Analysis update'!$B47,'MoDi Initiatives'!$A:$A,'Gap Analysis update'!$A47,'MoDi Initiatives'!$B:$B,'Gap Analysis update'!N$2)-SUMIFS('MoDi Initiatives'!L:L,'MoDi Initiatives'!$E:$E,'Gap Analysis update'!$B47,'MoDi Initiatives'!$A:$A,'Gap Analysis update'!$A47,'MoDi Initiatives'!$C:$C,'Gap Analysis update'!$B$7,'MoDi Initiatives'!$B:$B,'Gap Analysis update'!N$2)</f>
        <v>0</v>
      </c>
      <c r="O47" s="288">
        <f>SUMIFS('MoDi Initiatives'!M:M,'MoDi Initiatives'!$E:$E,'Gap Analysis update'!$B47,'MoDi Initiatives'!$A:$A,'Gap Analysis update'!$A47,'MoDi Initiatives'!$B:$B,'Gap Analysis update'!O$2)-SUMIFS('MoDi Initiatives'!M:M,'MoDi Initiatives'!$E:$E,'Gap Analysis update'!$B47,'MoDi Initiatives'!$A:$A,'Gap Analysis update'!$A47,'MoDi Initiatives'!$C:$C,'Gap Analysis update'!$B$7,'MoDi Initiatives'!$B:$B,'Gap Analysis update'!O$2)</f>
        <v>0</v>
      </c>
      <c r="P47" s="288">
        <f>SUMIFS('MoDi Initiatives'!N:N,'MoDi Initiatives'!$E:$E,'Gap Analysis update'!$B47,'MoDi Initiatives'!$A:$A,'Gap Analysis update'!$A47,'MoDi Initiatives'!$B:$B,'Gap Analysis update'!P$2)-SUMIFS('MoDi Initiatives'!N:N,'MoDi Initiatives'!$E:$E,'Gap Analysis update'!$B47,'MoDi Initiatives'!$A:$A,'Gap Analysis update'!$A47,'MoDi Initiatives'!$C:$C,'Gap Analysis update'!$B$7,'MoDi Initiatives'!$B:$B,'Gap Analysis update'!P$2)</f>
        <v>0</v>
      </c>
      <c r="Q47" s="288">
        <f>SUMIFS('MoDi Initiatives'!O:O,'MoDi Initiatives'!$E:$E,'Gap Analysis update'!$B47,'MoDi Initiatives'!$A:$A,'Gap Analysis update'!$A47,'MoDi Initiatives'!$B:$B,'Gap Analysis update'!Q$2)-SUMIFS('MoDi Initiatives'!O:O,'MoDi Initiatives'!$E:$E,'Gap Analysis update'!$B47,'MoDi Initiatives'!$A:$A,'Gap Analysis update'!$A47,'MoDi Initiatives'!$C:$C,'Gap Analysis update'!$B$7,'MoDi Initiatives'!$B:$B,'Gap Analysis update'!Q$2)</f>
        <v>0</v>
      </c>
      <c r="R47" s="288">
        <f>SUMIFS('MoDi Initiatives'!P:P,'MoDi Initiatives'!$E:$E,'Gap Analysis update'!$B47,'MoDi Initiatives'!$A:$A,'Gap Analysis update'!$A47,'MoDi Initiatives'!$B:$B,'Gap Analysis update'!R$2)-SUMIFS('MoDi Initiatives'!P:P,'MoDi Initiatives'!$E:$E,'Gap Analysis update'!$B47,'MoDi Initiatives'!$A:$A,'Gap Analysis update'!$A47,'MoDi Initiatives'!$C:$C,'Gap Analysis update'!$B$7,'MoDi Initiatives'!$B:$B,'Gap Analysis update'!R$2)</f>
        <v>0</v>
      </c>
      <c r="S47" s="288">
        <f>SUMIFS('MoDi Initiatives'!Q:Q,'MoDi Initiatives'!$E:$E,'Gap Analysis update'!$B47,'MoDi Initiatives'!$A:$A,'Gap Analysis update'!$A47,'MoDi Initiatives'!$B:$B,'Gap Analysis update'!S$2)-SUMIFS('MoDi Initiatives'!Q:Q,'MoDi Initiatives'!$E:$E,'Gap Analysis update'!$B47,'MoDi Initiatives'!$A:$A,'Gap Analysis update'!$A47,'MoDi Initiatives'!$C:$C,'Gap Analysis update'!$B$7,'MoDi Initiatives'!$B:$B,'Gap Analysis update'!S$2)</f>
        <v>0</v>
      </c>
      <c r="T47" s="288">
        <f>SUMIFS('MoDi Initiatives'!R:R,'MoDi Initiatives'!$E:$E,'Gap Analysis update'!$B47,'MoDi Initiatives'!$A:$A,'Gap Analysis update'!$A47,'MoDi Initiatives'!$B:$B,'Gap Analysis update'!T$2)-SUMIFS('MoDi Initiatives'!R:R,'MoDi Initiatives'!$E:$E,'Gap Analysis update'!$B47,'MoDi Initiatives'!$A:$A,'Gap Analysis update'!$A47,'MoDi Initiatives'!$C:$C,'Gap Analysis update'!$B$7,'MoDi Initiatives'!$B:$B,'Gap Analysis update'!T$2)</f>
        <v>0</v>
      </c>
      <c r="U47" s="288">
        <f>SUMIFS('MoDi Initiatives'!S:S,'MoDi Initiatives'!$E:$E,'Gap Analysis update'!$B47,'MoDi Initiatives'!$A:$A,'Gap Analysis update'!$A47,'MoDi Initiatives'!$B:$B,'Gap Analysis update'!U$2)-SUMIFS('MoDi Initiatives'!S:S,'MoDi Initiatives'!$E:$E,'Gap Analysis update'!$B47,'MoDi Initiatives'!$A:$A,'Gap Analysis update'!$A47,'MoDi Initiatives'!$C:$C,'Gap Analysis update'!$B$7,'MoDi Initiatives'!$B:$B,'Gap Analysis update'!U$2)</f>
        <v>0</v>
      </c>
      <c r="V47" s="288">
        <f>SUMIFS('MoDi Initiatives'!T:T,'MoDi Initiatives'!$E:$E,'Gap Analysis update'!$B47,'MoDi Initiatives'!$A:$A,'Gap Analysis update'!$A47,'MoDi Initiatives'!$B:$B,'Gap Analysis update'!V$2)-SUMIFS('MoDi Initiatives'!T:T,'MoDi Initiatives'!$E:$E,'Gap Analysis update'!$B47,'MoDi Initiatives'!$A:$A,'Gap Analysis update'!$A47,'MoDi Initiatives'!$C:$C,'Gap Analysis update'!$B$7,'MoDi Initiatives'!$B:$B,'Gap Analysis update'!V$2)</f>
        <v>0</v>
      </c>
      <c r="W47" s="288">
        <f>SUMIFS('MoDi Initiatives'!U:U,'MoDi Initiatives'!$E:$E,'Gap Analysis update'!$B47,'MoDi Initiatives'!$A:$A,'Gap Analysis update'!$A47,'MoDi Initiatives'!$B:$B,'Gap Analysis update'!W$2)-SUMIFS('MoDi Initiatives'!U:U,'MoDi Initiatives'!$E:$E,'Gap Analysis update'!$B47,'MoDi Initiatives'!$A:$A,'Gap Analysis update'!$A47,'MoDi Initiatives'!$C:$C,'Gap Analysis update'!$B$7,'MoDi Initiatives'!$B:$B,'Gap Analysis update'!W$2)</f>
        <v>0</v>
      </c>
      <c r="X47" s="288">
        <f>SUMIFS('MoDi Initiatives'!V:V,'MoDi Initiatives'!$E:$E,'Gap Analysis update'!$B47,'MoDi Initiatives'!$A:$A,'Gap Analysis update'!$A47,'MoDi Initiatives'!$B:$B,'Gap Analysis update'!X$2)-SUMIFS('MoDi Initiatives'!V:V,'MoDi Initiatives'!$E:$E,'Gap Analysis update'!$B47,'MoDi Initiatives'!$A:$A,'Gap Analysis update'!$A47,'MoDi Initiatives'!$C:$C,'Gap Analysis update'!$B$7,'MoDi Initiatives'!$B:$B,'Gap Analysis update'!X$2)</f>
        <v>0</v>
      </c>
      <c r="Y47" s="288">
        <f>SUMIFS('MoDi Initiatives'!W:W,'MoDi Initiatives'!$E:$E,'Gap Analysis update'!$B47,'MoDi Initiatives'!$A:$A,'Gap Analysis update'!$A47,'MoDi Initiatives'!$B:$B,'Gap Analysis update'!Y$2)-SUMIFS('MoDi Initiatives'!W:W,'MoDi Initiatives'!$E:$E,'Gap Analysis update'!$B47,'MoDi Initiatives'!$A:$A,'Gap Analysis update'!$A47,'MoDi Initiatives'!$C:$C,'Gap Analysis update'!$B$7,'MoDi Initiatives'!$B:$B,'Gap Analysis update'!Y$2)</f>
        <v>0</v>
      </c>
      <c r="Z47" s="293"/>
      <c r="AB47" s="298">
        <f>SUMIFS('MoDi Initiatives'!H:H,'MoDi Initiatives'!$E:$E,'Gap Analysis update'!$B47,'MoDi Initiatives'!$A:$A,'Gap Analysis update'!$A47,'MoDi Initiatives'!$B:$B,'Gap Analysis update'!AB$2)-SUMIFS('MoDi Initiatives'!H:H,'MoDi Initiatives'!$E:$E,'Gap Analysis update'!$B47,'MoDi Initiatives'!$A:$A,'Gap Analysis update'!$A47,'MoDi Initiatives'!$B:$B,'Gap Analysis update'!AB$2,'MoDi Initiatives'!$C:$C,'Gap Analysis update'!$B$7)</f>
        <v>0</v>
      </c>
      <c r="AC47" s="298">
        <f>SUMIFS('MoDi Initiatives'!I:I,'MoDi Initiatives'!$E:$E,'Gap Analysis update'!$B47,'MoDi Initiatives'!$A:$A,'Gap Analysis update'!$A47,'MoDi Initiatives'!$B:$B,'Gap Analysis update'!AC$2)-SUMIFS('MoDi Initiatives'!I:I,'MoDi Initiatives'!$E:$E,'Gap Analysis update'!$B47,'MoDi Initiatives'!$A:$A,'Gap Analysis update'!$A47,'MoDi Initiatives'!$B:$B,'Gap Analysis update'!AC$2,'MoDi Initiatives'!$C:$C,'Gap Analysis update'!$B$7)</f>
        <v>0</v>
      </c>
      <c r="AD47" s="298">
        <f>SUMIFS('MoDi Initiatives'!J:J,'MoDi Initiatives'!$E:$E,'Gap Analysis update'!$B47,'MoDi Initiatives'!$A:$A,'Gap Analysis update'!$A47,'MoDi Initiatives'!$B:$B,'Gap Analysis update'!AD$2)-SUMIFS('MoDi Initiatives'!J:J,'MoDi Initiatives'!$E:$E,'Gap Analysis update'!$B47,'MoDi Initiatives'!$A:$A,'Gap Analysis update'!$A47,'MoDi Initiatives'!$B:$B,'Gap Analysis update'!AD$2,'MoDi Initiatives'!$C:$C,'Gap Analysis update'!$B$7)</f>
        <v>0</v>
      </c>
      <c r="AE47" s="298">
        <f>SUMIFS('MoDi Initiatives'!K:K,'MoDi Initiatives'!$E:$E,'Gap Analysis update'!$B47,'MoDi Initiatives'!$A:$A,'Gap Analysis update'!$A47,'MoDi Initiatives'!$B:$B,'Gap Analysis update'!AE$2)-SUMIFS('MoDi Initiatives'!K:K,'MoDi Initiatives'!$E:$E,'Gap Analysis update'!$B47,'MoDi Initiatives'!$A:$A,'Gap Analysis update'!$A47,'MoDi Initiatives'!$B:$B,'Gap Analysis update'!AE$2,'MoDi Initiatives'!$C:$C,'Gap Analysis update'!$B$7)</f>
        <v>0</v>
      </c>
      <c r="AF47" s="298">
        <f>SUMIFS('MoDi Initiatives'!L:L,'MoDi Initiatives'!$E:$E,'Gap Analysis update'!$B47,'MoDi Initiatives'!$A:$A,'Gap Analysis update'!$A47,'MoDi Initiatives'!$B:$B,'Gap Analysis update'!AF$2)-SUMIFS('MoDi Initiatives'!L:L,'MoDi Initiatives'!$E:$E,'Gap Analysis update'!$B47,'MoDi Initiatives'!$A:$A,'Gap Analysis update'!$A47,'MoDi Initiatives'!$B:$B,'Gap Analysis update'!AF$2,'MoDi Initiatives'!$C:$C,'Gap Analysis update'!$B$7)</f>
        <v>0</v>
      </c>
      <c r="AG47" s="298">
        <f>SUMIFS('MoDi Initiatives'!M:M,'MoDi Initiatives'!$E:$E,'Gap Analysis update'!$B47,'MoDi Initiatives'!$A:$A,'Gap Analysis update'!$A47,'MoDi Initiatives'!$B:$B,'Gap Analysis update'!AG$2)-SUMIFS('MoDi Initiatives'!M:M,'MoDi Initiatives'!$E:$E,'Gap Analysis update'!$B47,'MoDi Initiatives'!$A:$A,'Gap Analysis update'!$A47,'MoDi Initiatives'!$B:$B,'Gap Analysis update'!AG$2,'MoDi Initiatives'!$C:$C,'Gap Analysis update'!$B$7)</f>
        <v>0</v>
      </c>
      <c r="AH47" s="298">
        <f>SUMIFS('MoDi Initiatives'!N:N,'MoDi Initiatives'!$E:$E,'Gap Analysis update'!$B47,'MoDi Initiatives'!$A:$A,'Gap Analysis update'!$A47,'MoDi Initiatives'!$B:$B,'Gap Analysis update'!AH$2)-SUMIFS('MoDi Initiatives'!N:N,'MoDi Initiatives'!$E:$E,'Gap Analysis update'!$B47,'MoDi Initiatives'!$A:$A,'Gap Analysis update'!$A47,'MoDi Initiatives'!$B:$B,'Gap Analysis update'!AH$2,'MoDi Initiatives'!$C:$C,'Gap Analysis update'!$B$7)</f>
        <v>0</v>
      </c>
      <c r="AI47" s="298">
        <f>SUMIFS('MoDi Initiatives'!O:O,'MoDi Initiatives'!$E:$E,'Gap Analysis update'!$B47,'MoDi Initiatives'!$A:$A,'Gap Analysis update'!$A47,'MoDi Initiatives'!$B:$B,'Gap Analysis update'!AI$2)-SUMIFS('MoDi Initiatives'!O:O,'MoDi Initiatives'!$E:$E,'Gap Analysis update'!$B47,'MoDi Initiatives'!$A:$A,'Gap Analysis update'!$A47,'MoDi Initiatives'!$B:$B,'Gap Analysis update'!AI$2,'MoDi Initiatives'!$C:$C,'Gap Analysis update'!$B$7)</f>
        <v>0</v>
      </c>
      <c r="AJ47" s="298">
        <f>SUMIFS('MoDi Initiatives'!P:P,'MoDi Initiatives'!$E:$E,'Gap Analysis update'!$B47,'MoDi Initiatives'!$A:$A,'Gap Analysis update'!$A47,'MoDi Initiatives'!$B:$B,'Gap Analysis update'!AJ$2)-SUMIFS('MoDi Initiatives'!P:P,'MoDi Initiatives'!$E:$E,'Gap Analysis update'!$B47,'MoDi Initiatives'!$A:$A,'Gap Analysis update'!$A47,'MoDi Initiatives'!$B:$B,'Gap Analysis update'!AJ$2,'MoDi Initiatives'!$C:$C,'Gap Analysis update'!$B$7)</f>
        <v>0</v>
      </c>
      <c r="AK47" s="298">
        <f>SUMIFS('MoDi Initiatives'!Q:Q,'MoDi Initiatives'!$E:$E,'Gap Analysis update'!$B47,'MoDi Initiatives'!$A:$A,'Gap Analysis update'!$A47,'MoDi Initiatives'!$B:$B,'Gap Analysis update'!AK$2)-SUMIFS('MoDi Initiatives'!Q:Q,'MoDi Initiatives'!$E:$E,'Gap Analysis update'!$B47,'MoDi Initiatives'!$A:$A,'Gap Analysis update'!$A47,'MoDi Initiatives'!$B:$B,'Gap Analysis update'!AK$2,'MoDi Initiatives'!$C:$C,'Gap Analysis update'!$B$7)</f>
        <v>0</v>
      </c>
      <c r="AL47" s="298">
        <f>SUMIFS('MoDi Initiatives'!R:R,'MoDi Initiatives'!$E:$E,'Gap Analysis update'!$B47,'MoDi Initiatives'!$A:$A,'Gap Analysis update'!$A47,'MoDi Initiatives'!$B:$B,'Gap Analysis update'!AL$2)-SUMIFS('MoDi Initiatives'!R:R,'MoDi Initiatives'!$E:$E,'Gap Analysis update'!$B47,'MoDi Initiatives'!$A:$A,'Gap Analysis update'!$A47,'MoDi Initiatives'!$B:$B,'Gap Analysis update'!AL$2,'MoDi Initiatives'!$C:$C,'Gap Analysis update'!$B$7)</f>
        <v>0</v>
      </c>
      <c r="AM47" s="298">
        <f>SUMIFS('MoDi Initiatives'!S:S,'MoDi Initiatives'!$E:$E,'Gap Analysis update'!$B47,'MoDi Initiatives'!$A:$A,'Gap Analysis update'!$A47,'MoDi Initiatives'!$B:$B,'Gap Analysis update'!AM$2)-SUMIFS('MoDi Initiatives'!S:S,'MoDi Initiatives'!$E:$E,'Gap Analysis update'!$B47,'MoDi Initiatives'!$A:$A,'Gap Analysis update'!$A47,'MoDi Initiatives'!$B:$B,'Gap Analysis update'!AM$2,'MoDi Initiatives'!$C:$C,'Gap Analysis update'!$B$7)</f>
        <v>0</v>
      </c>
      <c r="AN47" s="298">
        <f>SUMIFS('MoDi Initiatives'!T:T,'MoDi Initiatives'!$E:$E,'Gap Analysis update'!$B47,'MoDi Initiatives'!$A:$A,'Gap Analysis update'!$A47,'MoDi Initiatives'!$B:$B,'Gap Analysis update'!AN$2)-SUMIFS('MoDi Initiatives'!T:T,'MoDi Initiatives'!$E:$E,'Gap Analysis update'!$B47,'MoDi Initiatives'!$A:$A,'Gap Analysis update'!$A47,'MoDi Initiatives'!$B:$B,'Gap Analysis update'!AN$2,'MoDi Initiatives'!$C:$C,'Gap Analysis update'!$B$7)</f>
        <v>0</v>
      </c>
      <c r="AO47" s="298">
        <f>SUMIFS('MoDi Initiatives'!U:U,'MoDi Initiatives'!$E:$E,'Gap Analysis update'!$B47,'MoDi Initiatives'!$A:$A,'Gap Analysis update'!$A47,'MoDi Initiatives'!$B:$B,'Gap Analysis update'!AO$2)-SUMIFS('MoDi Initiatives'!U:U,'MoDi Initiatives'!$E:$E,'Gap Analysis update'!$B47,'MoDi Initiatives'!$A:$A,'Gap Analysis update'!$A47,'MoDi Initiatives'!$B:$B,'Gap Analysis update'!AO$2,'MoDi Initiatives'!$C:$C,'Gap Analysis update'!$B$7)</f>
        <v>0</v>
      </c>
      <c r="AP47" s="298">
        <f>SUMIFS('MoDi Initiatives'!V:V,'MoDi Initiatives'!$E:$E,'Gap Analysis update'!$B47,'MoDi Initiatives'!$A:$A,'Gap Analysis update'!$A47,'MoDi Initiatives'!$B:$B,'Gap Analysis update'!AP$2)-SUMIFS('MoDi Initiatives'!V:V,'MoDi Initiatives'!$E:$E,'Gap Analysis update'!$B47,'MoDi Initiatives'!$A:$A,'Gap Analysis update'!$A47,'MoDi Initiatives'!$B:$B,'Gap Analysis update'!AP$2,'MoDi Initiatives'!$C:$C,'Gap Analysis update'!$B$7)</f>
        <v>0</v>
      </c>
      <c r="AQ47" s="298">
        <f>SUMIFS('MoDi Initiatives'!W:W,'MoDi Initiatives'!$E:$E,'Gap Analysis update'!$B47,'MoDi Initiatives'!$A:$A,'Gap Analysis update'!$A47,'MoDi Initiatives'!$B:$B,'Gap Analysis update'!AQ$2)-SUMIFS('MoDi Initiatives'!W:W,'MoDi Initiatives'!$E:$E,'Gap Analysis update'!$B47,'MoDi Initiatives'!$A:$A,'Gap Analysis update'!$A47,'MoDi Initiatives'!$B:$B,'Gap Analysis update'!AQ$2,'MoDi Initiatives'!$C:$C,'Gap Analysis update'!$B$7)</f>
        <v>0</v>
      </c>
      <c r="AR47" s="293"/>
      <c r="AS47" s="303"/>
      <c r="AT47" s="303">
        <f t="shared" si="41"/>
        <v>0</v>
      </c>
      <c r="AU47" s="303">
        <f t="shared" si="41"/>
        <v>0</v>
      </c>
      <c r="AV47" s="303">
        <f t="shared" si="41"/>
        <v>0</v>
      </c>
      <c r="AW47" s="303">
        <f t="shared" si="41"/>
        <v>0</v>
      </c>
      <c r="AX47" s="303">
        <f t="shared" si="41"/>
        <v>0</v>
      </c>
      <c r="AY47" s="303">
        <f t="shared" si="41"/>
        <v>0</v>
      </c>
      <c r="AZ47" s="303">
        <f t="shared" si="41"/>
        <v>0</v>
      </c>
      <c r="BA47" s="303">
        <f t="shared" si="41"/>
        <v>0</v>
      </c>
      <c r="BB47" s="303">
        <f t="shared" si="41"/>
        <v>0</v>
      </c>
      <c r="BC47" s="303">
        <f t="shared" si="41"/>
        <v>0</v>
      </c>
      <c r="BD47" s="303">
        <f t="shared" si="41"/>
        <v>0</v>
      </c>
      <c r="BE47" s="303">
        <f t="shared" si="41"/>
        <v>0</v>
      </c>
      <c r="BF47" s="303">
        <f t="shared" si="41"/>
        <v>0</v>
      </c>
      <c r="BG47" s="303">
        <f t="shared" si="41"/>
        <v>0</v>
      </c>
      <c r="BH47" s="303">
        <f t="shared" si="41"/>
        <v>0</v>
      </c>
      <c r="BI47" s="303">
        <f t="shared" si="41"/>
        <v>0</v>
      </c>
      <c r="BJ47" s="293"/>
      <c r="BK47" s="302"/>
      <c r="BL47" s="302"/>
      <c r="BM47" s="302"/>
      <c r="BN47" s="302" t="s">
        <v>51</v>
      </c>
      <c r="BO47" s="302"/>
      <c r="BP47" s="302"/>
      <c r="BQ47" s="302"/>
      <c r="BR47" s="302" t="s">
        <v>52</v>
      </c>
      <c r="BS47" s="302" t="s">
        <v>51</v>
      </c>
      <c r="BT47" s="302" t="s">
        <v>22</v>
      </c>
      <c r="BU47" s="302"/>
      <c r="BV47" s="302"/>
      <c r="BW47" s="302"/>
      <c r="BX47" s="302"/>
      <c r="BY47" s="302"/>
      <c r="BZ47" s="302"/>
      <c r="CA47" s="302"/>
    </row>
    <row r="48" spans="1:80" s="298" customFormat="1" ht="13">
      <c r="A48" s="296" t="s">
        <v>107</v>
      </c>
      <c r="B48" s="287" t="s">
        <v>53</v>
      </c>
      <c r="C48" s="288">
        <f t="shared" si="42"/>
        <v>5.3952383955208245E-5</v>
      </c>
      <c r="D48" s="289">
        <f t="shared" si="40"/>
        <v>0</v>
      </c>
      <c r="E48" s="289">
        <f t="shared" si="8"/>
        <v>5.3952383955208245E-5</v>
      </c>
      <c r="F48" s="306"/>
      <c r="G48" s="286"/>
      <c r="H48" s="297"/>
      <c r="J48" s="288"/>
      <c r="K48" s="288"/>
      <c r="L48" s="288">
        <f>SUMIFS('MoDi Initiatives'!J:J,'MoDi Initiatives'!$E:$E,'Gap Analysis update'!$B48,'MoDi Initiatives'!$A:$A,'Gap Analysis update'!$A48,'MoDi Initiatives'!$B:$B,'Gap Analysis update'!L$2)-SUMIFS('MoDi Initiatives'!J:J,'MoDi Initiatives'!$E:$E,'Gap Analysis update'!$B48,'MoDi Initiatives'!$A:$A,'Gap Analysis update'!$A48,'MoDi Initiatives'!$C:$C,'Gap Analysis update'!$B$7,'MoDi Initiatives'!$B:$B,'Gap Analysis update'!L$2)</f>
        <v>0</v>
      </c>
      <c r="M48" s="288">
        <f>SUMIFS('MoDi Initiatives'!K:K,'MoDi Initiatives'!$E:$E,'Gap Analysis update'!$B48,'MoDi Initiatives'!$A:$A,'Gap Analysis update'!$A48,'MoDi Initiatives'!$B:$B,'Gap Analysis update'!M$2)-SUMIFS('MoDi Initiatives'!K:K,'MoDi Initiatives'!$E:$E,'Gap Analysis update'!$B48,'MoDi Initiatives'!$A:$A,'Gap Analysis update'!$A48,'MoDi Initiatives'!$C:$C,'Gap Analysis update'!$B$7,'MoDi Initiatives'!$B:$B,'Gap Analysis update'!M$2)</f>
        <v>-7.664517588016187E-3</v>
      </c>
      <c r="N48" s="288">
        <f>SUMIFS('MoDi Initiatives'!L:L,'MoDi Initiatives'!$E:$E,'Gap Analysis update'!$B48,'MoDi Initiatives'!$A:$A,'Gap Analysis update'!$A48,'MoDi Initiatives'!$B:$B,'Gap Analysis update'!N$2)-SUMIFS('MoDi Initiatives'!L:L,'MoDi Initiatives'!$E:$E,'Gap Analysis update'!$B48,'MoDi Initiatives'!$A:$A,'Gap Analysis update'!$A48,'MoDi Initiatives'!$C:$C,'Gap Analysis update'!$B$7,'MoDi Initiatives'!$B:$B,'Gap Analysis update'!N$2)</f>
        <v>0</v>
      </c>
      <c r="O48" s="288">
        <f>SUMIFS('MoDi Initiatives'!M:M,'MoDi Initiatives'!$E:$E,'Gap Analysis update'!$B48,'MoDi Initiatives'!$A:$A,'Gap Analysis update'!$A48,'MoDi Initiatives'!$B:$B,'Gap Analysis update'!O$2)-SUMIFS('MoDi Initiatives'!M:M,'MoDi Initiatives'!$E:$E,'Gap Analysis update'!$B48,'MoDi Initiatives'!$A:$A,'Gap Analysis update'!$A48,'MoDi Initiatives'!$C:$C,'Gap Analysis update'!$B$7,'MoDi Initiatives'!$B:$B,'Gap Analysis update'!O$2)</f>
        <v>0</v>
      </c>
      <c r="P48" s="288">
        <f>SUMIFS('MoDi Initiatives'!N:N,'MoDi Initiatives'!$E:$E,'Gap Analysis update'!$B48,'MoDi Initiatives'!$A:$A,'Gap Analysis update'!$A48,'MoDi Initiatives'!$B:$B,'Gap Analysis update'!P$2)-SUMIFS('MoDi Initiatives'!N:N,'MoDi Initiatives'!$E:$E,'Gap Analysis update'!$B48,'MoDi Initiatives'!$A:$A,'Gap Analysis update'!$A48,'MoDi Initiatives'!$C:$C,'Gap Analysis update'!$B$7,'MoDi Initiatives'!$B:$B,'Gap Analysis update'!P$2)</f>
        <v>0</v>
      </c>
      <c r="Q48" s="288">
        <f>SUMIFS('MoDi Initiatives'!O:O,'MoDi Initiatives'!$E:$E,'Gap Analysis update'!$B48,'MoDi Initiatives'!$A:$A,'Gap Analysis update'!$A48,'MoDi Initiatives'!$B:$B,'Gap Analysis update'!Q$2)-SUMIFS('MoDi Initiatives'!O:O,'MoDi Initiatives'!$E:$E,'Gap Analysis update'!$B48,'MoDi Initiatives'!$A:$A,'Gap Analysis update'!$A48,'MoDi Initiatives'!$C:$C,'Gap Analysis update'!$B$7,'MoDi Initiatives'!$B:$B,'Gap Analysis update'!Q$2)</f>
        <v>0</v>
      </c>
      <c r="R48" s="288">
        <f>SUMIFS('MoDi Initiatives'!P:P,'MoDi Initiatives'!$E:$E,'Gap Analysis update'!$B48,'MoDi Initiatives'!$A:$A,'Gap Analysis update'!$A48,'MoDi Initiatives'!$B:$B,'Gap Analysis update'!R$2)-SUMIFS('MoDi Initiatives'!P:P,'MoDi Initiatives'!$E:$E,'Gap Analysis update'!$B48,'MoDi Initiatives'!$A:$A,'Gap Analysis update'!$A48,'MoDi Initiatives'!$C:$C,'Gap Analysis update'!$B$7,'MoDi Initiatives'!$B:$B,'Gap Analysis update'!R$2)</f>
        <v>0</v>
      </c>
      <c r="S48" s="288">
        <f>SUMIFS('MoDi Initiatives'!Q:Q,'MoDi Initiatives'!$E:$E,'Gap Analysis update'!$B48,'MoDi Initiatives'!$A:$A,'Gap Analysis update'!$A48,'MoDi Initiatives'!$B:$B,'Gap Analysis update'!S$2)-SUMIFS('MoDi Initiatives'!Q:Q,'MoDi Initiatives'!$E:$E,'Gap Analysis update'!$B48,'MoDi Initiatives'!$A:$A,'Gap Analysis update'!$A48,'MoDi Initiatives'!$C:$C,'Gap Analysis update'!$B$7,'MoDi Initiatives'!$B:$B,'Gap Analysis update'!S$2)</f>
        <v>0</v>
      </c>
      <c r="T48" s="288">
        <f>SUMIFS('MoDi Initiatives'!R:R,'MoDi Initiatives'!$E:$E,'Gap Analysis update'!$B48,'MoDi Initiatives'!$A:$A,'Gap Analysis update'!$A48,'MoDi Initiatives'!$B:$B,'Gap Analysis update'!T$2)-SUMIFS('MoDi Initiatives'!R:R,'MoDi Initiatives'!$E:$E,'Gap Analysis update'!$B48,'MoDi Initiatives'!$A:$A,'Gap Analysis update'!$A48,'MoDi Initiatives'!$C:$C,'Gap Analysis update'!$B$7,'MoDi Initiatives'!$B:$B,'Gap Analysis update'!T$2)</f>
        <v>-7.664517588016187E-3</v>
      </c>
      <c r="U48" s="288">
        <f>SUMIFS('MoDi Initiatives'!S:S,'MoDi Initiatives'!$E:$E,'Gap Analysis update'!$B48,'MoDi Initiatives'!$A:$A,'Gap Analysis update'!$A48,'MoDi Initiatives'!$B:$B,'Gap Analysis update'!U$2)-SUMIFS('MoDi Initiatives'!S:S,'MoDi Initiatives'!$E:$E,'Gap Analysis update'!$B48,'MoDi Initiatives'!$A:$A,'Gap Analysis update'!$A48,'MoDi Initiatives'!$C:$C,'Gap Analysis update'!$B$7,'MoDi Initiatives'!$B:$B,'Gap Analysis update'!U$2)</f>
        <v>0</v>
      </c>
      <c r="V48" s="288">
        <f>SUMIFS('MoDi Initiatives'!T:T,'MoDi Initiatives'!$E:$E,'Gap Analysis update'!$B48,'MoDi Initiatives'!$A:$A,'Gap Analysis update'!$A48,'MoDi Initiatives'!$B:$B,'Gap Analysis update'!V$2)-SUMIFS('MoDi Initiatives'!T:T,'MoDi Initiatives'!$E:$E,'Gap Analysis update'!$B48,'MoDi Initiatives'!$A:$A,'Gap Analysis update'!$A48,'MoDi Initiatives'!$C:$C,'Gap Analysis update'!$B$7,'MoDi Initiatives'!$B:$B,'Gap Analysis update'!V$2)</f>
        <v>0</v>
      </c>
      <c r="W48" s="288">
        <f>SUMIFS('MoDi Initiatives'!U:U,'MoDi Initiatives'!$E:$E,'Gap Analysis update'!$B48,'MoDi Initiatives'!$A:$A,'Gap Analysis update'!$A48,'MoDi Initiatives'!$B:$B,'Gap Analysis update'!W$2)-SUMIFS('MoDi Initiatives'!U:U,'MoDi Initiatives'!$E:$E,'Gap Analysis update'!$B48,'MoDi Initiatives'!$A:$A,'Gap Analysis update'!$A48,'MoDi Initiatives'!$C:$C,'Gap Analysis update'!$B$7,'MoDi Initiatives'!$B:$B,'Gap Analysis update'!W$2)</f>
        <v>0</v>
      </c>
      <c r="X48" s="288">
        <f>SUMIFS('MoDi Initiatives'!V:V,'MoDi Initiatives'!$E:$E,'Gap Analysis update'!$B48,'MoDi Initiatives'!$A:$A,'Gap Analysis update'!$A48,'MoDi Initiatives'!$B:$B,'Gap Analysis update'!X$2)-SUMIFS('MoDi Initiatives'!V:V,'MoDi Initiatives'!$E:$E,'Gap Analysis update'!$B48,'MoDi Initiatives'!$A:$A,'Gap Analysis update'!$A48,'MoDi Initiatives'!$C:$C,'Gap Analysis update'!$B$7,'MoDi Initiatives'!$B:$B,'Gap Analysis update'!X$2)</f>
        <v>0</v>
      </c>
      <c r="Y48" s="288">
        <f>SUMIFS('MoDi Initiatives'!W:W,'MoDi Initiatives'!$E:$E,'Gap Analysis update'!$B48,'MoDi Initiatives'!$A:$A,'Gap Analysis update'!$A48,'MoDi Initiatives'!$B:$B,'Gap Analysis update'!Y$2)-SUMIFS('MoDi Initiatives'!W:W,'MoDi Initiatives'!$E:$E,'Gap Analysis update'!$B48,'MoDi Initiatives'!$A:$A,'Gap Analysis update'!$A48,'MoDi Initiatives'!$C:$C,'Gap Analysis update'!$B$7,'MoDi Initiatives'!$B:$B,'Gap Analysis update'!Y$2)</f>
        <v>0</v>
      </c>
      <c r="Z48" s="293"/>
      <c r="AB48" s="298">
        <f>SUMIFS('MoDi Initiatives'!H:H,'MoDi Initiatives'!$E:$E,'Gap Analysis update'!$B48,'MoDi Initiatives'!$A:$A,'Gap Analysis update'!$A48,'MoDi Initiatives'!$B:$B,'Gap Analysis update'!AB$2)-SUMIFS('MoDi Initiatives'!H:H,'MoDi Initiatives'!$E:$E,'Gap Analysis update'!$B48,'MoDi Initiatives'!$A:$A,'Gap Analysis update'!$A48,'MoDi Initiatives'!$B:$B,'Gap Analysis update'!AB$2,'MoDi Initiatives'!$C:$C,'Gap Analysis update'!$B$7)</f>
        <v>0</v>
      </c>
      <c r="AC48" s="298">
        <f>SUMIFS('MoDi Initiatives'!I:I,'MoDi Initiatives'!$E:$E,'Gap Analysis update'!$B48,'MoDi Initiatives'!$A:$A,'Gap Analysis update'!$A48,'MoDi Initiatives'!$B:$B,'Gap Analysis update'!AC$2)-SUMIFS('MoDi Initiatives'!I:I,'MoDi Initiatives'!$E:$E,'Gap Analysis update'!$B48,'MoDi Initiatives'!$A:$A,'Gap Analysis update'!$A48,'MoDi Initiatives'!$B:$B,'Gap Analysis update'!AC$2,'MoDi Initiatives'!$C:$C,'Gap Analysis update'!$B$7)</f>
        <v>0</v>
      </c>
      <c r="AD48" s="299">
        <f>SUMIFS('MoDi Initiatives'!J:J,'MoDi Initiatives'!$E:$E,'Gap Analysis update'!$B48,'MoDi Initiatives'!$A:$A,'Gap Analysis update'!$A48,'MoDi Initiatives'!$B:$B,'Gap Analysis update'!AD$2)-SUMIFS('MoDi Initiatives'!J:J,'MoDi Initiatives'!$E:$E,'Gap Analysis update'!$B48,'MoDi Initiatives'!$A:$A,'Gap Analysis update'!$A48,'MoDi Initiatives'!$B:$B,'Gap Analysis update'!AD$2,'MoDi Initiatives'!$C:$C,'Gap Analysis update'!$B$7)</f>
        <v>-7.6105652040609787E-3</v>
      </c>
      <c r="AE48" s="298">
        <f>SUMIFS('MoDi Initiatives'!K:K,'MoDi Initiatives'!$E:$E,'Gap Analysis update'!$B48,'MoDi Initiatives'!$A:$A,'Gap Analysis update'!$A48,'MoDi Initiatives'!$B:$B,'Gap Analysis update'!AE$2)-SUMIFS('MoDi Initiatives'!K:K,'MoDi Initiatives'!$E:$E,'Gap Analysis update'!$B48,'MoDi Initiatives'!$A:$A,'Gap Analysis update'!$A48,'MoDi Initiatives'!$B:$B,'Gap Analysis update'!AE$2,'MoDi Initiatives'!$C:$C,'Gap Analysis update'!$B$7)</f>
        <v>0</v>
      </c>
      <c r="AF48" s="298">
        <f>SUMIFS('MoDi Initiatives'!L:L,'MoDi Initiatives'!$E:$E,'Gap Analysis update'!$B48,'MoDi Initiatives'!$A:$A,'Gap Analysis update'!$A48,'MoDi Initiatives'!$B:$B,'Gap Analysis update'!AF$2)-SUMIFS('MoDi Initiatives'!L:L,'MoDi Initiatives'!$E:$E,'Gap Analysis update'!$B48,'MoDi Initiatives'!$A:$A,'Gap Analysis update'!$A48,'MoDi Initiatives'!$B:$B,'Gap Analysis update'!AF$2,'MoDi Initiatives'!$C:$C,'Gap Analysis update'!$B$7)</f>
        <v>0</v>
      </c>
      <c r="AG48" s="298">
        <f>SUMIFS('MoDi Initiatives'!M:M,'MoDi Initiatives'!$E:$E,'Gap Analysis update'!$B48,'MoDi Initiatives'!$A:$A,'Gap Analysis update'!$A48,'MoDi Initiatives'!$B:$B,'Gap Analysis update'!AG$2)-SUMIFS('MoDi Initiatives'!M:M,'MoDi Initiatives'!$E:$E,'Gap Analysis update'!$B48,'MoDi Initiatives'!$A:$A,'Gap Analysis update'!$A48,'MoDi Initiatives'!$B:$B,'Gap Analysis update'!AG$2,'MoDi Initiatives'!$C:$C,'Gap Analysis update'!$B$7)</f>
        <v>0</v>
      </c>
      <c r="AH48" s="298">
        <f>SUMIFS('MoDi Initiatives'!N:N,'MoDi Initiatives'!$E:$E,'Gap Analysis update'!$B48,'MoDi Initiatives'!$A:$A,'Gap Analysis update'!$A48,'MoDi Initiatives'!$B:$B,'Gap Analysis update'!AH$2)-SUMIFS('MoDi Initiatives'!N:N,'MoDi Initiatives'!$E:$E,'Gap Analysis update'!$B48,'MoDi Initiatives'!$A:$A,'Gap Analysis update'!$A48,'MoDi Initiatives'!$B:$B,'Gap Analysis update'!AH$2,'MoDi Initiatives'!$C:$C,'Gap Analysis update'!$B$7)</f>
        <v>0</v>
      </c>
      <c r="AI48" s="298">
        <f>SUMIFS('MoDi Initiatives'!O:O,'MoDi Initiatives'!$E:$E,'Gap Analysis update'!$B48,'MoDi Initiatives'!$A:$A,'Gap Analysis update'!$A48,'MoDi Initiatives'!$B:$B,'Gap Analysis update'!AI$2)-SUMIFS('MoDi Initiatives'!O:O,'MoDi Initiatives'!$E:$E,'Gap Analysis update'!$B48,'MoDi Initiatives'!$A:$A,'Gap Analysis update'!$A48,'MoDi Initiatives'!$B:$B,'Gap Analysis update'!AI$2,'MoDi Initiatives'!$C:$C,'Gap Analysis update'!$B$7)</f>
        <v>0</v>
      </c>
      <c r="AJ48" s="298">
        <f>SUMIFS('MoDi Initiatives'!P:P,'MoDi Initiatives'!$E:$E,'Gap Analysis update'!$B48,'MoDi Initiatives'!$A:$A,'Gap Analysis update'!$A48,'MoDi Initiatives'!$B:$B,'Gap Analysis update'!AJ$2)-SUMIFS('MoDi Initiatives'!P:P,'MoDi Initiatives'!$E:$E,'Gap Analysis update'!$B48,'MoDi Initiatives'!$A:$A,'Gap Analysis update'!$A48,'MoDi Initiatives'!$B:$B,'Gap Analysis update'!AJ$2,'MoDi Initiatives'!$C:$C,'Gap Analysis update'!$B$7)</f>
        <v>0</v>
      </c>
      <c r="AK48" s="298">
        <f>SUMIFS('MoDi Initiatives'!Q:Q,'MoDi Initiatives'!$E:$E,'Gap Analysis update'!$B48,'MoDi Initiatives'!$A:$A,'Gap Analysis update'!$A48,'MoDi Initiatives'!$B:$B,'Gap Analysis update'!AK$2)-SUMIFS('MoDi Initiatives'!Q:Q,'MoDi Initiatives'!$E:$E,'Gap Analysis update'!$B48,'MoDi Initiatives'!$A:$A,'Gap Analysis update'!$A48,'MoDi Initiatives'!$B:$B,'Gap Analysis update'!AK$2,'MoDi Initiatives'!$C:$C,'Gap Analysis update'!$B$7)</f>
        <v>0</v>
      </c>
      <c r="AL48" s="298">
        <f>SUMIFS('MoDi Initiatives'!R:R,'MoDi Initiatives'!$E:$E,'Gap Analysis update'!$B48,'MoDi Initiatives'!$A:$A,'Gap Analysis update'!$A48,'MoDi Initiatives'!$B:$B,'Gap Analysis update'!AL$2)-SUMIFS('MoDi Initiatives'!R:R,'MoDi Initiatives'!$E:$E,'Gap Analysis update'!$B48,'MoDi Initiatives'!$A:$A,'Gap Analysis update'!$A48,'MoDi Initiatives'!$B:$B,'Gap Analysis update'!AL$2,'MoDi Initiatives'!$C:$C,'Gap Analysis update'!$B$7)</f>
        <v>-7.664517588016187E-3</v>
      </c>
      <c r="AM48" s="299">
        <f>SUMIFS('MoDi Initiatives'!S:S,'MoDi Initiatives'!$E:$E,'Gap Analysis update'!$B48,'MoDi Initiatives'!$A:$A,'Gap Analysis update'!$A48,'MoDi Initiatives'!$B:$B,'Gap Analysis update'!AM$2)-SUMIFS('MoDi Initiatives'!S:S,'MoDi Initiatives'!$E:$E,'Gap Analysis update'!$B48,'MoDi Initiatives'!$A:$A,'Gap Analysis update'!$A48,'MoDi Initiatives'!$B:$B,'Gap Analysis update'!AM$2,'MoDi Initiatives'!$C:$C,'Gap Analysis update'!$B$7)</f>
        <v>0</v>
      </c>
      <c r="AN48" s="298">
        <f>SUMIFS('MoDi Initiatives'!T:T,'MoDi Initiatives'!$E:$E,'Gap Analysis update'!$B48,'MoDi Initiatives'!$A:$A,'Gap Analysis update'!$A48,'MoDi Initiatives'!$B:$B,'Gap Analysis update'!AN$2)-SUMIFS('MoDi Initiatives'!T:T,'MoDi Initiatives'!$E:$E,'Gap Analysis update'!$B48,'MoDi Initiatives'!$A:$A,'Gap Analysis update'!$A48,'MoDi Initiatives'!$B:$B,'Gap Analysis update'!AN$2,'MoDi Initiatives'!$C:$C,'Gap Analysis update'!$B$7)</f>
        <v>0</v>
      </c>
      <c r="AO48" s="298">
        <f>SUMIFS('MoDi Initiatives'!U:U,'MoDi Initiatives'!$E:$E,'Gap Analysis update'!$B48,'MoDi Initiatives'!$A:$A,'Gap Analysis update'!$A48,'MoDi Initiatives'!$B:$B,'Gap Analysis update'!AO$2)-SUMIFS('MoDi Initiatives'!U:U,'MoDi Initiatives'!$E:$E,'Gap Analysis update'!$B48,'MoDi Initiatives'!$A:$A,'Gap Analysis update'!$A48,'MoDi Initiatives'!$B:$B,'Gap Analysis update'!AO$2,'MoDi Initiatives'!$C:$C,'Gap Analysis update'!$B$7)</f>
        <v>0</v>
      </c>
      <c r="AP48" s="298">
        <f>SUMIFS('MoDi Initiatives'!V:V,'MoDi Initiatives'!$E:$E,'Gap Analysis update'!$B48,'MoDi Initiatives'!$A:$A,'Gap Analysis update'!$A48,'MoDi Initiatives'!$B:$B,'Gap Analysis update'!AP$2)-SUMIFS('MoDi Initiatives'!V:V,'MoDi Initiatives'!$E:$E,'Gap Analysis update'!$B48,'MoDi Initiatives'!$A:$A,'Gap Analysis update'!$A48,'MoDi Initiatives'!$B:$B,'Gap Analysis update'!AP$2,'MoDi Initiatives'!$C:$C,'Gap Analysis update'!$B$7)</f>
        <v>0</v>
      </c>
      <c r="AQ48" s="298">
        <f>SUMIFS('MoDi Initiatives'!W:W,'MoDi Initiatives'!$E:$E,'Gap Analysis update'!$B48,'MoDi Initiatives'!$A:$A,'Gap Analysis update'!$A48,'MoDi Initiatives'!$B:$B,'Gap Analysis update'!AQ$2)-SUMIFS('MoDi Initiatives'!W:W,'MoDi Initiatives'!$E:$E,'Gap Analysis update'!$B48,'MoDi Initiatives'!$A:$A,'Gap Analysis update'!$A48,'MoDi Initiatives'!$B:$B,'Gap Analysis update'!AQ$2,'MoDi Initiatives'!$C:$C,'Gap Analysis update'!$B$7)</f>
        <v>0</v>
      </c>
      <c r="AR48" s="293"/>
      <c r="AS48" s="303"/>
      <c r="AT48" s="303">
        <f t="shared" si="41"/>
        <v>0</v>
      </c>
      <c r="AU48" s="303">
        <f t="shared" si="41"/>
        <v>0</v>
      </c>
      <c r="AV48" s="303">
        <f t="shared" si="41"/>
        <v>-7.6105652040609787E-3</v>
      </c>
      <c r="AW48" s="303">
        <f t="shared" si="41"/>
        <v>7.664517588016187E-3</v>
      </c>
      <c r="AX48" s="303">
        <f t="shared" si="41"/>
        <v>0</v>
      </c>
      <c r="AY48" s="303">
        <f t="shared" si="41"/>
        <v>0</v>
      </c>
      <c r="AZ48" s="303">
        <f t="shared" si="41"/>
        <v>0</v>
      </c>
      <c r="BA48" s="303">
        <f t="shared" si="41"/>
        <v>0</v>
      </c>
      <c r="BB48" s="303">
        <f t="shared" si="41"/>
        <v>0</v>
      </c>
      <c r="BC48" s="303">
        <f t="shared" si="41"/>
        <v>0</v>
      </c>
      <c r="BD48" s="303">
        <f t="shared" si="41"/>
        <v>0</v>
      </c>
      <c r="BE48" s="303">
        <f t="shared" si="41"/>
        <v>0</v>
      </c>
      <c r="BF48" s="303">
        <f t="shared" si="41"/>
        <v>0</v>
      </c>
      <c r="BG48" s="303">
        <f t="shared" si="41"/>
        <v>0</v>
      </c>
      <c r="BH48" s="303">
        <f t="shared" si="41"/>
        <v>0</v>
      </c>
      <c r="BI48" s="303">
        <f t="shared" si="41"/>
        <v>0</v>
      </c>
      <c r="BJ48" s="293"/>
      <c r="BK48" s="302"/>
      <c r="BL48" s="302"/>
      <c r="BM48" s="302"/>
      <c r="BN48" s="302"/>
      <c r="BO48" s="302"/>
      <c r="BP48" s="302"/>
      <c r="BQ48" s="302"/>
      <c r="BR48" s="302"/>
      <c r="BS48" s="302"/>
      <c r="BT48" s="302"/>
      <c r="BU48" s="302"/>
      <c r="BV48" s="302"/>
      <c r="BW48" s="302"/>
      <c r="BX48" s="302"/>
      <c r="BY48" s="302"/>
      <c r="BZ48" s="302"/>
      <c r="CA48" s="302"/>
    </row>
    <row r="49" spans="1:80" s="298" customFormat="1" ht="26">
      <c r="A49" s="296" t="s">
        <v>107</v>
      </c>
      <c r="B49" s="287" t="s">
        <v>58</v>
      </c>
      <c r="C49" s="288">
        <f t="shared" si="42"/>
        <v>-2.6782930953575886E-3</v>
      </c>
      <c r="D49" s="289">
        <f t="shared" si="40"/>
        <v>1.8521958205515096E-4</v>
      </c>
      <c r="E49" s="289">
        <f t="shared" si="8"/>
        <v>-2.4930735133024376E-3</v>
      </c>
      <c r="F49" s="306"/>
      <c r="G49" s="286"/>
      <c r="H49" s="297"/>
      <c r="J49" s="288"/>
      <c r="K49" s="288"/>
      <c r="L49" s="288">
        <f>SUMIFS('MoDi Initiatives'!J:J,'MoDi Initiatives'!$E:$E,'Gap Analysis update'!$B49,'MoDi Initiatives'!$A:$A,'Gap Analysis update'!$A49,'MoDi Initiatives'!$B:$B,'Gap Analysis update'!L$2)-SUMIFS('MoDi Initiatives'!J:J,'MoDi Initiatives'!$E:$E,'Gap Analysis update'!$B49,'MoDi Initiatives'!$A:$A,'Gap Analysis update'!$A49,'MoDi Initiatives'!$C:$C,'Gap Analysis update'!$B$7,'MoDi Initiatives'!$B:$B,'Gap Analysis update'!L$2)</f>
        <v>0</v>
      </c>
      <c r="M49" s="288">
        <f>SUMIFS('MoDi Initiatives'!K:K,'MoDi Initiatives'!$E:$E,'Gap Analysis update'!$B49,'MoDi Initiatives'!$A:$A,'Gap Analysis update'!$A49,'MoDi Initiatives'!$B:$B,'Gap Analysis update'!M$2)-SUMIFS('MoDi Initiatives'!K:K,'MoDi Initiatives'!$E:$E,'Gap Analysis update'!$B49,'MoDi Initiatives'!$A:$A,'Gap Analysis update'!$A49,'MoDi Initiatives'!$C:$C,'Gap Analysis update'!$B$7,'MoDi Initiatives'!$B:$B,'Gap Analysis update'!M$2)</f>
        <v>0</v>
      </c>
      <c r="N49" s="288">
        <f>SUMIFS('MoDi Initiatives'!L:L,'MoDi Initiatives'!$E:$E,'Gap Analysis update'!$B49,'MoDi Initiatives'!$A:$A,'Gap Analysis update'!$A49,'MoDi Initiatives'!$B:$B,'Gap Analysis update'!N$2)-SUMIFS('MoDi Initiatives'!L:L,'MoDi Initiatives'!$E:$E,'Gap Analysis update'!$B49,'MoDi Initiatives'!$A:$A,'Gap Analysis update'!$A49,'MoDi Initiatives'!$C:$C,'Gap Analysis update'!$B$7,'MoDi Initiatives'!$B:$B,'Gap Analysis update'!N$2)</f>
        <v>0</v>
      </c>
      <c r="O49" s="288">
        <f>SUMIFS('MoDi Initiatives'!M:M,'MoDi Initiatives'!$E:$E,'Gap Analysis update'!$B49,'MoDi Initiatives'!$A:$A,'Gap Analysis update'!$A49,'MoDi Initiatives'!$B:$B,'Gap Analysis update'!O$2)-SUMIFS('MoDi Initiatives'!M:M,'MoDi Initiatives'!$E:$E,'Gap Analysis update'!$B49,'MoDi Initiatives'!$A:$A,'Gap Analysis update'!$A49,'MoDi Initiatives'!$C:$C,'Gap Analysis update'!$B$7,'MoDi Initiatives'!$B:$B,'Gap Analysis update'!O$2)</f>
        <v>0</v>
      </c>
      <c r="P49" s="288">
        <f>SUMIFS('MoDi Initiatives'!N:N,'MoDi Initiatives'!$E:$E,'Gap Analysis update'!$B49,'MoDi Initiatives'!$A:$A,'Gap Analysis update'!$A49,'MoDi Initiatives'!$B:$B,'Gap Analysis update'!P$2)-SUMIFS('MoDi Initiatives'!N:N,'MoDi Initiatives'!$E:$E,'Gap Analysis update'!$B49,'MoDi Initiatives'!$A:$A,'Gap Analysis update'!$A49,'MoDi Initiatives'!$C:$C,'Gap Analysis update'!$B$7,'MoDi Initiatives'!$B:$B,'Gap Analysis update'!P$2)</f>
        <v>-1.1496776382024282E-2</v>
      </c>
      <c r="Q49" s="288">
        <f>SUMIFS('MoDi Initiatives'!O:O,'MoDi Initiatives'!$E:$E,'Gap Analysis update'!$B49,'MoDi Initiatives'!$A:$A,'Gap Analysis update'!$A49,'MoDi Initiatives'!$B:$B,'Gap Analysis update'!Q$2)-SUMIFS('MoDi Initiatives'!O:O,'MoDi Initiatives'!$E:$E,'Gap Analysis update'!$B49,'MoDi Initiatives'!$A:$A,'Gap Analysis update'!$A49,'MoDi Initiatives'!$C:$C,'Gap Analysis update'!$B$7,'MoDi Initiatives'!$B:$B,'Gap Analysis update'!Q$2)</f>
        <v>0</v>
      </c>
      <c r="R49" s="288">
        <f>SUMIFS('MoDi Initiatives'!P:P,'MoDi Initiatives'!$E:$E,'Gap Analysis update'!$B49,'MoDi Initiatives'!$A:$A,'Gap Analysis update'!$A49,'MoDi Initiatives'!$B:$B,'Gap Analysis update'!R$2)-SUMIFS('MoDi Initiatives'!P:P,'MoDi Initiatives'!$E:$E,'Gap Analysis update'!$B49,'MoDi Initiatives'!$A:$A,'Gap Analysis update'!$A49,'MoDi Initiatives'!$C:$C,'Gap Analysis update'!$B$7,'MoDi Initiatives'!$B:$B,'Gap Analysis update'!R$2)</f>
        <v>0</v>
      </c>
      <c r="S49" s="288">
        <f>SUMIFS('MoDi Initiatives'!Q:Q,'MoDi Initiatives'!$E:$E,'Gap Analysis update'!$B49,'MoDi Initiatives'!$A:$A,'Gap Analysis update'!$A49,'MoDi Initiatives'!$B:$B,'Gap Analysis update'!S$2)-SUMIFS('MoDi Initiatives'!Q:Q,'MoDi Initiatives'!$E:$E,'Gap Analysis update'!$B49,'MoDi Initiatives'!$A:$A,'Gap Analysis update'!$A49,'MoDi Initiatives'!$C:$C,'Gap Analysis update'!$B$7,'MoDi Initiatives'!$B:$B,'Gap Analysis update'!S$2)</f>
        <v>0</v>
      </c>
      <c r="T49" s="288">
        <f>SUMIFS('MoDi Initiatives'!R:R,'MoDi Initiatives'!$E:$E,'Gap Analysis update'!$B49,'MoDi Initiatives'!$A:$A,'Gap Analysis update'!$A49,'MoDi Initiatives'!$B:$B,'Gap Analysis update'!T$2)-SUMIFS('MoDi Initiatives'!R:R,'MoDi Initiatives'!$E:$E,'Gap Analysis update'!$B49,'MoDi Initiatives'!$A:$A,'Gap Analysis update'!$A49,'MoDi Initiatives'!$C:$C,'Gap Analysis update'!$B$7,'MoDi Initiatives'!$B:$B,'Gap Analysis update'!T$2)</f>
        <v>0</v>
      </c>
      <c r="U49" s="288">
        <f>SUMIFS('MoDi Initiatives'!S:S,'MoDi Initiatives'!$E:$E,'Gap Analysis update'!$B49,'MoDi Initiatives'!$A:$A,'Gap Analysis update'!$A49,'MoDi Initiatives'!$B:$B,'Gap Analysis update'!U$2)-SUMIFS('MoDi Initiatives'!S:S,'MoDi Initiatives'!$E:$E,'Gap Analysis update'!$B49,'MoDi Initiatives'!$A:$A,'Gap Analysis update'!$A49,'MoDi Initiatives'!$C:$C,'Gap Analysis update'!$B$7,'MoDi Initiatives'!$B:$B,'Gap Analysis update'!U$2)</f>
        <v>0</v>
      </c>
      <c r="V49" s="288">
        <f>SUMIFS('MoDi Initiatives'!T:T,'MoDi Initiatives'!$E:$E,'Gap Analysis update'!$B49,'MoDi Initiatives'!$A:$A,'Gap Analysis update'!$A49,'MoDi Initiatives'!$B:$B,'Gap Analysis update'!V$2)-SUMIFS('MoDi Initiatives'!T:T,'MoDi Initiatives'!$E:$E,'Gap Analysis update'!$B49,'MoDi Initiatives'!$A:$A,'Gap Analysis update'!$A49,'MoDi Initiatives'!$C:$C,'Gap Analysis update'!$B$7,'MoDi Initiatives'!$B:$B,'Gap Analysis update'!V$2)</f>
        <v>0</v>
      </c>
      <c r="W49" s="288">
        <f>SUMIFS('MoDi Initiatives'!U:U,'MoDi Initiatives'!$E:$E,'Gap Analysis update'!$B49,'MoDi Initiatives'!$A:$A,'Gap Analysis update'!$A49,'MoDi Initiatives'!$B:$B,'Gap Analysis update'!W$2)-SUMIFS('MoDi Initiatives'!U:U,'MoDi Initiatives'!$E:$E,'Gap Analysis update'!$B49,'MoDi Initiatives'!$A:$A,'Gap Analysis update'!$A49,'MoDi Initiatives'!$C:$C,'Gap Analysis update'!$B$7,'MoDi Initiatives'!$B:$B,'Gap Analysis update'!W$2)</f>
        <v>0</v>
      </c>
      <c r="X49" s="288">
        <f>SUMIFS('MoDi Initiatives'!V:V,'MoDi Initiatives'!$E:$E,'Gap Analysis update'!$B49,'MoDi Initiatives'!$A:$A,'Gap Analysis update'!$A49,'MoDi Initiatives'!$B:$B,'Gap Analysis update'!X$2)-SUMIFS('MoDi Initiatives'!V:V,'MoDi Initiatives'!$E:$E,'Gap Analysis update'!$B49,'MoDi Initiatives'!$A:$A,'Gap Analysis update'!$A49,'MoDi Initiatives'!$C:$C,'Gap Analysis update'!$B$7,'MoDi Initiatives'!$B:$B,'Gap Analysis update'!X$2)</f>
        <v>0</v>
      </c>
      <c r="Y49" s="288">
        <f>SUMIFS('MoDi Initiatives'!W:W,'MoDi Initiatives'!$E:$E,'Gap Analysis update'!$B49,'MoDi Initiatives'!$A:$A,'Gap Analysis update'!$A49,'MoDi Initiatives'!$B:$B,'Gap Analysis update'!Y$2)-SUMIFS('MoDi Initiatives'!W:W,'MoDi Initiatives'!$E:$E,'Gap Analysis update'!$B49,'MoDi Initiatives'!$A:$A,'Gap Analysis update'!$A49,'MoDi Initiatives'!$C:$C,'Gap Analysis update'!$B$7,'MoDi Initiatives'!$B:$B,'Gap Analysis update'!Y$2)</f>
        <v>0</v>
      </c>
      <c r="Z49" s="293"/>
      <c r="AB49" s="298">
        <f>SUMIFS('MoDi Initiatives'!H:H,'MoDi Initiatives'!$E:$E,'Gap Analysis update'!$B49,'MoDi Initiatives'!$A:$A,'Gap Analysis update'!$A49,'MoDi Initiatives'!$B:$B,'Gap Analysis update'!AB$2)-SUMIFS('MoDi Initiatives'!H:H,'MoDi Initiatives'!$E:$E,'Gap Analysis update'!$B49,'MoDi Initiatives'!$A:$A,'Gap Analysis update'!$A49,'MoDi Initiatives'!$B:$B,'Gap Analysis update'!AB$2,'MoDi Initiatives'!$C:$C,'Gap Analysis update'!$B$7)</f>
        <v>0</v>
      </c>
      <c r="AC49" s="298">
        <f>SUMIFS('MoDi Initiatives'!I:I,'MoDi Initiatives'!$E:$E,'Gap Analysis update'!$B49,'MoDi Initiatives'!$A:$A,'Gap Analysis update'!$A49,'MoDi Initiatives'!$B:$B,'Gap Analysis update'!AC$2)-SUMIFS('MoDi Initiatives'!I:I,'MoDi Initiatives'!$E:$E,'Gap Analysis update'!$B49,'MoDi Initiatives'!$A:$A,'Gap Analysis update'!$A49,'MoDi Initiatives'!$B:$B,'Gap Analysis update'!AC$2,'MoDi Initiatives'!$C:$C,'Gap Analysis update'!$B$7)</f>
        <v>0</v>
      </c>
      <c r="AD49" s="298">
        <f>SUMIFS('MoDi Initiatives'!J:J,'MoDi Initiatives'!$E:$E,'Gap Analysis update'!$B49,'MoDi Initiatives'!$A:$A,'Gap Analysis update'!$A49,'MoDi Initiatives'!$B:$B,'Gap Analysis update'!AD$2)-SUMIFS('MoDi Initiatives'!J:J,'MoDi Initiatives'!$E:$E,'Gap Analysis update'!$B49,'MoDi Initiatives'!$A:$A,'Gap Analysis update'!$A49,'MoDi Initiatives'!$B:$B,'Gap Analysis update'!AD$2,'MoDi Initiatives'!$C:$C,'Gap Analysis update'!$B$7)</f>
        <v>2.9384944835644274E-4</v>
      </c>
      <c r="AE49" s="298">
        <f>SUMIFS('MoDi Initiatives'!K:K,'MoDi Initiatives'!$E:$E,'Gap Analysis update'!$B49,'MoDi Initiatives'!$A:$A,'Gap Analysis update'!$A49,'MoDi Initiatives'!$B:$B,'Gap Analysis update'!AE$2)-SUMIFS('MoDi Initiatives'!K:K,'MoDi Initiatives'!$E:$E,'Gap Analysis update'!$B49,'MoDi Initiatives'!$A:$A,'Gap Analysis update'!$A49,'MoDi Initiatives'!$B:$B,'Gap Analysis update'!AE$2,'MoDi Initiatives'!$C:$C,'Gap Analysis update'!$B$7)</f>
        <v>0</v>
      </c>
      <c r="AF49" s="298">
        <f>SUMIFS('MoDi Initiatives'!L:L,'MoDi Initiatives'!$E:$E,'Gap Analysis update'!$B49,'MoDi Initiatives'!$A:$A,'Gap Analysis update'!$A49,'MoDi Initiatives'!$B:$B,'Gap Analysis update'!AF$2)-SUMIFS('MoDi Initiatives'!L:L,'MoDi Initiatives'!$E:$E,'Gap Analysis update'!$B49,'MoDi Initiatives'!$A:$A,'Gap Analysis update'!$A49,'MoDi Initiatives'!$B:$B,'Gap Analysis update'!AF$2,'MoDi Initiatives'!$C:$C,'Gap Analysis update'!$B$7)</f>
        <v>0</v>
      </c>
      <c r="AG49" s="298">
        <f>SUMIFS('MoDi Initiatives'!M:M,'MoDi Initiatives'!$E:$E,'Gap Analysis update'!$B49,'MoDi Initiatives'!$A:$A,'Gap Analysis update'!$A49,'MoDi Initiatives'!$B:$B,'Gap Analysis update'!AG$2)-SUMIFS('MoDi Initiatives'!M:M,'MoDi Initiatives'!$E:$E,'Gap Analysis update'!$B49,'MoDi Initiatives'!$A:$A,'Gap Analysis update'!$A49,'MoDi Initiatives'!$B:$B,'Gap Analysis update'!AG$2,'MoDi Initiatives'!$C:$C,'Gap Analysis update'!$B$7)</f>
        <v>-1.1113618947794493E-2</v>
      </c>
      <c r="AH49" s="298">
        <f>SUMIFS('MoDi Initiatives'!N:N,'MoDi Initiatives'!$E:$E,'Gap Analysis update'!$B49,'MoDi Initiatives'!$A:$A,'Gap Analysis update'!$A49,'MoDi Initiatives'!$B:$B,'Gap Analysis update'!AH$2)-SUMIFS('MoDi Initiatives'!N:N,'MoDi Initiatives'!$E:$E,'Gap Analysis update'!$B49,'MoDi Initiatives'!$A:$A,'Gap Analysis update'!$A49,'MoDi Initiatives'!$B:$B,'Gap Analysis update'!AH$2,'MoDi Initiatives'!$C:$C,'Gap Analysis update'!$B$7)</f>
        <v>-3.2026873642419769E-3</v>
      </c>
      <c r="AI49" s="298">
        <f>SUMIFS('MoDi Initiatives'!O:O,'MoDi Initiatives'!$E:$E,'Gap Analysis update'!$B49,'MoDi Initiatives'!$A:$A,'Gap Analysis update'!$A49,'MoDi Initiatives'!$B:$B,'Gap Analysis update'!AI$2)-SUMIFS('MoDi Initiatives'!O:O,'MoDi Initiatives'!$E:$E,'Gap Analysis update'!$B49,'MoDi Initiatives'!$A:$A,'Gap Analysis update'!$A49,'MoDi Initiatives'!$B:$B,'Gap Analysis update'!AI$2,'MoDi Initiatives'!$C:$C,'Gap Analysis update'!$B$7)</f>
        <v>-1.5261261370184306E-4</v>
      </c>
      <c r="AJ49" s="292">
        <f>SUMIFS('MoDi Initiatives'!P:P,'MoDi Initiatives'!$E:$E,'Gap Analysis update'!$B49,'MoDi Initiatives'!$A:$A,'Gap Analysis update'!$A49,'MoDi Initiatives'!$B:$B,'Gap Analysis update'!AJ$2)-SUMIFS('MoDi Initiatives'!P:P,'MoDi Initiatives'!$E:$E,'Gap Analysis update'!$B49,'MoDi Initiatives'!$A:$A,'Gap Analysis update'!$A49,'MoDi Initiatives'!$B:$B,'Gap Analysis update'!AJ$2,'MoDi Initiatives'!$C:$C,'Gap Analysis update'!$B$7)</f>
        <v>1.8521958205515096E-4</v>
      </c>
      <c r="AK49" s="298">
        <f>SUMIFS('MoDi Initiatives'!Q:Q,'MoDi Initiatives'!$E:$E,'Gap Analysis update'!$B49,'MoDi Initiatives'!$A:$A,'Gap Analysis update'!$A49,'MoDi Initiatives'!$B:$B,'Gap Analysis update'!AK$2)-SUMIFS('MoDi Initiatives'!Q:Q,'MoDi Initiatives'!$E:$E,'Gap Analysis update'!$B49,'MoDi Initiatives'!$A:$A,'Gap Analysis update'!$A49,'MoDi Initiatives'!$B:$B,'Gap Analysis update'!AK$2,'MoDi Initiatives'!$C:$C,'Gap Analysis update'!$B$7)</f>
        <v>0</v>
      </c>
      <c r="AL49" s="298">
        <f>SUMIFS('MoDi Initiatives'!R:R,'MoDi Initiatives'!$E:$E,'Gap Analysis update'!$B49,'MoDi Initiatives'!$A:$A,'Gap Analysis update'!$A49,'MoDi Initiatives'!$B:$B,'Gap Analysis update'!AL$2)-SUMIFS('MoDi Initiatives'!R:R,'MoDi Initiatives'!$E:$E,'Gap Analysis update'!$B49,'MoDi Initiatives'!$A:$A,'Gap Analysis update'!$A49,'MoDi Initiatives'!$B:$B,'Gap Analysis update'!AL$2,'MoDi Initiatives'!$C:$C,'Gap Analysis update'!$B$7)</f>
        <v>0</v>
      </c>
      <c r="AM49" s="298">
        <f>SUMIFS('MoDi Initiatives'!S:S,'MoDi Initiatives'!$E:$E,'Gap Analysis update'!$B49,'MoDi Initiatives'!$A:$A,'Gap Analysis update'!$A49,'MoDi Initiatives'!$B:$B,'Gap Analysis update'!AM$2)-SUMIFS('MoDi Initiatives'!S:S,'MoDi Initiatives'!$E:$E,'Gap Analysis update'!$B49,'MoDi Initiatives'!$A:$A,'Gap Analysis update'!$A49,'MoDi Initiatives'!$B:$B,'Gap Analysis update'!AM$2,'MoDi Initiatives'!$C:$C,'Gap Analysis update'!$B$7)</f>
        <v>0</v>
      </c>
      <c r="AN49" s="298">
        <f>SUMIFS('MoDi Initiatives'!T:T,'MoDi Initiatives'!$E:$E,'Gap Analysis update'!$B49,'MoDi Initiatives'!$A:$A,'Gap Analysis update'!$A49,'MoDi Initiatives'!$B:$B,'Gap Analysis update'!AN$2)-SUMIFS('MoDi Initiatives'!T:T,'MoDi Initiatives'!$E:$E,'Gap Analysis update'!$B49,'MoDi Initiatives'!$A:$A,'Gap Analysis update'!$A49,'MoDi Initiatives'!$B:$B,'Gap Analysis update'!AN$2,'MoDi Initiatives'!$C:$C,'Gap Analysis update'!$B$7)</f>
        <v>0</v>
      </c>
      <c r="AO49" s="298">
        <f>SUMIFS('MoDi Initiatives'!U:U,'MoDi Initiatives'!$E:$E,'Gap Analysis update'!$B49,'MoDi Initiatives'!$A:$A,'Gap Analysis update'!$A49,'MoDi Initiatives'!$B:$B,'Gap Analysis update'!AO$2)-SUMIFS('MoDi Initiatives'!U:U,'MoDi Initiatives'!$E:$E,'Gap Analysis update'!$B49,'MoDi Initiatives'!$A:$A,'Gap Analysis update'!$A49,'MoDi Initiatives'!$B:$B,'Gap Analysis update'!AO$2,'MoDi Initiatives'!$C:$C,'Gap Analysis update'!$B$7)</f>
        <v>0</v>
      </c>
      <c r="AP49" s="298">
        <f>SUMIFS('MoDi Initiatives'!V:V,'MoDi Initiatives'!$E:$E,'Gap Analysis update'!$B49,'MoDi Initiatives'!$A:$A,'Gap Analysis update'!$A49,'MoDi Initiatives'!$B:$B,'Gap Analysis update'!AP$2)-SUMIFS('MoDi Initiatives'!V:V,'MoDi Initiatives'!$E:$E,'Gap Analysis update'!$B49,'MoDi Initiatives'!$A:$A,'Gap Analysis update'!$A49,'MoDi Initiatives'!$B:$B,'Gap Analysis update'!AP$2,'MoDi Initiatives'!$C:$C,'Gap Analysis update'!$B$7)</f>
        <v>0</v>
      </c>
      <c r="AQ49" s="298">
        <f>SUMIFS('MoDi Initiatives'!W:W,'MoDi Initiatives'!$E:$E,'Gap Analysis update'!$B49,'MoDi Initiatives'!$A:$A,'Gap Analysis update'!$A49,'MoDi Initiatives'!$B:$B,'Gap Analysis update'!AQ$2)-SUMIFS('MoDi Initiatives'!W:W,'MoDi Initiatives'!$E:$E,'Gap Analysis update'!$B49,'MoDi Initiatives'!$A:$A,'Gap Analysis update'!$A49,'MoDi Initiatives'!$B:$B,'Gap Analysis update'!AQ$2,'MoDi Initiatives'!$C:$C,'Gap Analysis update'!$B$7)</f>
        <v>0</v>
      </c>
      <c r="AR49" s="293"/>
      <c r="AS49" s="303"/>
      <c r="AT49" s="303">
        <f t="shared" si="41"/>
        <v>0</v>
      </c>
      <c r="AU49" s="303">
        <f t="shared" si="41"/>
        <v>0</v>
      </c>
      <c r="AV49" s="303">
        <f t="shared" si="41"/>
        <v>2.9384944835644274E-4</v>
      </c>
      <c r="AW49" s="303">
        <f t="shared" si="41"/>
        <v>0</v>
      </c>
      <c r="AX49" s="303">
        <f t="shared" si="41"/>
        <v>0</v>
      </c>
      <c r="AY49" s="303">
        <f t="shared" si="41"/>
        <v>-1.1113618947794493E-2</v>
      </c>
      <c r="AZ49" s="303">
        <f t="shared" si="41"/>
        <v>8.2940890177823044E-3</v>
      </c>
      <c r="BA49" s="303">
        <f t="shared" si="41"/>
        <v>-1.5261261370184306E-4</v>
      </c>
      <c r="BB49" s="303">
        <f t="shared" si="41"/>
        <v>1.8521958205515096E-4</v>
      </c>
      <c r="BC49" s="303">
        <f t="shared" si="41"/>
        <v>0</v>
      </c>
      <c r="BD49" s="303">
        <f t="shared" si="41"/>
        <v>0</v>
      </c>
      <c r="BE49" s="303">
        <f t="shared" si="41"/>
        <v>0</v>
      </c>
      <c r="BF49" s="303">
        <f t="shared" si="41"/>
        <v>0</v>
      </c>
      <c r="BG49" s="303">
        <f t="shared" si="41"/>
        <v>0</v>
      </c>
      <c r="BH49" s="303">
        <f t="shared" si="41"/>
        <v>0</v>
      </c>
      <c r="BI49" s="303">
        <f t="shared" si="41"/>
        <v>0</v>
      </c>
      <c r="BJ49" s="293"/>
      <c r="BK49" s="302"/>
      <c r="BL49" s="302"/>
      <c r="BM49" s="302"/>
      <c r="BN49" s="302" t="s">
        <v>62</v>
      </c>
      <c r="BO49" s="302"/>
      <c r="BP49" s="302"/>
      <c r="BQ49" s="302" t="s">
        <v>119</v>
      </c>
      <c r="BR49" s="302" t="s">
        <v>120</v>
      </c>
      <c r="BS49" s="302" t="s">
        <v>62</v>
      </c>
      <c r="BT49" s="302" t="s">
        <v>81</v>
      </c>
      <c r="BU49" s="302"/>
      <c r="BV49" s="302"/>
      <c r="BW49" s="302"/>
      <c r="BX49" s="302"/>
      <c r="BY49" s="302"/>
      <c r="BZ49" s="302"/>
      <c r="CA49" s="302"/>
    </row>
    <row r="50" spans="1:80" s="299" customFormat="1" ht="12" customHeight="1">
      <c r="A50" s="300" t="s">
        <v>121</v>
      </c>
      <c r="B50" s="275" t="s">
        <v>20</v>
      </c>
      <c r="C50" s="276">
        <f>AI50-Q50</f>
        <v>9.5015088853781293E-2</v>
      </c>
      <c r="D50" s="277">
        <f>AQ50-Y50-C50</f>
        <v>5.6944759182581794E-2</v>
      </c>
      <c r="E50" s="277">
        <f t="shared" si="8"/>
        <v>0.15195984803636309</v>
      </c>
      <c r="F50" s="278"/>
      <c r="G50" s="278"/>
      <c r="H50" s="285"/>
      <c r="I50" s="276">
        <v>2.1951355191555209</v>
      </c>
      <c r="J50" s="280">
        <f>+I50+J51+J52</f>
        <v>2.1779573862663546</v>
      </c>
      <c r="K50" s="280">
        <f t="shared" ref="K50:Y50" si="43">+J50+K51+K52</f>
        <v>2.1779573862663546</v>
      </c>
      <c r="L50" s="280">
        <f t="shared" si="43"/>
        <v>2.1971186802363949</v>
      </c>
      <c r="M50" s="280">
        <f t="shared" si="43"/>
        <v>2.1894541626483788</v>
      </c>
      <c r="N50" s="280">
        <f t="shared" si="43"/>
        <v>2.2293482398635232</v>
      </c>
      <c r="O50" s="280">
        <f t="shared" si="43"/>
        <v>2.1086664201991274</v>
      </c>
      <c r="P50" s="280">
        <f t="shared" si="43"/>
        <v>2.0358702767986836</v>
      </c>
      <c r="Q50" s="280">
        <f t="shared" si="43"/>
        <v>2.0358702767986836</v>
      </c>
      <c r="R50" s="280">
        <f t="shared" si="43"/>
        <v>2.0358702767986836</v>
      </c>
      <c r="S50" s="280">
        <f t="shared" si="43"/>
        <v>2.0358702767986836</v>
      </c>
      <c r="T50" s="280">
        <f t="shared" si="43"/>
        <v>2.0282057592106675</v>
      </c>
      <c r="U50" s="280">
        <f t="shared" si="43"/>
        <v>2.0282057592106675</v>
      </c>
      <c r="V50" s="280">
        <f t="shared" si="43"/>
        <v>2.0215008512658899</v>
      </c>
      <c r="W50" s="280">
        <f t="shared" si="43"/>
        <v>2.0215008512658899</v>
      </c>
      <c r="X50" s="280">
        <f t="shared" si="43"/>
        <v>2.0215008512658899</v>
      </c>
      <c r="Y50" s="280">
        <f t="shared" si="43"/>
        <v>2.0215008512658899</v>
      </c>
      <c r="Z50" s="285"/>
      <c r="AA50" s="276">
        <v>2.1951355191555204</v>
      </c>
      <c r="AB50" s="280">
        <f t="shared" ref="AB50:AI50" si="44">+AA50+AB51+AB52</f>
        <v>2.190561551463976</v>
      </c>
      <c r="AC50" s="280">
        <f t="shared" si="44"/>
        <v>2.1905587728057863</v>
      </c>
      <c r="AD50" s="280">
        <f t="shared" si="44"/>
        <v>2.1827303621260441</v>
      </c>
      <c r="AE50" s="280">
        <f t="shared" si="44"/>
        <v>2.1827303621260441</v>
      </c>
      <c r="AF50" s="280">
        <f t="shared" si="44"/>
        <v>2.1827303621260441</v>
      </c>
      <c r="AG50" s="280">
        <f t="shared" si="44"/>
        <v>2.1657358231775898</v>
      </c>
      <c r="AH50" s="280">
        <f t="shared" si="44"/>
        <v>2.1471319704920386</v>
      </c>
      <c r="AI50" s="280">
        <f t="shared" si="44"/>
        <v>2.1308853656524649</v>
      </c>
      <c r="AJ50" s="280">
        <f>+AI50+AJ51+AJ52</f>
        <v>2.1310493887509878</v>
      </c>
      <c r="AK50" s="280">
        <f t="shared" ref="AK50:AS50" si="45">+AJ50+AK51+AK52</f>
        <v>2.1673108567995136</v>
      </c>
      <c r="AL50" s="280">
        <f t="shared" si="45"/>
        <v>2.1596463392114975</v>
      </c>
      <c r="AM50" s="280">
        <f t="shared" si="45"/>
        <v>2.1367125416026438</v>
      </c>
      <c r="AN50" s="280">
        <f t="shared" si="45"/>
        <v>2.1343206496813676</v>
      </c>
      <c r="AO50" s="280">
        <f t="shared" si="45"/>
        <v>2.1734606993022529</v>
      </c>
      <c r="AP50" s="280">
        <f t="shared" si="45"/>
        <v>2.1734606993022529</v>
      </c>
      <c r="AQ50" s="280">
        <f t="shared" si="45"/>
        <v>2.1734606993022529</v>
      </c>
      <c r="AR50" s="280" t="e">
        <f t="shared" si="45"/>
        <v>#VALUE!</v>
      </c>
      <c r="AS50" s="280" t="e">
        <f t="shared" si="45"/>
        <v>#VALUE!</v>
      </c>
      <c r="AT50" s="284">
        <f t="shared" si="41"/>
        <v>1.260416519762142E-2</v>
      </c>
      <c r="AU50" s="284">
        <f t="shared" si="41"/>
        <v>1.2601386539431658E-2</v>
      </c>
      <c r="AV50" s="284">
        <f t="shared" si="41"/>
        <v>-1.4388318110350795E-2</v>
      </c>
      <c r="AW50" s="284">
        <f t="shared" si="41"/>
        <v>-6.7238005223346775E-3</v>
      </c>
      <c r="AX50" s="284">
        <f t="shared" si="41"/>
        <v>-4.6617877737479052E-2</v>
      </c>
      <c r="AY50" s="284">
        <f t="shared" si="41"/>
        <v>5.7069402978462414E-2</v>
      </c>
      <c r="AZ50" s="284">
        <f>AH50-P50</f>
        <v>0.11126169369335503</v>
      </c>
      <c r="BA50" s="284">
        <f t="shared" si="41"/>
        <v>9.5015088853781293E-2</v>
      </c>
      <c r="BB50" s="284">
        <f>AJ50-R50</f>
        <v>9.5179111952304218E-2</v>
      </c>
      <c r="BC50" s="284">
        <f t="shared" si="41"/>
        <v>0.13144058000083003</v>
      </c>
      <c r="BD50" s="284">
        <f t="shared" si="41"/>
        <v>0.13144058000083003</v>
      </c>
      <c r="BE50" s="284">
        <f t="shared" si="41"/>
        <v>0.10850678239197631</v>
      </c>
      <c r="BF50" s="284">
        <f t="shared" si="41"/>
        <v>0.11281979841547773</v>
      </c>
      <c r="BG50" s="284">
        <f t="shared" si="41"/>
        <v>0.15195984803636309</v>
      </c>
      <c r="BH50" s="284">
        <f t="shared" si="41"/>
        <v>0.15195984803636309</v>
      </c>
      <c r="BI50" s="284">
        <f t="shared" si="41"/>
        <v>0.15195984803636309</v>
      </c>
      <c r="BJ50" s="285"/>
      <c r="BK50" s="288"/>
      <c r="BL50" s="288"/>
      <c r="BM50" s="288"/>
      <c r="BN50" s="288"/>
      <c r="BO50" s="288"/>
      <c r="BP50" s="288"/>
      <c r="BQ50" s="288"/>
      <c r="BR50" s="288"/>
      <c r="BS50" s="288"/>
      <c r="BT50" s="288"/>
      <c r="BU50" s="288"/>
      <c r="BV50" s="288"/>
      <c r="BW50" s="288"/>
      <c r="BX50" s="288"/>
      <c r="BY50" s="288"/>
      <c r="BZ50" s="288"/>
      <c r="CA50" s="288"/>
      <c r="CB50" s="288"/>
    </row>
    <row r="51" spans="1:80" s="299" customFormat="1" ht="12" customHeight="1">
      <c r="A51" s="300" t="s">
        <v>121</v>
      </c>
      <c r="B51" s="275" t="s">
        <v>21</v>
      </c>
      <c r="C51" s="276">
        <f>SUM(AT51:BA51)</f>
        <v>0.13490916606892633</v>
      </c>
      <c r="D51" s="277">
        <f>SUM(BB51:BI51)</f>
        <v>1.3769629337722536E-2</v>
      </c>
      <c r="E51" s="277">
        <f t="shared" si="8"/>
        <v>0.14867879540664886</v>
      </c>
      <c r="F51" s="278"/>
      <c r="G51" s="278"/>
      <c r="H51" s="285"/>
      <c r="I51" s="280"/>
      <c r="J51" s="280">
        <f>SUBTOTAL(9,J53:J58)</f>
        <v>-1.717813288916626E-2</v>
      </c>
      <c r="K51" s="280">
        <f t="shared" ref="K51:Y51" si="46">SUBTOTAL(9,K53:K58)</f>
        <v>0</v>
      </c>
      <c r="L51" s="280">
        <f t="shared" si="46"/>
        <v>1.9161293970040467E-2</v>
      </c>
      <c r="M51" s="280">
        <f t="shared" si="46"/>
        <v>-7.664517588016187E-3</v>
      </c>
      <c r="N51" s="280">
        <f t="shared" si="46"/>
        <v>0</v>
      </c>
      <c r="O51" s="280">
        <f t="shared" si="46"/>
        <v>-0.12068181966439584</v>
      </c>
      <c r="P51" s="280">
        <f t="shared" si="46"/>
        <v>-7.2796143400444019E-2</v>
      </c>
      <c r="Q51" s="280">
        <f t="shared" si="46"/>
        <v>0</v>
      </c>
      <c r="R51" s="280">
        <f t="shared" si="46"/>
        <v>0</v>
      </c>
      <c r="S51" s="280">
        <f t="shared" si="46"/>
        <v>0</v>
      </c>
      <c r="T51" s="280">
        <f t="shared" si="46"/>
        <v>-7.664517588016187E-3</v>
      </c>
      <c r="U51" s="280">
        <f t="shared" si="46"/>
        <v>0</v>
      </c>
      <c r="V51" s="280">
        <f t="shared" si="46"/>
        <v>-6.7049079447777391E-3</v>
      </c>
      <c r="W51" s="280">
        <f t="shared" si="46"/>
        <v>0</v>
      </c>
      <c r="X51" s="280">
        <f t="shared" si="46"/>
        <v>0</v>
      </c>
      <c r="Y51" s="280">
        <f t="shared" si="46"/>
        <v>0</v>
      </c>
      <c r="Z51" s="285"/>
      <c r="AA51" s="285"/>
      <c r="AB51" s="280">
        <f>SUBTOTAL(9,AB53:AB58)</f>
        <v>-4.5739676915442368E-3</v>
      </c>
      <c r="AC51" s="280">
        <f t="shared" ref="AC51" si="47">SUBTOTAL(9,AC53:AC58)</f>
        <v>-2.7786581899535008E-6</v>
      </c>
      <c r="AD51" s="280">
        <f>SUBTOTAL(9,AD53:AD58)</f>
        <v>-7.8284106797422929E-3</v>
      </c>
      <c r="AE51" s="280">
        <f t="shared" ref="AE51:AM51" si="48">SUBTOTAL(9,AE53:AE58)</f>
        <v>0</v>
      </c>
      <c r="AF51" s="280">
        <f t="shared" si="48"/>
        <v>0</v>
      </c>
      <c r="AG51" s="280">
        <f t="shared" si="48"/>
        <v>-1.6994538948454471E-2</v>
      </c>
      <c r="AH51" s="280">
        <f t="shared" si="48"/>
        <v>-1.8603852685551019E-2</v>
      </c>
      <c r="AI51" s="280">
        <f t="shared" si="48"/>
        <v>-1.6246604839573527E-2</v>
      </c>
      <c r="AJ51" s="280">
        <f t="shared" si="48"/>
        <v>1.6402309852284365E-4</v>
      </c>
      <c r="AK51" s="280">
        <f t="shared" si="48"/>
        <v>1.4370970477530353E-3</v>
      </c>
      <c r="AL51" s="280">
        <f t="shared" si="48"/>
        <v>-7.664517588016187E-3</v>
      </c>
      <c r="AM51" s="280">
        <f t="shared" si="48"/>
        <v>-3.1284556452939899E-2</v>
      </c>
      <c r="AN51" s="280">
        <f>SUBTOTAL(9,AN53:AN58)</f>
        <v>-2.3918919212763136E-3</v>
      </c>
      <c r="AO51" s="280">
        <f t="shared" ref="AO51:AQ51" si="49">SUBTOTAL(9,AO53:AO58)</f>
        <v>3.9140049620885131E-2</v>
      </c>
      <c r="AP51" s="280">
        <f t="shared" si="49"/>
        <v>0</v>
      </c>
      <c r="AQ51" s="280">
        <f t="shared" si="49"/>
        <v>0</v>
      </c>
      <c r="AR51" s="285"/>
      <c r="AS51" s="284">
        <f>I51-AA51</f>
        <v>0</v>
      </c>
      <c r="AT51" s="284">
        <f>AB51-J51</f>
        <v>1.2604165197622023E-2</v>
      </c>
      <c r="AU51" s="284">
        <f t="shared" si="41"/>
        <v>-2.7786581899535008E-6</v>
      </c>
      <c r="AV51" s="284">
        <f t="shared" si="41"/>
        <v>-2.6989704649782759E-2</v>
      </c>
      <c r="AW51" s="284">
        <f t="shared" si="41"/>
        <v>7.664517588016187E-3</v>
      </c>
      <c r="AX51" s="284">
        <f t="shared" si="41"/>
        <v>0</v>
      </c>
      <c r="AY51" s="284">
        <f t="shared" si="41"/>
        <v>0.10368728071594137</v>
      </c>
      <c r="AZ51" s="284">
        <f t="shared" si="41"/>
        <v>5.4192290714892996E-2</v>
      </c>
      <c r="BA51" s="284">
        <f t="shared" si="41"/>
        <v>-1.6246604839573527E-2</v>
      </c>
      <c r="BB51" s="284">
        <f t="shared" si="41"/>
        <v>1.6402309852284365E-4</v>
      </c>
      <c r="BC51" s="284">
        <f t="shared" si="41"/>
        <v>1.4370970477530353E-3</v>
      </c>
      <c r="BD51" s="284">
        <f t="shared" si="41"/>
        <v>0</v>
      </c>
      <c r="BE51" s="284">
        <f t="shared" si="41"/>
        <v>-3.1284556452939899E-2</v>
      </c>
      <c r="BF51" s="284">
        <f t="shared" si="41"/>
        <v>4.3130160235014259E-3</v>
      </c>
      <c r="BG51" s="284">
        <f t="shared" si="41"/>
        <v>3.9140049620885131E-2</v>
      </c>
      <c r="BH51" s="284">
        <f t="shared" si="41"/>
        <v>0</v>
      </c>
      <c r="BI51" s="284">
        <f t="shared" si="41"/>
        <v>0</v>
      </c>
      <c r="BJ51" s="285"/>
      <c r="BK51" s="301"/>
      <c r="BL51" s="301"/>
      <c r="BM51" s="301"/>
      <c r="BN51" s="301"/>
      <c r="BO51" s="301"/>
      <c r="BP51" s="301"/>
      <c r="BQ51" s="301"/>
      <c r="BR51" s="301"/>
      <c r="BS51" s="301"/>
      <c r="BT51" s="301"/>
      <c r="BU51" s="301"/>
      <c r="BV51" s="301"/>
      <c r="BW51" s="301"/>
      <c r="BX51" s="301"/>
      <c r="BY51" s="301"/>
      <c r="BZ51" s="301"/>
      <c r="CA51" s="301"/>
      <c r="CB51" s="288"/>
    </row>
    <row r="52" spans="1:80" s="299" customFormat="1" ht="52">
      <c r="A52" s="300" t="s">
        <v>121</v>
      </c>
      <c r="B52" s="275" t="s">
        <v>22</v>
      </c>
      <c r="C52" s="276">
        <f>SUM(AT52:BA52)</f>
        <v>-3.9894077215144465E-2</v>
      </c>
      <c r="D52" s="277">
        <f>SUM(BB52:BI52)</f>
        <v>4.3175129844858953E-2</v>
      </c>
      <c r="E52" s="277">
        <f t="shared" si="8"/>
        <v>3.2810526297144885E-3</v>
      </c>
      <c r="F52" s="278"/>
      <c r="G52" s="275" t="s">
        <v>23</v>
      </c>
      <c r="H52" s="285"/>
      <c r="I52" s="280"/>
      <c r="J52" s="280">
        <f>SUMIFS('MoDi Initiatives'!H:H,'MoDi Initiatives'!$C:$C,'Gap Analysis update'!$B52,'MoDi Initiatives'!$A:$A,'Gap Analysis update'!$A52,'MoDi Initiatives'!$B:$B,'Gap Analysis update'!J$2)</f>
        <v>0</v>
      </c>
      <c r="K52" s="280">
        <f>SUMIFS('MoDi Initiatives'!I:I,'MoDi Initiatives'!$C:$C,'Gap Analysis update'!$B52,'MoDi Initiatives'!$A:$A,'Gap Analysis update'!$A52,'MoDi Initiatives'!$B:$B,'Gap Analysis update'!K$2)</f>
        <v>0</v>
      </c>
      <c r="L52" s="280">
        <f>SUMIFS('MoDi Initiatives'!J:J,'MoDi Initiatives'!$C:$C,'Gap Analysis update'!$B52,'MoDi Initiatives'!$A:$A,'Gap Analysis update'!$A52,'MoDi Initiatives'!$B:$B,'Gap Analysis update'!L$2)</f>
        <v>0</v>
      </c>
      <c r="M52" s="280">
        <f>SUMIFS('MoDi Initiatives'!K:K,'MoDi Initiatives'!$C:$C,'Gap Analysis update'!$B52,'MoDi Initiatives'!$A:$A,'Gap Analysis update'!$A52,'MoDi Initiatives'!$B:$B,'Gap Analysis update'!M$2)</f>
        <v>0</v>
      </c>
      <c r="N52" s="280">
        <f>SUMIFS('MoDi Initiatives'!L:L,'MoDi Initiatives'!$C:$C,'Gap Analysis update'!$B52,'MoDi Initiatives'!$A:$A,'Gap Analysis update'!$A52,'MoDi Initiatives'!$B:$B,'Gap Analysis update'!N$2)</f>
        <v>3.9894077215144465E-2</v>
      </c>
      <c r="O52" s="280">
        <f>SUMIFS('MoDi Initiatives'!M:M,'MoDi Initiatives'!$C:$C,'Gap Analysis update'!$B52,'MoDi Initiatives'!$A:$A,'Gap Analysis update'!$A52,'MoDi Initiatives'!$B:$B,'Gap Analysis update'!O$2)</f>
        <v>0</v>
      </c>
      <c r="P52" s="280">
        <f>SUMIFS('MoDi Initiatives'!N:N,'MoDi Initiatives'!$C:$C,'Gap Analysis update'!$B52,'MoDi Initiatives'!$A:$A,'Gap Analysis update'!$A52,'MoDi Initiatives'!$B:$B,'Gap Analysis update'!P$2)</f>
        <v>0</v>
      </c>
      <c r="Q52" s="280">
        <f>SUMIFS('MoDi Initiatives'!O:O,'MoDi Initiatives'!$C:$C,'Gap Analysis update'!$B52,'MoDi Initiatives'!$A:$A,'Gap Analysis update'!$A52,'MoDi Initiatives'!$B:$B,'Gap Analysis update'!Q$2)</f>
        <v>0</v>
      </c>
      <c r="R52" s="280">
        <f>SUMIFS('MoDi Initiatives'!P:P,'MoDi Initiatives'!$C:$C,'Gap Analysis update'!$B52,'MoDi Initiatives'!$A:$A,'Gap Analysis update'!$A52,'MoDi Initiatives'!$B:$B,'Gap Analysis update'!R$2)</f>
        <v>0</v>
      </c>
      <c r="S52" s="280">
        <f>SUMIFS('MoDi Initiatives'!Q:Q,'MoDi Initiatives'!$C:$C,'Gap Analysis update'!$B52,'MoDi Initiatives'!$A:$A,'Gap Analysis update'!$A52,'MoDi Initiatives'!$B:$B,'Gap Analysis update'!S$2)</f>
        <v>0</v>
      </c>
      <c r="T52" s="280">
        <f>SUMIFS('MoDi Initiatives'!R:R,'MoDi Initiatives'!$C:$C,'Gap Analysis update'!$B52,'MoDi Initiatives'!$A:$A,'Gap Analysis update'!$A52,'MoDi Initiatives'!$B:$B,'Gap Analysis update'!T$2)</f>
        <v>0</v>
      </c>
      <c r="U52" s="280">
        <f>SUMIFS('MoDi Initiatives'!S:S,'MoDi Initiatives'!$C:$C,'Gap Analysis update'!$B52,'MoDi Initiatives'!$A:$A,'Gap Analysis update'!$A52,'MoDi Initiatives'!$B:$B,'Gap Analysis update'!U$2)</f>
        <v>0</v>
      </c>
      <c r="V52" s="280">
        <f>SUMIFS('MoDi Initiatives'!T:T,'MoDi Initiatives'!$C:$C,'Gap Analysis update'!$B52,'MoDi Initiatives'!$A:$A,'Gap Analysis update'!$A52,'MoDi Initiatives'!$B:$B,'Gap Analysis update'!V$2)</f>
        <v>0</v>
      </c>
      <c r="W52" s="280">
        <f>SUMIFS('MoDi Initiatives'!U:U,'MoDi Initiatives'!$C:$C,'Gap Analysis update'!$B52,'MoDi Initiatives'!$A:$A,'Gap Analysis update'!$A52,'MoDi Initiatives'!$B:$B,'Gap Analysis update'!W$2)</f>
        <v>0</v>
      </c>
      <c r="X52" s="280">
        <f>SUMIFS('MoDi Initiatives'!V:V,'MoDi Initiatives'!$C:$C,'Gap Analysis update'!$B52,'MoDi Initiatives'!$A:$A,'Gap Analysis update'!$A52,'MoDi Initiatives'!$B:$B,'Gap Analysis update'!X$2)</f>
        <v>0</v>
      </c>
      <c r="Y52" s="280">
        <f>SUMIFS('MoDi Initiatives'!W:W,'MoDi Initiatives'!$C:$C,'Gap Analysis update'!$B52,'MoDi Initiatives'!$A:$A,'Gap Analysis update'!$A52,'MoDi Initiatives'!$B:$B,'Gap Analysis update'!Y$2)</f>
        <v>0</v>
      </c>
      <c r="Z52" s="285"/>
      <c r="AA52" s="280"/>
      <c r="AB52" s="280">
        <f>SUMIFS('MoDi Initiatives'!H:H,'MoDi Initiatives'!$C:$C,'Gap Analysis update'!$B52,'MoDi Initiatives'!$A:$A,'Gap Analysis update'!$A52,'MoDi Initiatives'!$B:$B,'Gap Analysis update'!AB$2)</f>
        <v>0</v>
      </c>
      <c r="AC52" s="280">
        <f>SUMIFS('MoDi Initiatives'!I:I,'MoDi Initiatives'!$C:$C,'Gap Analysis update'!$B52,'MoDi Initiatives'!$A:$A,'Gap Analysis update'!$A52,'MoDi Initiatives'!$B:$B,'Gap Analysis update'!AC$2)</f>
        <v>0</v>
      </c>
      <c r="AD52" s="280">
        <f>SUMIFS('MoDi Initiatives'!J:J,'MoDi Initiatives'!$C:$C,'Gap Analysis update'!$B52,'MoDi Initiatives'!$A:$A,'Gap Analysis update'!$A52,'MoDi Initiatives'!$B:$B,'Gap Analysis update'!AD$2)</f>
        <v>0</v>
      </c>
      <c r="AE52" s="280">
        <f>SUMIFS('MoDi Initiatives'!K:K,'MoDi Initiatives'!$C:$C,'Gap Analysis update'!$B52,'MoDi Initiatives'!$A:$A,'Gap Analysis update'!$A52,'MoDi Initiatives'!$B:$B,'Gap Analysis update'!AE$2)</f>
        <v>0</v>
      </c>
      <c r="AF52" s="280">
        <f>SUMIFS('MoDi Initiatives'!L:L,'MoDi Initiatives'!$C:$C,'Gap Analysis update'!$B52,'MoDi Initiatives'!$A:$A,'Gap Analysis update'!$A52,'MoDi Initiatives'!$B:$B,'Gap Analysis update'!AF$2)</f>
        <v>0</v>
      </c>
      <c r="AG52" s="280">
        <f>SUMIFS('MoDi Initiatives'!M:M,'MoDi Initiatives'!$C:$C,'Gap Analysis update'!$B52,'MoDi Initiatives'!$A:$A,'Gap Analysis update'!$A52,'MoDi Initiatives'!$B:$B,'Gap Analysis update'!AG$2)</f>
        <v>0</v>
      </c>
      <c r="AH52" s="280">
        <f>SUMIFS('MoDi Initiatives'!N:N,'MoDi Initiatives'!$C:$C,'Gap Analysis update'!$B52,'MoDi Initiatives'!$A:$A,'Gap Analysis update'!$A52,'MoDi Initiatives'!$B:$B,'Gap Analysis update'!AH$2)</f>
        <v>0</v>
      </c>
      <c r="AI52" s="280">
        <f>SUMIFS('MoDi Initiatives'!O:O,'MoDi Initiatives'!$C:$C,'Gap Analysis update'!$B52,'MoDi Initiatives'!$A:$A,'Gap Analysis update'!$A52,'MoDi Initiatives'!$B:$B,'Gap Analysis update'!AI$2)</f>
        <v>0</v>
      </c>
      <c r="AJ52" s="280">
        <f>SUMIFS('MoDi Initiatives'!P:P,'MoDi Initiatives'!$C:$C,'Gap Analysis update'!$B52,'MoDi Initiatives'!$A:$A,'Gap Analysis update'!$A52,'MoDi Initiatives'!$B:$B,'Gap Analysis update'!AJ$2)</f>
        <v>0</v>
      </c>
      <c r="AK52" s="280">
        <f>SUMIFS('MoDi Initiatives'!Q:Q,'MoDi Initiatives'!$C:$C,'Gap Analysis update'!$B52,'MoDi Initiatives'!$A:$A,'Gap Analysis update'!$A52,'MoDi Initiatives'!$B:$B,'Gap Analysis update'!AK$2)</f>
        <v>3.482437100077268E-2</v>
      </c>
      <c r="AL52" s="280">
        <f>SUMIFS('MoDi Initiatives'!R:R,'MoDi Initiatives'!$C:$C,'Gap Analysis update'!$B52,'MoDi Initiatives'!$A:$A,'Gap Analysis update'!$A52,'MoDi Initiatives'!$B:$B,'Gap Analysis update'!AL$2)</f>
        <v>0</v>
      </c>
      <c r="AM52" s="280">
        <f>SUMIFS('MoDi Initiatives'!S:S,'MoDi Initiatives'!$C:$C,'Gap Analysis update'!$B52,'MoDi Initiatives'!$A:$A,'Gap Analysis update'!$A52,'MoDi Initiatives'!$B:$B,'Gap Analysis update'!AM$2)</f>
        <v>8.3507588440862712E-3</v>
      </c>
      <c r="AN52" s="280">
        <f>SUMIFS('MoDi Initiatives'!T:T,'MoDi Initiatives'!$C:$C,'Gap Analysis update'!$B52,'MoDi Initiatives'!$A:$A,'Gap Analysis update'!$A52,'MoDi Initiatives'!$B:$B,'Gap Analysis update'!AN$2)</f>
        <v>0</v>
      </c>
      <c r="AO52" s="280">
        <f>SUMIFS('MoDi Initiatives'!U:U,'MoDi Initiatives'!$C:$C,'Gap Analysis update'!$B52,'MoDi Initiatives'!$A:$A,'Gap Analysis update'!$A52,'MoDi Initiatives'!$B:$B,'Gap Analysis update'!AO$2)</f>
        <v>0</v>
      </c>
      <c r="AP52" s="280">
        <f>SUMIFS('MoDi Initiatives'!V:V,'MoDi Initiatives'!$C:$C,'Gap Analysis update'!$B52,'MoDi Initiatives'!$A:$A,'Gap Analysis update'!$A52,'MoDi Initiatives'!$B:$B,'Gap Analysis update'!AP$2)</f>
        <v>0</v>
      </c>
      <c r="AQ52" s="280">
        <f>SUMIFS('MoDi Initiatives'!W:W,'MoDi Initiatives'!$C:$C,'Gap Analysis update'!$B52,'MoDi Initiatives'!$A:$A,'Gap Analysis update'!$A52,'MoDi Initiatives'!$B:$B,'Gap Analysis update'!AQ$2)</f>
        <v>0</v>
      </c>
      <c r="AR52" s="280" t="e">
        <f>SUMIFS('[1]MoDi Initiatives'!W:W,'[1]MoDi Initiatives'!$B:$B,'Gap Analysis update'!AR$2,'[1]MoDi Initiatives'!$A:$A,'Gap Analysis update'!$A52,'[1]MoDi Initiatives'!$C:$C,"Inflation")</f>
        <v>#VALUE!</v>
      </c>
      <c r="AS52" s="284">
        <f>I52-AA52</f>
        <v>0</v>
      </c>
      <c r="AT52" s="284">
        <f t="shared" ref="AT52:BI61" si="50">AB52-J52</f>
        <v>0</v>
      </c>
      <c r="AU52" s="284">
        <f t="shared" si="41"/>
        <v>0</v>
      </c>
      <c r="AV52" s="284">
        <f t="shared" si="41"/>
        <v>0</v>
      </c>
      <c r="AW52" s="284">
        <f t="shared" si="41"/>
        <v>0</v>
      </c>
      <c r="AX52" s="284">
        <f>AF52-N52</f>
        <v>-3.9894077215144465E-2</v>
      </c>
      <c r="AY52" s="284">
        <f t="shared" si="41"/>
        <v>0</v>
      </c>
      <c r="AZ52" s="284">
        <f>AH52-P52</f>
        <v>0</v>
      </c>
      <c r="BA52" s="284">
        <f t="shared" si="41"/>
        <v>0</v>
      </c>
      <c r="BB52" s="284">
        <f>AJ52-R52</f>
        <v>0</v>
      </c>
      <c r="BC52" s="284">
        <f t="shared" si="41"/>
        <v>3.482437100077268E-2</v>
      </c>
      <c r="BD52" s="284">
        <f t="shared" si="41"/>
        <v>0</v>
      </c>
      <c r="BE52" s="284">
        <f t="shared" si="41"/>
        <v>8.3507588440862712E-3</v>
      </c>
      <c r="BF52" s="284">
        <f t="shared" si="41"/>
        <v>0</v>
      </c>
      <c r="BG52" s="284">
        <f t="shared" si="41"/>
        <v>0</v>
      </c>
      <c r="BH52" s="284">
        <f t="shared" si="41"/>
        <v>0</v>
      </c>
      <c r="BI52" s="284">
        <f t="shared" si="41"/>
        <v>0</v>
      </c>
      <c r="BJ52" s="285"/>
      <c r="BK52" s="301"/>
      <c r="BL52" s="301"/>
      <c r="BM52" s="301"/>
      <c r="BN52" s="301"/>
      <c r="BO52" s="301"/>
      <c r="BP52" s="301"/>
      <c r="BQ52" s="301"/>
      <c r="BR52" s="301"/>
      <c r="BS52" s="301"/>
      <c r="BT52" s="301"/>
      <c r="BU52" s="301"/>
      <c r="BV52" s="301"/>
      <c r="BW52" s="301"/>
      <c r="BX52" s="301"/>
      <c r="BY52" s="301"/>
      <c r="BZ52" s="301"/>
      <c r="CA52" s="301"/>
      <c r="CB52" s="288"/>
    </row>
    <row r="53" spans="1:80" s="298" customFormat="1" ht="65">
      <c r="A53" s="296" t="s">
        <v>121</v>
      </c>
      <c r="B53" s="287" t="s">
        <v>24</v>
      </c>
      <c r="C53" s="288">
        <f>SUM(AS53:BA53)</f>
        <v>0</v>
      </c>
      <c r="D53" s="289">
        <f t="shared" ref="D53:D58" si="51">SUM(BB53:BI53)</f>
        <v>0</v>
      </c>
      <c r="E53" s="289">
        <f t="shared" si="8"/>
        <v>0</v>
      </c>
      <c r="F53" s="306"/>
      <c r="G53" s="286"/>
      <c r="H53" s="297"/>
      <c r="J53" s="288">
        <f>SUMIFS('MoDi Initiatives'!H:H,'MoDi Initiatives'!$E:$E,'Gap Analysis update'!$B53,'MoDi Initiatives'!$A:$A,'Gap Analysis update'!$A53,'MoDi Initiatives'!$B:$B,'Gap Analysis update'!J$2)-SUMIFS('MoDi Initiatives'!H:H,'MoDi Initiatives'!$E:$E,'Gap Analysis update'!$B53,'MoDi Initiatives'!$A:$A,'Gap Analysis update'!$A53,'MoDi Initiatives'!$C:$C,'Gap Analysis update'!$B$7,'MoDi Initiatives'!$B:$B,'Gap Analysis update'!J$2)</f>
        <v>0</v>
      </c>
      <c r="K53" s="288">
        <f>SUMIFS('MoDi Initiatives'!I:I,'MoDi Initiatives'!$E:$E,'Gap Analysis update'!$B53,'MoDi Initiatives'!$A:$A,'Gap Analysis update'!$A53,'MoDi Initiatives'!$B:$B,'Gap Analysis update'!K$2)-SUMIFS('MoDi Initiatives'!I:I,'MoDi Initiatives'!$E:$E,'Gap Analysis update'!$B53,'MoDi Initiatives'!$A:$A,'Gap Analysis update'!$A53,'MoDi Initiatives'!$C:$C,'Gap Analysis update'!$B$7,'MoDi Initiatives'!$B:$B,'Gap Analysis update'!K$2)</f>
        <v>0</v>
      </c>
      <c r="L53" s="288">
        <f>SUMIFS('MoDi Initiatives'!J:J,'MoDi Initiatives'!$E:$E,'Gap Analysis update'!$B53,'MoDi Initiatives'!$A:$A,'Gap Analysis update'!$A53,'MoDi Initiatives'!$B:$B,'Gap Analysis update'!L$2)-SUMIFS('MoDi Initiatives'!J:J,'MoDi Initiatives'!$E:$E,'Gap Analysis update'!$B53,'MoDi Initiatives'!$A:$A,'Gap Analysis update'!$A53,'MoDi Initiatives'!$C:$C,'Gap Analysis update'!$B$7,'MoDi Initiatives'!$B:$B,'Gap Analysis update'!L$2)</f>
        <v>0</v>
      </c>
      <c r="M53" s="288">
        <f>SUMIFS('MoDi Initiatives'!K:K,'MoDi Initiatives'!$E:$E,'Gap Analysis update'!$B53,'MoDi Initiatives'!$A:$A,'Gap Analysis update'!$A53,'MoDi Initiatives'!$B:$B,'Gap Analysis update'!M$2)-SUMIFS('MoDi Initiatives'!K:K,'MoDi Initiatives'!$E:$E,'Gap Analysis update'!$B53,'MoDi Initiatives'!$A:$A,'Gap Analysis update'!$A53,'MoDi Initiatives'!$C:$C,'Gap Analysis update'!$B$7,'MoDi Initiatives'!$B:$B,'Gap Analysis update'!M$2)</f>
        <v>0</v>
      </c>
      <c r="N53" s="288">
        <f>SUMIFS('MoDi Initiatives'!L:L,'MoDi Initiatives'!$E:$E,'Gap Analysis update'!$B53,'MoDi Initiatives'!$A:$A,'Gap Analysis update'!$A53,'MoDi Initiatives'!$B:$B,'Gap Analysis update'!N$2)-SUMIFS('MoDi Initiatives'!L:L,'MoDi Initiatives'!$E:$E,'Gap Analysis update'!$B53,'MoDi Initiatives'!$A:$A,'Gap Analysis update'!$A53,'MoDi Initiatives'!$C:$C,'Gap Analysis update'!$B$7,'MoDi Initiatives'!$B:$B,'Gap Analysis update'!N$2)</f>
        <v>0</v>
      </c>
      <c r="O53" s="288">
        <f>SUMIFS('MoDi Initiatives'!M:M,'MoDi Initiatives'!$E:$E,'Gap Analysis update'!$B53,'MoDi Initiatives'!$A:$A,'Gap Analysis update'!$A53,'MoDi Initiatives'!$B:$B,'Gap Analysis update'!O$2)-SUMIFS('MoDi Initiatives'!M:M,'MoDi Initiatives'!$E:$E,'Gap Analysis update'!$B53,'MoDi Initiatives'!$A:$A,'Gap Analysis update'!$A53,'MoDi Initiatives'!$C:$C,'Gap Analysis update'!$B$7,'MoDi Initiatives'!$B:$B,'Gap Analysis update'!O$2)</f>
        <v>0</v>
      </c>
      <c r="P53" s="288">
        <f>SUMIFS('MoDi Initiatives'!N:N,'MoDi Initiatives'!$E:$E,'Gap Analysis update'!$B53,'MoDi Initiatives'!$A:$A,'Gap Analysis update'!$A53,'MoDi Initiatives'!$B:$B,'Gap Analysis update'!P$2)-SUMIFS('MoDi Initiatives'!N:N,'MoDi Initiatives'!$E:$E,'Gap Analysis update'!$B53,'MoDi Initiatives'!$A:$A,'Gap Analysis update'!$A53,'MoDi Initiatives'!$C:$C,'Gap Analysis update'!$B$7,'MoDi Initiatives'!$B:$B,'Gap Analysis update'!P$2)</f>
        <v>0</v>
      </c>
      <c r="Q53" s="288">
        <f>SUMIFS('MoDi Initiatives'!O:O,'MoDi Initiatives'!$E:$E,'Gap Analysis update'!$B53,'MoDi Initiatives'!$A:$A,'Gap Analysis update'!$A53,'MoDi Initiatives'!$B:$B,'Gap Analysis update'!Q$2)-SUMIFS('MoDi Initiatives'!O:O,'MoDi Initiatives'!$E:$E,'Gap Analysis update'!$B53,'MoDi Initiatives'!$A:$A,'Gap Analysis update'!$A53,'MoDi Initiatives'!$C:$C,'Gap Analysis update'!$B$7,'MoDi Initiatives'!$B:$B,'Gap Analysis update'!Q$2)</f>
        <v>0</v>
      </c>
      <c r="R53" s="288">
        <f>SUMIFS('MoDi Initiatives'!P:P,'MoDi Initiatives'!$E:$E,'Gap Analysis update'!$B53,'MoDi Initiatives'!$A:$A,'Gap Analysis update'!$A53,'MoDi Initiatives'!$B:$B,'Gap Analysis update'!R$2)-SUMIFS('MoDi Initiatives'!P:P,'MoDi Initiatives'!$E:$E,'Gap Analysis update'!$B53,'MoDi Initiatives'!$A:$A,'Gap Analysis update'!$A53,'MoDi Initiatives'!$C:$C,'Gap Analysis update'!$B$7,'MoDi Initiatives'!$B:$B,'Gap Analysis update'!R$2)</f>
        <v>0</v>
      </c>
      <c r="S53" s="288">
        <f>SUMIFS('MoDi Initiatives'!Q:Q,'MoDi Initiatives'!$E:$E,'Gap Analysis update'!$B53,'MoDi Initiatives'!$A:$A,'Gap Analysis update'!$A53,'MoDi Initiatives'!$B:$B,'Gap Analysis update'!S$2)-SUMIFS('MoDi Initiatives'!Q:Q,'MoDi Initiatives'!$E:$E,'Gap Analysis update'!$B53,'MoDi Initiatives'!$A:$A,'Gap Analysis update'!$A53,'MoDi Initiatives'!$C:$C,'Gap Analysis update'!$B$7,'MoDi Initiatives'!$B:$B,'Gap Analysis update'!S$2)</f>
        <v>0</v>
      </c>
      <c r="T53" s="288">
        <f>SUMIFS('MoDi Initiatives'!R:R,'MoDi Initiatives'!$E:$E,'Gap Analysis update'!$B53,'MoDi Initiatives'!$A:$A,'Gap Analysis update'!$A53,'MoDi Initiatives'!$B:$B,'Gap Analysis update'!T$2)-SUMIFS('MoDi Initiatives'!R:R,'MoDi Initiatives'!$E:$E,'Gap Analysis update'!$B53,'MoDi Initiatives'!$A:$A,'Gap Analysis update'!$A53,'MoDi Initiatives'!$C:$C,'Gap Analysis update'!$B$7,'MoDi Initiatives'!$B:$B,'Gap Analysis update'!T$2)</f>
        <v>0</v>
      </c>
      <c r="U53" s="288">
        <f>SUMIFS('MoDi Initiatives'!S:S,'MoDi Initiatives'!$E:$E,'Gap Analysis update'!$B53,'MoDi Initiatives'!$A:$A,'Gap Analysis update'!$A53,'MoDi Initiatives'!$B:$B,'Gap Analysis update'!U$2)-SUMIFS('MoDi Initiatives'!S:S,'MoDi Initiatives'!$E:$E,'Gap Analysis update'!$B53,'MoDi Initiatives'!$A:$A,'Gap Analysis update'!$A53,'MoDi Initiatives'!$C:$C,'Gap Analysis update'!$B$7,'MoDi Initiatives'!$B:$B,'Gap Analysis update'!U$2)</f>
        <v>0</v>
      </c>
      <c r="V53" s="288">
        <f>SUMIFS('MoDi Initiatives'!T:T,'MoDi Initiatives'!$E:$E,'Gap Analysis update'!$B53,'MoDi Initiatives'!$A:$A,'Gap Analysis update'!$A53,'MoDi Initiatives'!$B:$B,'Gap Analysis update'!V$2)-SUMIFS('MoDi Initiatives'!T:T,'MoDi Initiatives'!$E:$E,'Gap Analysis update'!$B53,'MoDi Initiatives'!$A:$A,'Gap Analysis update'!$A53,'MoDi Initiatives'!$C:$C,'Gap Analysis update'!$B$7,'MoDi Initiatives'!$B:$B,'Gap Analysis update'!V$2)</f>
        <v>0</v>
      </c>
      <c r="W53" s="288">
        <f>SUMIFS('MoDi Initiatives'!U:U,'MoDi Initiatives'!$E:$E,'Gap Analysis update'!$B53,'MoDi Initiatives'!$A:$A,'Gap Analysis update'!$A53,'MoDi Initiatives'!$B:$B,'Gap Analysis update'!W$2)-SUMIFS('MoDi Initiatives'!U:U,'MoDi Initiatives'!$E:$E,'Gap Analysis update'!$B53,'MoDi Initiatives'!$A:$A,'Gap Analysis update'!$A53,'MoDi Initiatives'!$C:$C,'Gap Analysis update'!$B$7,'MoDi Initiatives'!$B:$B,'Gap Analysis update'!W$2)</f>
        <v>0</v>
      </c>
      <c r="X53" s="288">
        <f>SUMIFS('MoDi Initiatives'!V:V,'MoDi Initiatives'!$E:$E,'Gap Analysis update'!$B53,'MoDi Initiatives'!$A:$A,'Gap Analysis update'!$A53,'MoDi Initiatives'!$B:$B,'Gap Analysis update'!X$2)-SUMIFS('MoDi Initiatives'!V:V,'MoDi Initiatives'!$E:$E,'Gap Analysis update'!$B53,'MoDi Initiatives'!$A:$A,'Gap Analysis update'!$A53,'MoDi Initiatives'!$C:$C,'Gap Analysis update'!$B$7,'MoDi Initiatives'!$B:$B,'Gap Analysis update'!X$2)</f>
        <v>0</v>
      </c>
      <c r="Y53" s="288">
        <f>SUMIFS('MoDi Initiatives'!W:W,'MoDi Initiatives'!$E:$E,'Gap Analysis update'!$B53,'MoDi Initiatives'!$A:$A,'Gap Analysis update'!$A53,'MoDi Initiatives'!$B:$B,'Gap Analysis update'!Y$2)-SUMIFS('MoDi Initiatives'!W:W,'MoDi Initiatives'!$E:$E,'Gap Analysis update'!$B53,'MoDi Initiatives'!$A:$A,'Gap Analysis update'!$A53,'MoDi Initiatives'!$C:$C,'Gap Analysis update'!$B$7,'MoDi Initiatives'!$B:$B,'Gap Analysis update'!Y$2)</f>
        <v>0</v>
      </c>
      <c r="Z53" s="293"/>
      <c r="AB53" s="298">
        <f>SUMIFS('MoDi Initiatives'!H:H,'MoDi Initiatives'!$E:$E,'Gap Analysis update'!$B53,'MoDi Initiatives'!$A:$A,'Gap Analysis update'!$A53,'MoDi Initiatives'!$B:$B,'Gap Analysis update'!AB$2)-SUMIFS('MoDi Initiatives'!H:H,'MoDi Initiatives'!$E:$E,'Gap Analysis update'!$B53,'MoDi Initiatives'!$A:$A,'Gap Analysis update'!$A53,'MoDi Initiatives'!$B:$B,'Gap Analysis update'!AB$2,'MoDi Initiatives'!$C:$C,'Gap Analysis update'!$B$7)</f>
        <v>0</v>
      </c>
      <c r="AC53" s="288">
        <f>SUMIFS('MoDi Initiatives'!I:I,'MoDi Initiatives'!$E:$E,'Gap Analysis update'!$B53,'MoDi Initiatives'!$A:$A,'Gap Analysis update'!$A53,'MoDi Initiatives'!$B:$B,'Gap Analysis update'!AC$2)-SUMIFS('MoDi Initiatives'!I:I,'MoDi Initiatives'!$E:$E,'Gap Analysis update'!$B53,'MoDi Initiatives'!$A:$A,'Gap Analysis update'!$A53,'MoDi Initiatives'!$B:$B,'Gap Analysis update'!AC$2,'MoDi Initiatives'!$C:$C,'Gap Analysis update'!$B$7)</f>
        <v>0</v>
      </c>
      <c r="AD53" s="288">
        <f>SUMIFS('MoDi Initiatives'!J:J,'MoDi Initiatives'!$E:$E,'Gap Analysis update'!$B53,'MoDi Initiatives'!$A:$A,'Gap Analysis update'!$A53,'MoDi Initiatives'!$B:$B,'Gap Analysis update'!AD$2)-SUMIFS('MoDi Initiatives'!J:J,'MoDi Initiatives'!$E:$E,'Gap Analysis update'!$B53,'MoDi Initiatives'!$A:$A,'Gap Analysis update'!$A53,'MoDi Initiatives'!$B:$B,'Gap Analysis update'!AD$2,'MoDi Initiatives'!$C:$C,'Gap Analysis update'!$B$7)</f>
        <v>0</v>
      </c>
      <c r="AE53" s="298">
        <f>SUMIFS('MoDi Initiatives'!K:K,'MoDi Initiatives'!$E:$E,'Gap Analysis update'!$B53,'MoDi Initiatives'!$A:$A,'Gap Analysis update'!$A53,'MoDi Initiatives'!$B:$B,'Gap Analysis update'!AE$2)-SUMIFS('MoDi Initiatives'!K:K,'MoDi Initiatives'!$E:$E,'Gap Analysis update'!$B53,'MoDi Initiatives'!$A:$A,'Gap Analysis update'!$A53,'MoDi Initiatives'!$B:$B,'Gap Analysis update'!AE$2,'MoDi Initiatives'!$C:$C,'Gap Analysis update'!$B$7)</f>
        <v>0</v>
      </c>
      <c r="AF53" s="298">
        <f>SUMIFS('MoDi Initiatives'!L:L,'MoDi Initiatives'!$E:$E,'Gap Analysis update'!$B53,'MoDi Initiatives'!$A:$A,'Gap Analysis update'!$A53,'MoDi Initiatives'!$B:$B,'Gap Analysis update'!AF$2)-SUMIFS('MoDi Initiatives'!L:L,'MoDi Initiatives'!$E:$E,'Gap Analysis update'!$B53,'MoDi Initiatives'!$A:$A,'Gap Analysis update'!$A53,'MoDi Initiatives'!$B:$B,'Gap Analysis update'!AF$2,'MoDi Initiatives'!$C:$C,'Gap Analysis update'!$B$7)</f>
        <v>0</v>
      </c>
      <c r="AG53" s="298">
        <f>SUMIFS('MoDi Initiatives'!M:M,'MoDi Initiatives'!$E:$E,'Gap Analysis update'!$B53,'MoDi Initiatives'!$A:$A,'Gap Analysis update'!$A53,'MoDi Initiatives'!$B:$B,'Gap Analysis update'!AG$2)-SUMIFS('MoDi Initiatives'!M:M,'MoDi Initiatives'!$E:$E,'Gap Analysis update'!$B53,'MoDi Initiatives'!$A:$A,'Gap Analysis update'!$A53,'MoDi Initiatives'!$B:$B,'Gap Analysis update'!AG$2,'MoDi Initiatives'!$C:$C,'Gap Analysis update'!$B$7)</f>
        <v>0</v>
      </c>
      <c r="AH53" s="298">
        <f>SUMIFS('MoDi Initiatives'!N:N,'MoDi Initiatives'!$E:$E,'Gap Analysis update'!$B53,'MoDi Initiatives'!$A:$A,'Gap Analysis update'!$A53,'MoDi Initiatives'!$B:$B,'Gap Analysis update'!AH$2)-SUMIFS('MoDi Initiatives'!N:N,'MoDi Initiatives'!$E:$E,'Gap Analysis update'!$B53,'MoDi Initiatives'!$A:$A,'Gap Analysis update'!$A53,'MoDi Initiatives'!$B:$B,'Gap Analysis update'!AH$2,'MoDi Initiatives'!$C:$C,'Gap Analysis update'!$B$7)</f>
        <v>0</v>
      </c>
      <c r="AI53" s="298">
        <f>SUMIFS('MoDi Initiatives'!O:O,'MoDi Initiatives'!$E:$E,'Gap Analysis update'!$B53,'MoDi Initiatives'!$A:$A,'Gap Analysis update'!$A53,'MoDi Initiatives'!$B:$B,'Gap Analysis update'!AI$2)-SUMIFS('MoDi Initiatives'!O:O,'MoDi Initiatives'!$E:$E,'Gap Analysis update'!$B53,'MoDi Initiatives'!$A:$A,'Gap Analysis update'!$A53,'MoDi Initiatives'!$B:$B,'Gap Analysis update'!AI$2,'MoDi Initiatives'!$C:$C,'Gap Analysis update'!$B$7)</f>
        <v>0</v>
      </c>
      <c r="AJ53" s="302">
        <f>SUMIFS('MoDi Initiatives'!P:P,'MoDi Initiatives'!$E:$E,'Gap Analysis update'!$B53,'MoDi Initiatives'!$A:$A,'Gap Analysis update'!$A53,'MoDi Initiatives'!$B:$B,'Gap Analysis update'!AJ$2)-SUMIFS('MoDi Initiatives'!P:P,'MoDi Initiatives'!$E:$E,'Gap Analysis update'!$B53,'MoDi Initiatives'!$A:$A,'Gap Analysis update'!$A53,'MoDi Initiatives'!$B:$B,'Gap Analysis update'!AJ$2,'MoDi Initiatives'!$C:$C,'Gap Analysis update'!$B$7)</f>
        <v>0</v>
      </c>
      <c r="AK53" s="298">
        <f>SUMIFS('MoDi Initiatives'!Q:Q,'MoDi Initiatives'!$E:$E,'Gap Analysis update'!$B53,'MoDi Initiatives'!$A:$A,'Gap Analysis update'!$A53,'MoDi Initiatives'!$B:$B,'Gap Analysis update'!AK$2)-SUMIFS('MoDi Initiatives'!Q:Q,'MoDi Initiatives'!$E:$E,'Gap Analysis update'!$B53,'MoDi Initiatives'!$A:$A,'Gap Analysis update'!$A53,'MoDi Initiatives'!$B:$B,'Gap Analysis update'!AK$2,'MoDi Initiatives'!$C:$C,'Gap Analysis update'!$B$7)</f>
        <v>0</v>
      </c>
      <c r="AL53" s="298">
        <f>SUMIFS('MoDi Initiatives'!R:R,'MoDi Initiatives'!$E:$E,'Gap Analysis update'!$B53,'MoDi Initiatives'!$A:$A,'Gap Analysis update'!$A53,'MoDi Initiatives'!$B:$B,'Gap Analysis update'!AL$2)-SUMIFS('MoDi Initiatives'!R:R,'MoDi Initiatives'!$E:$E,'Gap Analysis update'!$B53,'MoDi Initiatives'!$A:$A,'Gap Analysis update'!$A53,'MoDi Initiatives'!$B:$B,'Gap Analysis update'!AL$2,'MoDi Initiatives'!$C:$C,'Gap Analysis update'!$B$7)</f>
        <v>0</v>
      </c>
      <c r="AM53" s="298">
        <f>SUMIFS('MoDi Initiatives'!S:S,'MoDi Initiatives'!$E:$E,'Gap Analysis update'!$B53,'MoDi Initiatives'!$A:$A,'Gap Analysis update'!$A53,'MoDi Initiatives'!$B:$B,'Gap Analysis update'!AM$2)-SUMIFS('MoDi Initiatives'!S:S,'MoDi Initiatives'!$E:$E,'Gap Analysis update'!$B53,'MoDi Initiatives'!$A:$A,'Gap Analysis update'!$A53,'MoDi Initiatives'!$B:$B,'Gap Analysis update'!AM$2,'MoDi Initiatives'!$C:$C,'Gap Analysis update'!$B$7)</f>
        <v>0</v>
      </c>
      <c r="AN53" s="298">
        <f>SUMIFS('MoDi Initiatives'!T:T,'MoDi Initiatives'!$E:$E,'Gap Analysis update'!$B53,'MoDi Initiatives'!$A:$A,'Gap Analysis update'!$A53,'MoDi Initiatives'!$B:$B,'Gap Analysis update'!AN$2)-SUMIFS('MoDi Initiatives'!T:T,'MoDi Initiatives'!$E:$E,'Gap Analysis update'!$B53,'MoDi Initiatives'!$A:$A,'Gap Analysis update'!$A53,'MoDi Initiatives'!$B:$B,'Gap Analysis update'!AN$2,'MoDi Initiatives'!$C:$C,'Gap Analysis update'!$B$7)</f>
        <v>0</v>
      </c>
      <c r="AO53" s="298">
        <f>SUMIFS('MoDi Initiatives'!U:U,'MoDi Initiatives'!$E:$E,'Gap Analysis update'!$B53,'MoDi Initiatives'!$A:$A,'Gap Analysis update'!$A53,'MoDi Initiatives'!$B:$B,'Gap Analysis update'!AO$2)-SUMIFS('MoDi Initiatives'!U:U,'MoDi Initiatives'!$E:$E,'Gap Analysis update'!$B53,'MoDi Initiatives'!$A:$A,'Gap Analysis update'!$A53,'MoDi Initiatives'!$B:$B,'Gap Analysis update'!AO$2,'MoDi Initiatives'!$C:$C,'Gap Analysis update'!$B$7)</f>
        <v>0</v>
      </c>
      <c r="AP53" s="298">
        <f>SUMIFS('MoDi Initiatives'!V:V,'MoDi Initiatives'!$E:$E,'Gap Analysis update'!$B53,'MoDi Initiatives'!$A:$A,'Gap Analysis update'!$A53,'MoDi Initiatives'!$B:$B,'Gap Analysis update'!AP$2)-SUMIFS('MoDi Initiatives'!V:V,'MoDi Initiatives'!$E:$E,'Gap Analysis update'!$B53,'MoDi Initiatives'!$A:$A,'Gap Analysis update'!$A53,'MoDi Initiatives'!$B:$B,'Gap Analysis update'!AP$2,'MoDi Initiatives'!$C:$C,'Gap Analysis update'!$B$7)</f>
        <v>0</v>
      </c>
      <c r="AQ53" s="298">
        <f>SUMIFS('MoDi Initiatives'!W:W,'MoDi Initiatives'!$E:$E,'Gap Analysis update'!$B53,'MoDi Initiatives'!$A:$A,'Gap Analysis update'!$A53,'MoDi Initiatives'!$B:$B,'Gap Analysis update'!AQ$2)-SUMIFS('MoDi Initiatives'!W:W,'MoDi Initiatives'!$E:$E,'Gap Analysis update'!$B53,'MoDi Initiatives'!$A:$A,'Gap Analysis update'!$A53,'MoDi Initiatives'!$B:$B,'Gap Analysis update'!AQ$2,'MoDi Initiatives'!$C:$C,'Gap Analysis update'!$B$7)</f>
        <v>0</v>
      </c>
      <c r="AR53" s="293"/>
      <c r="AS53" s="303"/>
      <c r="AT53" s="289">
        <f t="shared" si="50"/>
        <v>0</v>
      </c>
      <c r="AU53" s="289">
        <f t="shared" si="50"/>
        <v>0</v>
      </c>
      <c r="AV53" s="289">
        <f t="shared" si="50"/>
        <v>0</v>
      </c>
      <c r="AW53" s="303">
        <f t="shared" si="50"/>
        <v>0</v>
      </c>
      <c r="AX53" s="303">
        <f t="shared" si="50"/>
        <v>0</v>
      </c>
      <c r="AY53" s="303">
        <f t="shared" si="50"/>
        <v>0</v>
      </c>
      <c r="AZ53" s="303">
        <f t="shared" si="50"/>
        <v>0</v>
      </c>
      <c r="BA53" s="303">
        <f t="shared" si="50"/>
        <v>0</v>
      </c>
      <c r="BB53" s="303">
        <f t="shared" si="50"/>
        <v>0</v>
      </c>
      <c r="BC53" s="303">
        <f t="shared" si="50"/>
        <v>0</v>
      </c>
      <c r="BD53" s="303">
        <f t="shared" si="50"/>
        <v>0</v>
      </c>
      <c r="BE53" s="303">
        <f t="shared" si="50"/>
        <v>0</v>
      </c>
      <c r="BF53" s="303">
        <f t="shared" si="50"/>
        <v>0</v>
      </c>
      <c r="BG53" s="303">
        <f t="shared" si="50"/>
        <v>0</v>
      </c>
      <c r="BH53" s="303">
        <f t="shared" si="50"/>
        <v>0</v>
      </c>
      <c r="BI53" s="303">
        <f t="shared" si="50"/>
        <v>0</v>
      </c>
      <c r="BJ53" s="293"/>
      <c r="BK53" s="302"/>
      <c r="BL53" s="302" t="s">
        <v>95</v>
      </c>
      <c r="BM53" s="302" t="s">
        <v>122</v>
      </c>
      <c r="BN53" s="302" t="s">
        <v>123</v>
      </c>
      <c r="BO53" s="302"/>
      <c r="BP53" s="302" t="s">
        <v>22</v>
      </c>
      <c r="BQ53" s="302"/>
      <c r="BR53" s="302" t="s">
        <v>124</v>
      </c>
      <c r="BS53" s="302" t="s">
        <v>109</v>
      </c>
      <c r="BT53" s="302" t="s">
        <v>125</v>
      </c>
      <c r="BU53" s="302" t="s">
        <v>123</v>
      </c>
      <c r="BV53" s="302"/>
      <c r="BW53" s="302"/>
      <c r="BX53" s="302"/>
      <c r="BY53" s="302"/>
      <c r="BZ53" s="302"/>
      <c r="CA53" s="302"/>
    </row>
    <row r="54" spans="1:80" s="298" customFormat="1" ht="104">
      <c r="A54" s="296" t="s">
        <v>121</v>
      </c>
      <c r="B54" s="287" t="s">
        <v>33</v>
      </c>
      <c r="C54" s="288">
        <f t="shared" ref="C54:C58" si="52">SUM(AS54:BA54)</f>
        <v>0.14028657039664089</v>
      </c>
      <c r="D54" s="289">
        <f t="shared" si="51"/>
        <v>1.2168509191446658E-2</v>
      </c>
      <c r="E54" s="289">
        <f t="shared" si="8"/>
        <v>0.15245507958808754</v>
      </c>
      <c r="F54" s="306"/>
      <c r="G54" s="286" t="s">
        <v>126</v>
      </c>
      <c r="H54" s="297"/>
      <c r="J54" s="288">
        <f>SUMIFS('MoDi Initiatives'!H:H,'MoDi Initiatives'!$E:$E,'Gap Analysis update'!$B54,'MoDi Initiatives'!$A:$A,'Gap Analysis update'!$A54,'MoDi Initiatives'!$B:$B,'Gap Analysis update'!J$2)-SUMIFS('MoDi Initiatives'!H:H,'MoDi Initiatives'!$E:$E,'Gap Analysis update'!$B54,'MoDi Initiatives'!$A:$A,'Gap Analysis update'!$A54,'MoDi Initiatives'!$C:$C,'Gap Analysis update'!$B$7,'MoDi Initiatives'!$B:$B,'Gap Analysis update'!J$2)</f>
        <v>-8.1541770043510684E-3</v>
      </c>
      <c r="K54" s="288">
        <f>SUMIFS('MoDi Initiatives'!I:I,'MoDi Initiatives'!$E:$E,'Gap Analysis update'!$B54,'MoDi Initiatives'!$A:$A,'Gap Analysis update'!$A54,'MoDi Initiatives'!$B:$B,'Gap Analysis update'!K$2)-SUMIFS('MoDi Initiatives'!I:I,'MoDi Initiatives'!$E:$E,'Gap Analysis update'!$B54,'MoDi Initiatives'!$A:$A,'Gap Analysis update'!$A54,'MoDi Initiatives'!$C:$C,'Gap Analysis update'!$B$7,'MoDi Initiatives'!$B:$B,'Gap Analysis update'!K$2)</f>
        <v>0</v>
      </c>
      <c r="L54" s="288">
        <f>SUMIFS('MoDi Initiatives'!J:J,'MoDi Initiatives'!$E:$E,'Gap Analysis update'!$B54,'MoDi Initiatives'!$A:$A,'Gap Analysis update'!$A54,'MoDi Initiatives'!$B:$B,'Gap Analysis update'!L$2)-SUMIFS('MoDi Initiatives'!J:J,'MoDi Initiatives'!$E:$E,'Gap Analysis update'!$B54,'MoDi Initiatives'!$A:$A,'Gap Analysis update'!$A54,'MoDi Initiatives'!$C:$C,'Gap Analysis update'!$B$7,'MoDi Initiatives'!$B:$B,'Gap Analysis update'!L$2)</f>
        <v>1.9161293970040467E-2</v>
      </c>
      <c r="M54" s="288">
        <f>SUMIFS('MoDi Initiatives'!K:K,'MoDi Initiatives'!$E:$E,'Gap Analysis update'!$B54,'MoDi Initiatives'!$A:$A,'Gap Analysis update'!$A54,'MoDi Initiatives'!$B:$B,'Gap Analysis update'!M$2)-SUMIFS('MoDi Initiatives'!K:K,'MoDi Initiatives'!$E:$E,'Gap Analysis update'!$B54,'MoDi Initiatives'!$A:$A,'Gap Analysis update'!$A54,'MoDi Initiatives'!$C:$C,'Gap Analysis update'!$B$7,'MoDi Initiatives'!$B:$B,'Gap Analysis update'!M$2)</f>
        <v>0</v>
      </c>
      <c r="N54" s="288">
        <f>SUMIFS('MoDi Initiatives'!L:L,'MoDi Initiatives'!$E:$E,'Gap Analysis update'!$B54,'MoDi Initiatives'!$A:$A,'Gap Analysis update'!$A54,'MoDi Initiatives'!$B:$B,'Gap Analysis update'!N$2)-SUMIFS('MoDi Initiatives'!L:L,'MoDi Initiatives'!$E:$E,'Gap Analysis update'!$B54,'MoDi Initiatives'!$A:$A,'Gap Analysis update'!$A54,'MoDi Initiatives'!$C:$C,'Gap Analysis update'!$B$7,'MoDi Initiatives'!$B:$B,'Gap Analysis update'!N$2)</f>
        <v>0</v>
      </c>
      <c r="O54" s="288">
        <f>SUMIFS('MoDi Initiatives'!M:M,'MoDi Initiatives'!$E:$E,'Gap Analysis update'!$B54,'MoDi Initiatives'!$A:$A,'Gap Analysis update'!$A54,'MoDi Initiatives'!$B:$B,'Gap Analysis update'!O$2)-SUMIFS('MoDi Initiatives'!M:M,'MoDi Initiatives'!$E:$E,'Gap Analysis update'!$B54,'MoDi Initiatives'!$A:$A,'Gap Analysis update'!$A54,'MoDi Initiatives'!$C:$C,'Gap Analysis update'!$B$7,'MoDi Initiatives'!$B:$B,'Gap Analysis update'!O$2)</f>
        <v>-0.12068181966439584</v>
      </c>
      <c r="P54" s="288">
        <f>SUMIFS('MoDi Initiatives'!N:N,'MoDi Initiatives'!$E:$E,'Gap Analysis update'!$B54,'MoDi Initiatives'!$A:$A,'Gap Analysis update'!$A54,'MoDi Initiatives'!$B:$B,'Gap Analysis update'!P$2)-SUMIFS('MoDi Initiatives'!N:N,'MoDi Initiatives'!$E:$E,'Gap Analysis update'!$B54,'MoDi Initiatives'!$A:$A,'Gap Analysis update'!$A54,'MoDi Initiatives'!$C:$C,'Gap Analysis update'!$B$7,'MoDi Initiatives'!$B:$B,'Gap Analysis update'!P$2)</f>
        <v>-7.2796143400444019E-2</v>
      </c>
      <c r="Q54" s="288">
        <f>SUMIFS('MoDi Initiatives'!O:O,'MoDi Initiatives'!$E:$E,'Gap Analysis update'!$B54,'MoDi Initiatives'!$A:$A,'Gap Analysis update'!$A54,'MoDi Initiatives'!$B:$B,'Gap Analysis update'!Q$2)-SUMIFS('MoDi Initiatives'!O:O,'MoDi Initiatives'!$E:$E,'Gap Analysis update'!$B54,'MoDi Initiatives'!$A:$A,'Gap Analysis update'!$A54,'MoDi Initiatives'!$C:$C,'Gap Analysis update'!$B$7,'MoDi Initiatives'!$B:$B,'Gap Analysis update'!Q$2)</f>
        <v>0</v>
      </c>
      <c r="R54" s="288">
        <f>SUMIFS('MoDi Initiatives'!P:P,'MoDi Initiatives'!$E:$E,'Gap Analysis update'!$B54,'MoDi Initiatives'!$A:$A,'Gap Analysis update'!$A54,'MoDi Initiatives'!$B:$B,'Gap Analysis update'!R$2)-SUMIFS('MoDi Initiatives'!P:P,'MoDi Initiatives'!$E:$E,'Gap Analysis update'!$B54,'MoDi Initiatives'!$A:$A,'Gap Analysis update'!$A54,'MoDi Initiatives'!$C:$C,'Gap Analysis update'!$B$7,'MoDi Initiatives'!$B:$B,'Gap Analysis update'!R$2)</f>
        <v>0</v>
      </c>
      <c r="S54" s="288">
        <f>SUMIFS('MoDi Initiatives'!Q:Q,'MoDi Initiatives'!$E:$E,'Gap Analysis update'!$B54,'MoDi Initiatives'!$A:$A,'Gap Analysis update'!$A54,'MoDi Initiatives'!$B:$B,'Gap Analysis update'!S$2)-SUMIFS('MoDi Initiatives'!Q:Q,'MoDi Initiatives'!$E:$E,'Gap Analysis update'!$B54,'MoDi Initiatives'!$A:$A,'Gap Analysis update'!$A54,'MoDi Initiatives'!$C:$C,'Gap Analysis update'!$B$7,'MoDi Initiatives'!$B:$B,'Gap Analysis update'!S$2)</f>
        <v>0</v>
      </c>
      <c r="T54" s="288">
        <f>SUMIFS('MoDi Initiatives'!R:R,'MoDi Initiatives'!$E:$E,'Gap Analysis update'!$B54,'MoDi Initiatives'!$A:$A,'Gap Analysis update'!$A54,'MoDi Initiatives'!$B:$B,'Gap Analysis update'!T$2)-SUMIFS('MoDi Initiatives'!R:R,'MoDi Initiatives'!$E:$E,'Gap Analysis update'!$B54,'MoDi Initiatives'!$A:$A,'Gap Analysis update'!$A54,'MoDi Initiatives'!$C:$C,'Gap Analysis update'!$B$7,'MoDi Initiatives'!$B:$B,'Gap Analysis update'!T$2)</f>
        <v>0</v>
      </c>
      <c r="U54" s="288">
        <f>SUMIFS('MoDi Initiatives'!S:S,'MoDi Initiatives'!$E:$E,'Gap Analysis update'!$B54,'MoDi Initiatives'!$A:$A,'Gap Analysis update'!$A54,'MoDi Initiatives'!$B:$B,'Gap Analysis update'!U$2)-SUMIFS('MoDi Initiatives'!S:S,'MoDi Initiatives'!$E:$E,'Gap Analysis update'!$B54,'MoDi Initiatives'!$A:$A,'Gap Analysis update'!$A54,'MoDi Initiatives'!$C:$C,'Gap Analysis update'!$B$7,'MoDi Initiatives'!$B:$B,'Gap Analysis update'!U$2)</f>
        <v>0</v>
      </c>
      <c r="V54" s="288">
        <f>SUMIFS('MoDi Initiatives'!T:T,'MoDi Initiatives'!$E:$E,'Gap Analysis update'!$B54,'MoDi Initiatives'!$A:$A,'Gap Analysis update'!$A54,'MoDi Initiatives'!$B:$B,'Gap Analysis update'!V$2)-SUMIFS('MoDi Initiatives'!T:T,'MoDi Initiatives'!$E:$E,'Gap Analysis update'!$B54,'MoDi Initiatives'!$A:$A,'Gap Analysis update'!$A54,'MoDi Initiatives'!$C:$C,'Gap Analysis update'!$B$7,'MoDi Initiatives'!$B:$B,'Gap Analysis update'!V$2)</f>
        <v>-6.7049079447777391E-3</v>
      </c>
      <c r="W54" s="288">
        <f>SUMIFS('MoDi Initiatives'!U:U,'MoDi Initiatives'!$E:$E,'Gap Analysis update'!$B54,'MoDi Initiatives'!$A:$A,'Gap Analysis update'!$A54,'MoDi Initiatives'!$B:$B,'Gap Analysis update'!W$2)-SUMIFS('MoDi Initiatives'!U:U,'MoDi Initiatives'!$E:$E,'Gap Analysis update'!$B54,'MoDi Initiatives'!$A:$A,'Gap Analysis update'!$A54,'MoDi Initiatives'!$C:$C,'Gap Analysis update'!$B$7,'MoDi Initiatives'!$B:$B,'Gap Analysis update'!W$2)</f>
        <v>0</v>
      </c>
      <c r="X54" s="288">
        <f>SUMIFS('MoDi Initiatives'!V:V,'MoDi Initiatives'!$E:$E,'Gap Analysis update'!$B54,'MoDi Initiatives'!$A:$A,'Gap Analysis update'!$A54,'MoDi Initiatives'!$B:$B,'Gap Analysis update'!X$2)-SUMIFS('MoDi Initiatives'!V:V,'MoDi Initiatives'!$E:$E,'Gap Analysis update'!$B54,'MoDi Initiatives'!$A:$A,'Gap Analysis update'!$A54,'MoDi Initiatives'!$C:$C,'Gap Analysis update'!$B$7,'MoDi Initiatives'!$B:$B,'Gap Analysis update'!X$2)</f>
        <v>0</v>
      </c>
      <c r="Y54" s="288">
        <f>SUMIFS('MoDi Initiatives'!W:W,'MoDi Initiatives'!$E:$E,'Gap Analysis update'!$B54,'MoDi Initiatives'!$A:$A,'Gap Analysis update'!$A54,'MoDi Initiatives'!$B:$B,'Gap Analysis update'!Y$2)-SUMIFS('MoDi Initiatives'!W:W,'MoDi Initiatives'!$E:$E,'Gap Analysis update'!$B54,'MoDi Initiatives'!$A:$A,'Gap Analysis update'!$A54,'MoDi Initiatives'!$C:$C,'Gap Analysis update'!$B$7,'MoDi Initiatives'!$B:$B,'Gap Analysis update'!Y$2)</f>
        <v>0</v>
      </c>
      <c r="Z54" s="293"/>
      <c r="AB54" s="298">
        <f>SUMIFS('MoDi Initiatives'!H:H,'MoDi Initiatives'!$E:$E,'Gap Analysis update'!$B54,'MoDi Initiatives'!$A:$A,'Gap Analysis update'!$A54,'MoDi Initiatives'!$B:$B,'Gap Analysis update'!AB$2)-SUMIFS('MoDi Initiatives'!H:H,'MoDi Initiatives'!$E:$E,'Gap Analysis update'!$B54,'MoDi Initiatives'!$A:$A,'Gap Analysis update'!$A54,'MoDi Initiatives'!$B:$B,'Gap Analysis update'!AB$2,'MoDi Initiatives'!$C:$C,'Gap Analysis update'!$B$7)</f>
        <v>-7.6105652040610273E-3</v>
      </c>
      <c r="AC54" s="298">
        <f>SUMIFS('MoDi Initiatives'!I:I,'MoDi Initiatives'!$E:$E,'Gap Analysis update'!$B54,'MoDi Initiatives'!$A:$A,'Gap Analysis update'!$A54,'MoDi Initiatives'!$B:$B,'Gap Analysis update'!AC$2)-SUMIFS('MoDi Initiatives'!I:I,'MoDi Initiatives'!$E:$E,'Gap Analysis update'!$B54,'MoDi Initiatives'!$A:$A,'Gap Analysis update'!$A54,'MoDi Initiatives'!$B:$B,'Gap Analysis update'!AC$2,'MoDi Initiatives'!$C:$C,'Gap Analysis update'!$B$7)</f>
        <v>0</v>
      </c>
      <c r="AD54" s="298">
        <f>SUMIFS('MoDi Initiatives'!J:J,'MoDi Initiatives'!$E:$E,'Gap Analysis update'!$B54,'MoDi Initiatives'!$A:$A,'Gap Analysis update'!$A54,'MoDi Initiatives'!$B:$B,'Gap Analysis update'!AD$2)-SUMIFS('MoDi Initiatives'!J:J,'MoDi Initiatives'!$E:$E,'Gap Analysis update'!$B54,'MoDi Initiatives'!$A:$A,'Gap Analysis update'!$A54,'MoDi Initiatives'!$B:$B,'Gap Analysis update'!AD$2,'MoDi Initiatives'!$C:$C,'Gap Analysis update'!$B$7)</f>
        <v>0</v>
      </c>
      <c r="AE54" s="298">
        <f>SUMIFS('MoDi Initiatives'!K:K,'MoDi Initiatives'!$E:$E,'Gap Analysis update'!$B54,'MoDi Initiatives'!$A:$A,'Gap Analysis update'!$A54,'MoDi Initiatives'!$B:$B,'Gap Analysis update'!AE$2)-SUMIFS('MoDi Initiatives'!K:K,'MoDi Initiatives'!$E:$E,'Gap Analysis update'!$B54,'MoDi Initiatives'!$A:$A,'Gap Analysis update'!$A54,'MoDi Initiatives'!$B:$B,'Gap Analysis update'!AE$2,'MoDi Initiatives'!$C:$C,'Gap Analysis update'!$B$7)</f>
        <v>0</v>
      </c>
      <c r="AF54" s="298">
        <f>SUMIFS('MoDi Initiatives'!L:L,'MoDi Initiatives'!$E:$E,'Gap Analysis update'!$B54,'MoDi Initiatives'!$A:$A,'Gap Analysis update'!$A54,'MoDi Initiatives'!$B:$B,'Gap Analysis update'!AF$2)-SUMIFS('MoDi Initiatives'!L:L,'MoDi Initiatives'!$E:$E,'Gap Analysis update'!$B54,'MoDi Initiatives'!$A:$A,'Gap Analysis update'!$A54,'MoDi Initiatives'!$B:$B,'Gap Analysis update'!AF$2,'MoDi Initiatives'!$C:$C,'Gap Analysis update'!$B$7)</f>
        <v>0</v>
      </c>
      <c r="AG54" s="298">
        <f>SUMIFS('MoDi Initiatives'!M:M,'MoDi Initiatives'!$E:$E,'Gap Analysis update'!$B54,'MoDi Initiatives'!$A:$A,'Gap Analysis update'!$A54,'MoDi Initiatives'!$B:$B,'Gap Analysis update'!AG$2)-SUMIFS('MoDi Initiatives'!M:M,'MoDi Initiatives'!$E:$E,'Gap Analysis update'!$B54,'MoDi Initiatives'!$A:$A,'Gap Analysis update'!$A54,'MoDi Initiatives'!$B:$B,'Gap Analysis update'!AG$2,'MoDi Initiatives'!$C:$C,'Gap Analysis update'!$B$7)</f>
        <v>0</v>
      </c>
      <c r="AH54" s="298">
        <f>SUMIFS('MoDi Initiatives'!N:N,'MoDi Initiatives'!$E:$E,'Gap Analysis update'!$B54,'MoDi Initiatives'!$A:$A,'Gap Analysis update'!$A54,'MoDi Initiatives'!$B:$B,'Gap Analysis update'!AH$2)-SUMIFS('MoDi Initiatives'!N:N,'MoDi Initiatives'!$E:$E,'Gap Analysis update'!$B54,'MoDi Initiatives'!$A:$A,'Gap Analysis update'!$A54,'MoDi Initiatives'!$B:$B,'Gap Analysis update'!AH$2,'MoDi Initiatives'!$C:$C,'Gap Analysis update'!$B$7)</f>
        <v>-1.8482801209862426E-2</v>
      </c>
      <c r="AI54" s="298">
        <f>SUMIFS('MoDi Initiatives'!O:O,'MoDi Initiatives'!$E:$E,'Gap Analysis update'!$B54,'MoDi Initiatives'!$A:$A,'Gap Analysis update'!$A54,'MoDi Initiatives'!$B:$B,'Gap Analysis update'!AI$2)-SUMIFS('MoDi Initiatives'!O:O,'MoDi Initiatives'!$E:$E,'Gap Analysis update'!$B54,'MoDi Initiatives'!$A:$A,'Gap Analysis update'!$A54,'MoDi Initiatives'!$B:$B,'Gap Analysis update'!AI$2,'MoDi Initiatives'!$C:$C,'Gap Analysis update'!$B$7)</f>
        <v>-1.609090928858611E-2</v>
      </c>
      <c r="AJ54" s="298">
        <f>SUMIFS('MoDi Initiatives'!P:P,'MoDi Initiatives'!$E:$E,'Gap Analysis update'!$B54,'MoDi Initiatives'!$A:$A,'Gap Analysis update'!$A54,'MoDi Initiatives'!$B:$B,'Gap Analysis update'!AJ$2)-SUMIFS('MoDi Initiatives'!P:P,'MoDi Initiatives'!$E:$E,'Gap Analysis update'!$B54,'MoDi Initiatives'!$A:$A,'Gap Analysis update'!$A54,'MoDi Initiatives'!$B:$B,'Gap Analysis update'!AJ$2,'MoDi Initiatives'!$C:$C,'Gap Analysis update'!$B$7)</f>
        <v>0</v>
      </c>
      <c r="AK54" s="298">
        <f>SUMIFS('MoDi Initiatives'!Q:Q,'MoDi Initiatives'!$E:$E,'Gap Analysis update'!$B54,'MoDi Initiatives'!$A:$A,'Gap Analysis update'!$A54,'MoDi Initiatives'!$B:$B,'Gap Analysis update'!AK$2)-SUMIFS('MoDi Initiatives'!Q:Q,'MoDi Initiatives'!$E:$E,'Gap Analysis update'!$B54,'MoDi Initiatives'!$A:$A,'Gap Analysis update'!$A54,'MoDi Initiatives'!$B:$B,'Gap Analysis update'!AK$2,'MoDi Initiatives'!$C:$C,'Gap Analysis update'!$B$7)</f>
        <v>0</v>
      </c>
      <c r="AL54" s="298">
        <f>SUMIFS('MoDi Initiatives'!R:R,'MoDi Initiatives'!$E:$E,'Gap Analysis update'!$B54,'MoDi Initiatives'!$A:$A,'Gap Analysis update'!$A54,'MoDi Initiatives'!$B:$B,'Gap Analysis update'!AL$2)-SUMIFS('MoDi Initiatives'!R:R,'MoDi Initiatives'!$E:$E,'Gap Analysis update'!$B54,'MoDi Initiatives'!$A:$A,'Gap Analysis update'!$A54,'MoDi Initiatives'!$B:$B,'Gap Analysis update'!AL$2,'MoDi Initiatives'!$C:$C,'Gap Analysis update'!$B$7)</f>
        <v>0</v>
      </c>
      <c r="AM54" s="298">
        <f>SUMIFS('MoDi Initiatives'!S:S,'MoDi Initiatives'!$E:$E,'Gap Analysis update'!$B54,'MoDi Initiatives'!$A:$A,'Gap Analysis update'!$A54,'MoDi Initiatives'!$B:$B,'Gap Analysis update'!AM$2)-SUMIFS('MoDi Initiatives'!S:S,'MoDi Initiatives'!$E:$E,'Gap Analysis update'!$B54,'MoDi Initiatives'!$A:$A,'Gap Analysis update'!$A54,'MoDi Initiatives'!$B:$B,'Gap Analysis update'!AM$2,'MoDi Initiatives'!$C:$C,'Gap Analysis update'!$B$7)</f>
        <v>-3.1284556452939899E-2</v>
      </c>
      <c r="AN54" s="298">
        <f>SUMIFS('MoDi Initiatives'!T:T,'MoDi Initiatives'!$E:$E,'Gap Analysis update'!$B54,'MoDi Initiatives'!$A:$A,'Gap Analysis update'!$A54,'MoDi Initiatives'!$B:$B,'Gap Analysis update'!AN$2)-SUMIFS('MoDi Initiatives'!T:T,'MoDi Initiatives'!$E:$E,'Gap Analysis update'!$B54,'MoDi Initiatives'!$A:$A,'Gap Analysis update'!$A54,'MoDi Initiatives'!$B:$B,'Gap Analysis update'!AN$2,'MoDi Initiatives'!$C:$C,'Gap Analysis update'!$B$7)</f>
        <v>-2.3918919212763136E-3</v>
      </c>
      <c r="AO54" s="298">
        <f>SUMIFS('MoDi Initiatives'!U:U,'MoDi Initiatives'!$E:$E,'Gap Analysis update'!$B54,'MoDi Initiatives'!$A:$A,'Gap Analysis update'!$A54,'MoDi Initiatives'!$B:$B,'Gap Analysis update'!AO$2)-SUMIFS('MoDi Initiatives'!U:U,'MoDi Initiatives'!$E:$E,'Gap Analysis update'!$B54,'MoDi Initiatives'!$A:$A,'Gap Analysis update'!$A54,'MoDi Initiatives'!$B:$B,'Gap Analysis update'!AO$2,'MoDi Initiatives'!$C:$C,'Gap Analysis update'!$B$7)</f>
        <v>3.9140049620885131E-2</v>
      </c>
      <c r="AP54" s="298">
        <f>SUMIFS('MoDi Initiatives'!V:V,'MoDi Initiatives'!$E:$E,'Gap Analysis update'!$B54,'MoDi Initiatives'!$A:$A,'Gap Analysis update'!$A54,'MoDi Initiatives'!$B:$B,'Gap Analysis update'!AP$2)-SUMIFS('MoDi Initiatives'!V:V,'MoDi Initiatives'!$E:$E,'Gap Analysis update'!$B54,'MoDi Initiatives'!$A:$A,'Gap Analysis update'!$A54,'MoDi Initiatives'!$B:$B,'Gap Analysis update'!AP$2,'MoDi Initiatives'!$C:$C,'Gap Analysis update'!$B$7)</f>
        <v>0</v>
      </c>
      <c r="AQ54" s="298">
        <f>SUMIFS('MoDi Initiatives'!W:W,'MoDi Initiatives'!$E:$E,'Gap Analysis update'!$B54,'MoDi Initiatives'!$A:$A,'Gap Analysis update'!$A54,'MoDi Initiatives'!$B:$B,'Gap Analysis update'!AQ$2)-SUMIFS('MoDi Initiatives'!W:W,'MoDi Initiatives'!$E:$E,'Gap Analysis update'!$B54,'MoDi Initiatives'!$A:$A,'Gap Analysis update'!$A54,'MoDi Initiatives'!$B:$B,'Gap Analysis update'!AQ$2,'MoDi Initiatives'!$C:$C,'Gap Analysis update'!$B$7)</f>
        <v>0</v>
      </c>
      <c r="AR54" s="293"/>
      <c r="AS54" s="303"/>
      <c r="AT54" s="303">
        <f t="shared" si="50"/>
        <v>5.436118002900411E-4</v>
      </c>
      <c r="AU54" s="303">
        <f t="shared" si="50"/>
        <v>0</v>
      </c>
      <c r="AV54" s="303">
        <f t="shared" si="50"/>
        <v>-1.9161293970040467E-2</v>
      </c>
      <c r="AW54" s="303">
        <f t="shared" si="50"/>
        <v>0</v>
      </c>
      <c r="AX54" s="303">
        <f t="shared" si="50"/>
        <v>0</v>
      </c>
      <c r="AY54" s="303">
        <f t="shared" si="50"/>
        <v>0.12068181966439584</v>
      </c>
      <c r="AZ54" s="303">
        <f t="shared" si="50"/>
        <v>5.4313342190581593E-2</v>
      </c>
      <c r="BA54" s="303">
        <f t="shared" si="50"/>
        <v>-1.609090928858611E-2</v>
      </c>
      <c r="BB54" s="295">
        <f t="shared" si="50"/>
        <v>0</v>
      </c>
      <c r="BC54" s="303">
        <f t="shared" si="50"/>
        <v>0</v>
      </c>
      <c r="BD54" s="303">
        <f t="shared" si="50"/>
        <v>0</v>
      </c>
      <c r="BE54" s="303">
        <f t="shared" si="50"/>
        <v>-3.1284556452939899E-2</v>
      </c>
      <c r="BF54" s="303">
        <f t="shared" si="50"/>
        <v>4.3130160235014259E-3</v>
      </c>
      <c r="BG54" s="303">
        <f t="shared" si="50"/>
        <v>3.9140049620885131E-2</v>
      </c>
      <c r="BH54" s="303">
        <f t="shared" si="50"/>
        <v>0</v>
      </c>
      <c r="BI54" s="303">
        <f t="shared" si="50"/>
        <v>0</v>
      </c>
      <c r="BJ54" s="293"/>
      <c r="BK54" s="302"/>
      <c r="BL54" s="302" t="s">
        <v>127</v>
      </c>
      <c r="BM54" s="302"/>
      <c r="BN54" s="302" t="s">
        <v>128</v>
      </c>
      <c r="BO54" s="302"/>
      <c r="BP54" s="302" t="s">
        <v>22</v>
      </c>
      <c r="BQ54" s="302" t="s">
        <v>113</v>
      </c>
      <c r="BR54" s="302" t="s">
        <v>129</v>
      </c>
      <c r="BS54" s="302" t="s">
        <v>115</v>
      </c>
      <c r="BT54" s="302" t="s">
        <v>22</v>
      </c>
      <c r="BU54" s="302"/>
      <c r="BV54" s="302"/>
      <c r="BW54" s="302"/>
      <c r="BX54" s="302" t="s">
        <v>42</v>
      </c>
      <c r="BY54" s="302" t="s">
        <v>117</v>
      </c>
      <c r="BZ54" s="302"/>
      <c r="CA54" s="302"/>
    </row>
    <row r="55" spans="1:80" s="298" customFormat="1" ht="52">
      <c r="A55" s="296" t="s">
        <v>121</v>
      </c>
      <c r="B55" s="287" t="s">
        <v>43</v>
      </c>
      <c r="C55" s="288">
        <f t="shared" si="52"/>
        <v>-5.8927054114800946E-3</v>
      </c>
      <c r="D55" s="289">
        <f t="shared" si="51"/>
        <v>1.4370970477530353E-3</v>
      </c>
      <c r="E55" s="289">
        <f t="shared" si="8"/>
        <v>-4.4556083637270595E-3</v>
      </c>
      <c r="F55" s="306"/>
      <c r="G55" s="286"/>
      <c r="H55" s="297"/>
      <c r="J55" s="288">
        <f>SUMIFS('MoDi Initiatives'!H:H,'MoDi Initiatives'!$E:$E,'Gap Analysis update'!$B55,'MoDi Initiatives'!$A:$A,'Gap Analysis update'!$A55,'MoDi Initiatives'!$B:$B,'Gap Analysis update'!J$2)-SUMIFS('MoDi Initiatives'!H:H,'MoDi Initiatives'!$E:$E,'Gap Analysis update'!$B55,'MoDi Initiatives'!$A:$A,'Gap Analysis update'!$A55,'MoDi Initiatives'!$C:$C,'Gap Analysis update'!$B$7,'MoDi Initiatives'!$B:$B,'Gap Analysis update'!J$2)</f>
        <v>0</v>
      </c>
      <c r="K55" s="288">
        <f>SUMIFS('MoDi Initiatives'!I:I,'MoDi Initiatives'!$E:$E,'Gap Analysis update'!$B55,'MoDi Initiatives'!$A:$A,'Gap Analysis update'!$A55,'MoDi Initiatives'!$B:$B,'Gap Analysis update'!K$2)-SUMIFS('MoDi Initiatives'!I:I,'MoDi Initiatives'!$E:$E,'Gap Analysis update'!$B55,'MoDi Initiatives'!$A:$A,'Gap Analysis update'!$A55,'MoDi Initiatives'!$C:$C,'Gap Analysis update'!$B$7,'MoDi Initiatives'!$B:$B,'Gap Analysis update'!K$2)</f>
        <v>0</v>
      </c>
      <c r="L55" s="288">
        <f>SUMIFS('MoDi Initiatives'!J:J,'MoDi Initiatives'!$E:$E,'Gap Analysis update'!$B55,'MoDi Initiatives'!$A:$A,'Gap Analysis update'!$A55,'MoDi Initiatives'!$B:$B,'Gap Analysis update'!L$2)-SUMIFS('MoDi Initiatives'!J:J,'MoDi Initiatives'!$E:$E,'Gap Analysis update'!$B55,'MoDi Initiatives'!$A:$A,'Gap Analysis update'!$A55,'MoDi Initiatives'!$C:$C,'Gap Analysis update'!$B$7,'MoDi Initiatives'!$B:$B,'Gap Analysis update'!L$2)</f>
        <v>0</v>
      </c>
      <c r="M55" s="288">
        <f>SUMIFS('MoDi Initiatives'!K:K,'MoDi Initiatives'!$E:$E,'Gap Analysis update'!$B55,'MoDi Initiatives'!$A:$A,'Gap Analysis update'!$A55,'MoDi Initiatives'!$B:$B,'Gap Analysis update'!M$2)-SUMIFS('MoDi Initiatives'!K:K,'MoDi Initiatives'!$E:$E,'Gap Analysis update'!$B55,'MoDi Initiatives'!$A:$A,'Gap Analysis update'!$A55,'MoDi Initiatives'!$C:$C,'Gap Analysis update'!$B$7,'MoDi Initiatives'!$B:$B,'Gap Analysis update'!M$2)</f>
        <v>0</v>
      </c>
      <c r="N55" s="288">
        <f>SUMIFS('MoDi Initiatives'!L:L,'MoDi Initiatives'!$E:$E,'Gap Analysis update'!$B55,'MoDi Initiatives'!$A:$A,'Gap Analysis update'!$A55,'MoDi Initiatives'!$B:$B,'Gap Analysis update'!N$2)-SUMIFS('MoDi Initiatives'!L:L,'MoDi Initiatives'!$E:$E,'Gap Analysis update'!$B55,'MoDi Initiatives'!$A:$A,'Gap Analysis update'!$A55,'MoDi Initiatives'!$C:$C,'Gap Analysis update'!$B$7,'MoDi Initiatives'!$B:$B,'Gap Analysis update'!N$2)</f>
        <v>0</v>
      </c>
      <c r="O55" s="288">
        <f>SUMIFS('MoDi Initiatives'!M:M,'MoDi Initiatives'!$E:$E,'Gap Analysis update'!$B55,'MoDi Initiatives'!$A:$A,'Gap Analysis update'!$A55,'MoDi Initiatives'!$B:$B,'Gap Analysis update'!O$2)-SUMIFS('MoDi Initiatives'!M:M,'MoDi Initiatives'!$E:$E,'Gap Analysis update'!$B55,'MoDi Initiatives'!$A:$A,'Gap Analysis update'!$A55,'MoDi Initiatives'!$C:$C,'Gap Analysis update'!$B$7,'MoDi Initiatives'!$B:$B,'Gap Analysis update'!O$2)</f>
        <v>0</v>
      </c>
      <c r="P55" s="288">
        <f>SUMIFS('MoDi Initiatives'!N:N,'MoDi Initiatives'!$E:$E,'Gap Analysis update'!$B55,'MoDi Initiatives'!$A:$A,'Gap Analysis update'!$A55,'MoDi Initiatives'!$B:$B,'Gap Analysis update'!P$2)-SUMIFS('MoDi Initiatives'!N:N,'MoDi Initiatives'!$E:$E,'Gap Analysis update'!$B55,'MoDi Initiatives'!$A:$A,'Gap Analysis update'!$A55,'MoDi Initiatives'!$C:$C,'Gap Analysis update'!$B$7,'MoDi Initiatives'!$B:$B,'Gap Analysis update'!P$2)</f>
        <v>0</v>
      </c>
      <c r="Q55" s="288">
        <f>SUMIFS('MoDi Initiatives'!O:O,'MoDi Initiatives'!$E:$E,'Gap Analysis update'!$B55,'MoDi Initiatives'!$A:$A,'Gap Analysis update'!$A55,'MoDi Initiatives'!$B:$B,'Gap Analysis update'!Q$2)-SUMIFS('MoDi Initiatives'!O:O,'MoDi Initiatives'!$E:$E,'Gap Analysis update'!$B55,'MoDi Initiatives'!$A:$A,'Gap Analysis update'!$A55,'MoDi Initiatives'!$C:$C,'Gap Analysis update'!$B$7,'MoDi Initiatives'!$B:$B,'Gap Analysis update'!Q$2)</f>
        <v>0</v>
      </c>
      <c r="R55" s="288">
        <f>SUMIFS('MoDi Initiatives'!P:P,'MoDi Initiatives'!$E:$E,'Gap Analysis update'!$B55,'MoDi Initiatives'!$A:$A,'Gap Analysis update'!$A55,'MoDi Initiatives'!$B:$B,'Gap Analysis update'!R$2)-SUMIFS('MoDi Initiatives'!P:P,'MoDi Initiatives'!$E:$E,'Gap Analysis update'!$B55,'MoDi Initiatives'!$A:$A,'Gap Analysis update'!$A55,'MoDi Initiatives'!$C:$C,'Gap Analysis update'!$B$7,'MoDi Initiatives'!$B:$B,'Gap Analysis update'!R$2)</f>
        <v>0</v>
      </c>
      <c r="S55" s="288">
        <f>SUMIFS('MoDi Initiatives'!Q:Q,'MoDi Initiatives'!$E:$E,'Gap Analysis update'!$B55,'MoDi Initiatives'!$A:$A,'Gap Analysis update'!$A55,'MoDi Initiatives'!$B:$B,'Gap Analysis update'!S$2)-SUMIFS('MoDi Initiatives'!Q:Q,'MoDi Initiatives'!$E:$E,'Gap Analysis update'!$B55,'MoDi Initiatives'!$A:$A,'Gap Analysis update'!$A55,'MoDi Initiatives'!$C:$C,'Gap Analysis update'!$B$7,'MoDi Initiatives'!$B:$B,'Gap Analysis update'!S$2)</f>
        <v>0</v>
      </c>
      <c r="T55" s="288">
        <f>SUMIFS('MoDi Initiatives'!R:R,'MoDi Initiatives'!$E:$E,'Gap Analysis update'!$B55,'MoDi Initiatives'!$A:$A,'Gap Analysis update'!$A55,'MoDi Initiatives'!$B:$B,'Gap Analysis update'!T$2)-SUMIFS('MoDi Initiatives'!R:R,'MoDi Initiatives'!$E:$E,'Gap Analysis update'!$B55,'MoDi Initiatives'!$A:$A,'Gap Analysis update'!$A55,'MoDi Initiatives'!$C:$C,'Gap Analysis update'!$B$7,'MoDi Initiatives'!$B:$B,'Gap Analysis update'!T$2)</f>
        <v>0</v>
      </c>
      <c r="U55" s="288">
        <f>SUMIFS('MoDi Initiatives'!S:S,'MoDi Initiatives'!$E:$E,'Gap Analysis update'!$B55,'MoDi Initiatives'!$A:$A,'Gap Analysis update'!$A55,'MoDi Initiatives'!$B:$B,'Gap Analysis update'!U$2)-SUMIFS('MoDi Initiatives'!S:S,'MoDi Initiatives'!$E:$E,'Gap Analysis update'!$B55,'MoDi Initiatives'!$A:$A,'Gap Analysis update'!$A55,'MoDi Initiatives'!$C:$C,'Gap Analysis update'!$B$7,'MoDi Initiatives'!$B:$B,'Gap Analysis update'!U$2)</f>
        <v>0</v>
      </c>
      <c r="V55" s="288">
        <f>SUMIFS('MoDi Initiatives'!T:T,'MoDi Initiatives'!$E:$E,'Gap Analysis update'!$B55,'MoDi Initiatives'!$A:$A,'Gap Analysis update'!$A55,'MoDi Initiatives'!$B:$B,'Gap Analysis update'!V$2)-SUMIFS('MoDi Initiatives'!T:T,'MoDi Initiatives'!$E:$E,'Gap Analysis update'!$B55,'MoDi Initiatives'!$A:$A,'Gap Analysis update'!$A55,'MoDi Initiatives'!$C:$C,'Gap Analysis update'!$B$7,'MoDi Initiatives'!$B:$B,'Gap Analysis update'!V$2)</f>
        <v>0</v>
      </c>
      <c r="W55" s="288">
        <f>SUMIFS('MoDi Initiatives'!U:U,'MoDi Initiatives'!$E:$E,'Gap Analysis update'!$B55,'MoDi Initiatives'!$A:$A,'Gap Analysis update'!$A55,'MoDi Initiatives'!$B:$B,'Gap Analysis update'!W$2)-SUMIFS('MoDi Initiatives'!U:U,'MoDi Initiatives'!$E:$E,'Gap Analysis update'!$B55,'MoDi Initiatives'!$A:$A,'Gap Analysis update'!$A55,'MoDi Initiatives'!$C:$C,'Gap Analysis update'!$B$7,'MoDi Initiatives'!$B:$B,'Gap Analysis update'!W$2)</f>
        <v>0</v>
      </c>
      <c r="X55" s="288">
        <f>SUMIFS('MoDi Initiatives'!V:V,'MoDi Initiatives'!$E:$E,'Gap Analysis update'!$B55,'MoDi Initiatives'!$A:$A,'Gap Analysis update'!$A55,'MoDi Initiatives'!$B:$B,'Gap Analysis update'!X$2)-SUMIFS('MoDi Initiatives'!V:V,'MoDi Initiatives'!$E:$E,'Gap Analysis update'!$B55,'MoDi Initiatives'!$A:$A,'Gap Analysis update'!$A55,'MoDi Initiatives'!$C:$C,'Gap Analysis update'!$B$7,'MoDi Initiatives'!$B:$B,'Gap Analysis update'!X$2)</f>
        <v>0</v>
      </c>
      <c r="Y55" s="288">
        <f>SUMIFS('MoDi Initiatives'!W:W,'MoDi Initiatives'!$E:$E,'Gap Analysis update'!$B55,'MoDi Initiatives'!$A:$A,'Gap Analysis update'!$A55,'MoDi Initiatives'!$B:$B,'Gap Analysis update'!Y$2)-SUMIFS('MoDi Initiatives'!W:W,'MoDi Initiatives'!$E:$E,'Gap Analysis update'!$B55,'MoDi Initiatives'!$A:$A,'Gap Analysis update'!$A55,'MoDi Initiatives'!$C:$C,'Gap Analysis update'!$B$7,'MoDi Initiatives'!$B:$B,'Gap Analysis update'!Y$2)</f>
        <v>0</v>
      </c>
      <c r="Z55" s="293"/>
      <c r="AB55" s="298">
        <f>SUMIFS('MoDi Initiatives'!H:H,'MoDi Initiatives'!$E:$E,'Gap Analysis update'!$B55,'MoDi Initiatives'!$A:$A,'Gap Analysis update'!$A55,'MoDi Initiatives'!$B:$B,'Gap Analysis update'!AB$2)-SUMIFS('MoDi Initiatives'!H:H,'MoDi Initiatives'!$E:$E,'Gap Analysis update'!$B55,'MoDi Initiatives'!$A:$A,'Gap Analysis update'!$A55,'MoDi Initiatives'!$B:$B,'Gap Analysis update'!AB$2,'MoDi Initiatives'!$C:$C,'Gap Analysis update'!$B$7)</f>
        <v>0</v>
      </c>
      <c r="AC55" s="298">
        <f>SUMIFS('MoDi Initiatives'!I:I,'MoDi Initiatives'!$E:$E,'Gap Analysis update'!$B55,'MoDi Initiatives'!$A:$A,'Gap Analysis update'!$A55,'MoDi Initiatives'!$B:$B,'Gap Analysis update'!AC$2)-SUMIFS('MoDi Initiatives'!I:I,'MoDi Initiatives'!$E:$E,'Gap Analysis update'!$B55,'MoDi Initiatives'!$A:$A,'Gap Analysis update'!$A55,'MoDi Initiatives'!$B:$B,'Gap Analysis update'!AC$2,'MoDi Initiatives'!$C:$C,'Gap Analysis update'!$B$7)</f>
        <v>0</v>
      </c>
      <c r="AD55" s="298">
        <f>SUMIFS('MoDi Initiatives'!J:J,'MoDi Initiatives'!$E:$E,'Gap Analysis update'!$B55,'MoDi Initiatives'!$A:$A,'Gap Analysis update'!$A55,'MoDi Initiatives'!$B:$B,'Gap Analysis update'!AD$2)-SUMIFS('MoDi Initiatives'!J:J,'MoDi Initiatives'!$E:$E,'Gap Analysis update'!$B55,'MoDi Initiatives'!$A:$A,'Gap Analysis update'!$A55,'MoDi Initiatives'!$B:$B,'Gap Analysis update'!AD$2,'MoDi Initiatives'!$C:$C,'Gap Analysis update'!$B$7)</f>
        <v>0</v>
      </c>
      <c r="AE55" s="298">
        <f>SUMIFS('MoDi Initiatives'!K:K,'MoDi Initiatives'!$E:$E,'Gap Analysis update'!$B55,'MoDi Initiatives'!$A:$A,'Gap Analysis update'!$A55,'MoDi Initiatives'!$B:$B,'Gap Analysis update'!AE$2)-SUMIFS('MoDi Initiatives'!K:K,'MoDi Initiatives'!$E:$E,'Gap Analysis update'!$B55,'MoDi Initiatives'!$A:$A,'Gap Analysis update'!$A55,'MoDi Initiatives'!$B:$B,'Gap Analysis update'!AE$2,'MoDi Initiatives'!$C:$C,'Gap Analysis update'!$B$7)</f>
        <v>0</v>
      </c>
      <c r="AF55" s="298">
        <f>SUMIFS('MoDi Initiatives'!L:L,'MoDi Initiatives'!$E:$E,'Gap Analysis update'!$B55,'MoDi Initiatives'!$A:$A,'Gap Analysis update'!$A55,'MoDi Initiatives'!$B:$B,'Gap Analysis update'!AF$2)-SUMIFS('MoDi Initiatives'!L:L,'MoDi Initiatives'!$E:$E,'Gap Analysis update'!$B55,'MoDi Initiatives'!$A:$A,'Gap Analysis update'!$A55,'MoDi Initiatives'!$B:$B,'Gap Analysis update'!AF$2,'MoDi Initiatives'!$C:$C,'Gap Analysis update'!$B$7)</f>
        <v>0</v>
      </c>
      <c r="AG55" s="298">
        <f>SUMIFS('MoDi Initiatives'!M:M,'MoDi Initiatives'!$E:$E,'Gap Analysis update'!$B55,'MoDi Initiatives'!$A:$A,'Gap Analysis update'!$A55,'MoDi Initiatives'!$B:$B,'Gap Analysis update'!AG$2)-SUMIFS('MoDi Initiatives'!M:M,'MoDi Initiatives'!$E:$E,'Gap Analysis update'!$B55,'MoDi Initiatives'!$A:$A,'Gap Analysis update'!$A55,'MoDi Initiatives'!$B:$B,'Gap Analysis update'!AG$2,'MoDi Initiatives'!$C:$C,'Gap Analysis update'!$B$7)</f>
        <v>-5.8927054114800946E-3</v>
      </c>
      <c r="AH55" s="298">
        <f>SUMIFS('MoDi Initiatives'!N:N,'MoDi Initiatives'!$E:$E,'Gap Analysis update'!$B55,'MoDi Initiatives'!$A:$A,'Gap Analysis update'!$A55,'MoDi Initiatives'!$B:$B,'Gap Analysis update'!AH$2)-SUMIFS('MoDi Initiatives'!N:N,'MoDi Initiatives'!$E:$E,'Gap Analysis update'!$B55,'MoDi Initiatives'!$A:$A,'Gap Analysis update'!$A55,'MoDi Initiatives'!$B:$B,'Gap Analysis update'!AH$2,'MoDi Initiatives'!$C:$C,'Gap Analysis update'!$B$7)</f>
        <v>0</v>
      </c>
      <c r="AI55" s="298">
        <f>SUMIFS('MoDi Initiatives'!O:O,'MoDi Initiatives'!$E:$E,'Gap Analysis update'!$B55,'MoDi Initiatives'!$A:$A,'Gap Analysis update'!$A55,'MoDi Initiatives'!$B:$B,'Gap Analysis update'!AI$2)-SUMIFS('MoDi Initiatives'!O:O,'MoDi Initiatives'!$E:$E,'Gap Analysis update'!$B55,'MoDi Initiatives'!$A:$A,'Gap Analysis update'!$A55,'MoDi Initiatives'!$B:$B,'Gap Analysis update'!AI$2,'MoDi Initiatives'!$C:$C,'Gap Analysis update'!$B$7)</f>
        <v>0</v>
      </c>
      <c r="AJ55" s="298">
        <f>SUMIFS('MoDi Initiatives'!P:P,'MoDi Initiatives'!$E:$E,'Gap Analysis update'!$B55,'MoDi Initiatives'!$A:$A,'Gap Analysis update'!$A55,'MoDi Initiatives'!$B:$B,'Gap Analysis update'!AJ$2)-SUMIFS('MoDi Initiatives'!P:P,'MoDi Initiatives'!$E:$E,'Gap Analysis update'!$B55,'MoDi Initiatives'!$A:$A,'Gap Analysis update'!$A55,'MoDi Initiatives'!$B:$B,'Gap Analysis update'!AJ$2,'MoDi Initiatives'!$C:$C,'Gap Analysis update'!$B$7)</f>
        <v>0</v>
      </c>
      <c r="AK55" s="298">
        <f>SUMIFS('MoDi Initiatives'!Q:Q,'MoDi Initiatives'!$E:$E,'Gap Analysis update'!$B55,'MoDi Initiatives'!$A:$A,'Gap Analysis update'!$A55,'MoDi Initiatives'!$B:$B,'Gap Analysis update'!AK$2)-SUMIFS('MoDi Initiatives'!Q:Q,'MoDi Initiatives'!$E:$E,'Gap Analysis update'!$B55,'MoDi Initiatives'!$A:$A,'Gap Analysis update'!$A55,'MoDi Initiatives'!$B:$B,'Gap Analysis update'!AK$2,'MoDi Initiatives'!$C:$C,'Gap Analysis update'!$B$7)</f>
        <v>1.4370970477530353E-3</v>
      </c>
      <c r="AL55" s="298">
        <f>SUMIFS('MoDi Initiatives'!R:R,'MoDi Initiatives'!$E:$E,'Gap Analysis update'!$B55,'MoDi Initiatives'!$A:$A,'Gap Analysis update'!$A55,'MoDi Initiatives'!$B:$B,'Gap Analysis update'!AL$2)-SUMIFS('MoDi Initiatives'!R:R,'MoDi Initiatives'!$E:$E,'Gap Analysis update'!$B55,'MoDi Initiatives'!$A:$A,'Gap Analysis update'!$A55,'MoDi Initiatives'!$B:$B,'Gap Analysis update'!AL$2,'MoDi Initiatives'!$C:$C,'Gap Analysis update'!$B$7)</f>
        <v>0</v>
      </c>
      <c r="AM55" s="298">
        <f>SUMIFS('MoDi Initiatives'!S:S,'MoDi Initiatives'!$E:$E,'Gap Analysis update'!$B55,'MoDi Initiatives'!$A:$A,'Gap Analysis update'!$A55,'MoDi Initiatives'!$B:$B,'Gap Analysis update'!AM$2)-SUMIFS('MoDi Initiatives'!S:S,'MoDi Initiatives'!$E:$E,'Gap Analysis update'!$B55,'MoDi Initiatives'!$A:$A,'Gap Analysis update'!$A55,'MoDi Initiatives'!$B:$B,'Gap Analysis update'!AM$2,'MoDi Initiatives'!$C:$C,'Gap Analysis update'!$B$7)</f>
        <v>0</v>
      </c>
      <c r="AN55" s="298">
        <f>SUMIFS('MoDi Initiatives'!T:T,'MoDi Initiatives'!$E:$E,'Gap Analysis update'!$B55,'MoDi Initiatives'!$A:$A,'Gap Analysis update'!$A55,'MoDi Initiatives'!$B:$B,'Gap Analysis update'!AN$2)-SUMIFS('MoDi Initiatives'!T:T,'MoDi Initiatives'!$E:$E,'Gap Analysis update'!$B55,'MoDi Initiatives'!$A:$A,'Gap Analysis update'!$A55,'MoDi Initiatives'!$B:$B,'Gap Analysis update'!AN$2,'MoDi Initiatives'!$C:$C,'Gap Analysis update'!$B$7)</f>
        <v>0</v>
      </c>
      <c r="AO55" s="298">
        <f>SUMIFS('MoDi Initiatives'!U:U,'MoDi Initiatives'!$E:$E,'Gap Analysis update'!$B55,'MoDi Initiatives'!$A:$A,'Gap Analysis update'!$A55,'MoDi Initiatives'!$B:$B,'Gap Analysis update'!AO$2)-SUMIFS('MoDi Initiatives'!U:U,'MoDi Initiatives'!$E:$E,'Gap Analysis update'!$B55,'MoDi Initiatives'!$A:$A,'Gap Analysis update'!$A55,'MoDi Initiatives'!$B:$B,'Gap Analysis update'!AO$2,'MoDi Initiatives'!$C:$C,'Gap Analysis update'!$B$7)</f>
        <v>0</v>
      </c>
      <c r="AP55" s="298">
        <f>SUMIFS('MoDi Initiatives'!V:V,'MoDi Initiatives'!$E:$E,'Gap Analysis update'!$B55,'MoDi Initiatives'!$A:$A,'Gap Analysis update'!$A55,'MoDi Initiatives'!$B:$B,'Gap Analysis update'!AP$2)-SUMIFS('MoDi Initiatives'!V:V,'MoDi Initiatives'!$E:$E,'Gap Analysis update'!$B55,'MoDi Initiatives'!$A:$A,'Gap Analysis update'!$A55,'MoDi Initiatives'!$B:$B,'Gap Analysis update'!AP$2,'MoDi Initiatives'!$C:$C,'Gap Analysis update'!$B$7)</f>
        <v>0</v>
      </c>
      <c r="AQ55" s="298">
        <f>SUMIFS('MoDi Initiatives'!W:W,'MoDi Initiatives'!$E:$E,'Gap Analysis update'!$B55,'MoDi Initiatives'!$A:$A,'Gap Analysis update'!$A55,'MoDi Initiatives'!$B:$B,'Gap Analysis update'!AQ$2)-SUMIFS('MoDi Initiatives'!W:W,'MoDi Initiatives'!$E:$E,'Gap Analysis update'!$B55,'MoDi Initiatives'!$A:$A,'Gap Analysis update'!$A55,'MoDi Initiatives'!$B:$B,'Gap Analysis update'!AQ$2,'MoDi Initiatives'!$C:$C,'Gap Analysis update'!$B$7)</f>
        <v>0</v>
      </c>
      <c r="AR55" s="293"/>
      <c r="AS55" s="303"/>
      <c r="AT55" s="303">
        <f t="shared" si="50"/>
        <v>0</v>
      </c>
      <c r="AU55" s="303">
        <f t="shared" si="50"/>
        <v>0</v>
      </c>
      <c r="AV55" s="303">
        <f t="shared" si="50"/>
        <v>0</v>
      </c>
      <c r="AW55" s="303">
        <f t="shared" si="50"/>
        <v>0</v>
      </c>
      <c r="AX55" s="303">
        <f t="shared" si="50"/>
        <v>0</v>
      </c>
      <c r="AY55" s="304">
        <f t="shared" si="50"/>
        <v>-5.8927054114800946E-3</v>
      </c>
      <c r="AZ55" s="303">
        <f t="shared" si="50"/>
        <v>0</v>
      </c>
      <c r="BA55" s="303">
        <f t="shared" si="50"/>
        <v>0</v>
      </c>
      <c r="BB55" s="303">
        <f t="shared" si="50"/>
        <v>0</v>
      </c>
      <c r="BC55" s="304">
        <f t="shared" si="50"/>
        <v>1.4370970477530353E-3</v>
      </c>
      <c r="BD55" s="303">
        <f t="shared" si="50"/>
        <v>0</v>
      </c>
      <c r="BE55" s="303">
        <f t="shared" si="50"/>
        <v>0</v>
      </c>
      <c r="BF55" s="303">
        <f t="shared" si="50"/>
        <v>0</v>
      </c>
      <c r="BG55" s="303">
        <f t="shared" si="50"/>
        <v>0</v>
      </c>
      <c r="BH55" s="303">
        <f t="shared" si="50"/>
        <v>0</v>
      </c>
      <c r="BI55" s="303">
        <f t="shared" si="50"/>
        <v>0</v>
      </c>
      <c r="BJ55" s="293"/>
      <c r="BK55" s="302"/>
      <c r="BL55" s="302"/>
      <c r="BM55" s="302"/>
      <c r="BN55" s="302"/>
      <c r="BO55" s="302"/>
      <c r="BP55" s="302" t="s">
        <v>22</v>
      </c>
      <c r="BQ55" s="302" t="s">
        <v>76</v>
      </c>
      <c r="BR55" s="302"/>
      <c r="BS55" s="302"/>
      <c r="BT55" s="302" t="s">
        <v>22</v>
      </c>
      <c r="BU55" s="302" t="s">
        <v>78</v>
      </c>
      <c r="BV55" s="302"/>
      <c r="BW55" s="302"/>
      <c r="BX55" s="302"/>
      <c r="BY55" s="302"/>
      <c r="BZ55" s="302"/>
      <c r="CA55" s="302"/>
    </row>
    <row r="56" spans="1:80" s="298" customFormat="1" ht="26">
      <c r="A56" s="296" t="s">
        <v>121</v>
      </c>
      <c r="B56" s="287" t="s">
        <v>49</v>
      </c>
      <c r="C56" s="288">
        <f t="shared" si="52"/>
        <v>0</v>
      </c>
      <c r="D56" s="289">
        <f t="shared" si="51"/>
        <v>0</v>
      </c>
      <c r="E56" s="289">
        <f t="shared" si="8"/>
        <v>0</v>
      </c>
      <c r="F56" s="306"/>
      <c r="G56" s="286"/>
      <c r="H56" s="297"/>
      <c r="J56" s="288">
        <f>SUMIFS('MoDi Initiatives'!H:H,'MoDi Initiatives'!$E:$E,'Gap Analysis update'!$B56,'MoDi Initiatives'!$A:$A,'Gap Analysis update'!$A56,'MoDi Initiatives'!$B:$B,'Gap Analysis update'!J$2)-SUMIFS('MoDi Initiatives'!H:H,'MoDi Initiatives'!$E:$E,'Gap Analysis update'!$B56,'MoDi Initiatives'!$A:$A,'Gap Analysis update'!$A56,'MoDi Initiatives'!$C:$C,'Gap Analysis update'!$B$7,'MoDi Initiatives'!$B:$B,'Gap Analysis update'!J$2)</f>
        <v>0</v>
      </c>
      <c r="K56" s="288">
        <f>SUMIFS('MoDi Initiatives'!I:I,'MoDi Initiatives'!$E:$E,'Gap Analysis update'!$B56,'MoDi Initiatives'!$A:$A,'Gap Analysis update'!$A56,'MoDi Initiatives'!$B:$B,'Gap Analysis update'!K$2)-SUMIFS('MoDi Initiatives'!I:I,'MoDi Initiatives'!$E:$E,'Gap Analysis update'!$B56,'MoDi Initiatives'!$A:$A,'Gap Analysis update'!$A56,'MoDi Initiatives'!$C:$C,'Gap Analysis update'!$B$7,'MoDi Initiatives'!$B:$B,'Gap Analysis update'!K$2)</f>
        <v>0</v>
      </c>
      <c r="L56" s="288">
        <f>SUMIFS('MoDi Initiatives'!J:J,'MoDi Initiatives'!$E:$E,'Gap Analysis update'!$B56,'MoDi Initiatives'!$A:$A,'Gap Analysis update'!$A56,'MoDi Initiatives'!$B:$B,'Gap Analysis update'!L$2)-SUMIFS('MoDi Initiatives'!J:J,'MoDi Initiatives'!$E:$E,'Gap Analysis update'!$B56,'MoDi Initiatives'!$A:$A,'Gap Analysis update'!$A56,'MoDi Initiatives'!$C:$C,'Gap Analysis update'!$B$7,'MoDi Initiatives'!$B:$B,'Gap Analysis update'!L$2)</f>
        <v>0</v>
      </c>
      <c r="M56" s="288">
        <f>SUMIFS('MoDi Initiatives'!K:K,'MoDi Initiatives'!$E:$E,'Gap Analysis update'!$B56,'MoDi Initiatives'!$A:$A,'Gap Analysis update'!$A56,'MoDi Initiatives'!$B:$B,'Gap Analysis update'!M$2)-SUMIFS('MoDi Initiatives'!K:K,'MoDi Initiatives'!$E:$E,'Gap Analysis update'!$B56,'MoDi Initiatives'!$A:$A,'Gap Analysis update'!$A56,'MoDi Initiatives'!$C:$C,'Gap Analysis update'!$B$7,'MoDi Initiatives'!$B:$B,'Gap Analysis update'!M$2)</f>
        <v>0</v>
      </c>
      <c r="N56" s="288">
        <f>SUMIFS('MoDi Initiatives'!L:L,'MoDi Initiatives'!$E:$E,'Gap Analysis update'!$B56,'MoDi Initiatives'!$A:$A,'Gap Analysis update'!$A56,'MoDi Initiatives'!$B:$B,'Gap Analysis update'!N$2)-SUMIFS('MoDi Initiatives'!L:L,'MoDi Initiatives'!$E:$E,'Gap Analysis update'!$B56,'MoDi Initiatives'!$A:$A,'Gap Analysis update'!$A56,'MoDi Initiatives'!$C:$C,'Gap Analysis update'!$B$7,'MoDi Initiatives'!$B:$B,'Gap Analysis update'!N$2)</f>
        <v>0</v>
      </c>
      <c r="O56" s="288">
        <f>SUMIFS('MoDi Initiatives'!M:M,'MoDi Initiatives'!$E:$E,'Gap Analysis update'!$B56,'MoDi Initiatives'!$A:$A,'Gap Analysis update'!$A56,'MoDi Initiatives'!$B:$B,'Gap Analysis update'!O$2)-SUMIFS('MoDi Initiatives'!M:M,'MoDi Initiatives'!$E:$E,'Gap Analysis update'!$B56,'MoDi Initiatives'!$A:$A,'Gap Analysis update'!$A56,'MoDi Initiatives'!$C:$C,'Gap Analysis update'!$B$7,'MoDi Initiatives'!$B:$B,'Gap Analysis update'!O$2)</f>
        <v>0</v>
      </c>
      <c r="P56" s="288">
        <f>SUMIFS('MoDi Initiatives'!N:N,'MoDi Initiatives'!$E:$E,'Gap Analysis update'!$B56,'MoDi Initiatives'!$A:$A,'Gap Analysis update'!$A56,'MoDi Initiatives'!$B:$B,'Gap Analysis update'!P$2)-SUMIFS('MoDi Initiatives'!N:N,'MoDi Initiatives'!$E:$E,'Gap Analysis update'!$B56,'MoDi Initiatives'!$A:$A,'Gap Analysis update'!$A56,'MoDi Initiatives'!$C:$C,'Gap Analysis update'!$B$7,'MoDi Initiatives'!$B:$B,'Gap Analysis update'!P$2)</f>
        <v>0</v>
      </c>
      <c r="Q56" s="288">
        <f>SUMIFS('MoDi Initiatives'!O:O,'MoDi Initiatives'!$E:$E,'Gap Analysis update'!$B56,'MoDi Initiatives'!$A:$A,'Gap Analysis update'!$A56,'MoDi Initiatives'!$B:$B,'Gap Analysis update'!Q$2)-SUMIFS('MoDi Initiatives'!O:O,'MoDi Initiatives'!$E:$E,'Gap Analysis update'!$B56,'MoDi Initiatives'!$A:$A,'Gap Analysis update'!$A56,'MoDi Initiatives'!$C:$C,'Gap Analysis update'!$B$7,'MoDi Initiatives'!$B:$B,'Gap Analysis update'!Q$2)</f>
        <v>0</v>
      </c>
      <c r="R56" s="288">
        <f>SUMIFS('MoDi Initiatives'!P:P,'MoDi Initiatives'!$E:$E,'Gap Analysis update'!$B56,'MoDi Initiatives'!$A:$A,'Gap Analysis update'!$A56,'MoDi Initiatives'!$B:$B,'Gap Analysis update'!R$2)-SUMIFS('MoDi Initiatives'!P:P,'MoDi Initiatives'!$E:$E,'Gap Analysis update'!$B56,'MoDi Initiatives'!$A:$A,'Gap Analysis update'!$A56,'MoDi Initiatives'!$C:$C,'Gap Analysis update'!$B$7,'MoDi Initiatives'!$B:$B,'Gap Analysis update'!R$2)</f>
        <v>0</v>
      </c>
      <c r="S56" s="288">
        <f>SUMIFS('MoDi Initiatives'!Q:Q,'MoDi Initiatives'!$E:$E,'Gap Analysis update'!$B56,'MoDi Initiatives'!$A:$A,'Gap Analysis update'!$A56,'MoDi Initiatives'!$B:$B,'Gap Analysis update'!S$2)-SUMIFS('MoDi Initiatives'!Q:Q,'MoDi Initiatives'!$E:$E,'Gap Analysis update'!$B56,'MoDi Initiatives'!$A:$A,'Gap Analysis update'!$A56,'MoDi Initiatives'!$C:$C,'Gap Analysis update'!$B$7,'MoDi Initiatives'!$B:$B,'Gap Analysis update'!S$2)</f>
        <v>0</v>
      </c>
      <c r="T56" s="288">
        <f>SUMIFS('MoDi Initiatives'!R:R,'MoDi Initiatives'!$E:$E,'Gap Analysis update'!$B56,'MoDi Initiatives'!$A:$A,'Gap Analysis update'!$A56,'MoDi Initiatives'!$B:$B,'Gap Analysis update'!T$2)-SUMIFS('MoDi Initiatives'!R:R,'MoDi Initiatives'!$E:$E,'Gap Analysis update'!$B56,'MoDi Initiatives'!$A:$A,'Gap Analysis update'!$A56,'MoDi Initiatives'!$C:$C,'Gap Analysis update'!$B$7,'MoDi Initiatives'!$B:$B,'Gap Analysis update'!T$2)</f>
        <v>0</v>
      </c>
      <c r="U56" s="288">
        <f>SUMIFS('MoDi Initiatives'!S:S,'MoDi Initiatives'!$E:$E,'Gap Analysis update'!$B56,'MoDi Initiatives'!$A:$A,'Gap Analysis update'!$A56,'MoDi Initiatives'!$B:$B,'Gap Analysis update'!U$2)-SUMIFS('MoDi Initiatives'!S:S,'MoDi Initiatives'!$E:$E,'Gap Analysis update'!$B56,'MoDi Initiatives'!$A:$A,'Gap Analysis update'!$A56,'MoDi Initiatives'!$C:$C,'Gap Analysis update'!$B$7,'MoDi Initiatives'!$B:$B,'Gap Analysis update'!U$2)</f>
        <v>0</v>
      </c>
      <c r="V56" s="288">
        <f>SUMIFS('MoDi Initiatives'!T:T,'MoDi Initiatives'!$E:$E,'Gap Analysis update'!$B56,'MoDi Initiatives'!$A:$A,'Gap Analysis update'!$A56,'MoDi Initiatives'!$B:$B,'Gap Analysis update'!V$2)-SUMIFS('MoDi Initiatives'!T:T,'MoDi Initiatives'!$E:$E,'Gap Analysis update'!$B56,'MoDi Initiatives'!$A:$A,'Gap Analysis update'!$A56,'MoDi Initiatives'!$C:$C,'Gap Analysis update'!$B$7,'MoDi Initiatives'!$B:$B,'Gap Analysis update'!V$2)</f>
        <v>0</v>
      </c>
      <c r="W56" s="288">
        <f>SUMIFS('MoDi Initiatives'!U:U,'MoDi Initiatives'!$E:$E,'Gap Analysis update'!$B56,'MoDi Initiatives'!$A:$A,'Gap Analysis update'!$A56,'MoDi Initiatives'!$B:$B,'Gap Analysis update'!W$2)-SUMIFS('MoDi Initiatives'!U:U,'MoDi Initiatives'!$E:$E,'Gap Analysis update'!$B56,'MoDi Initiatives'!$A:$A,'Gap Analysis update'!$A56,'MoDi Initiatives'!$C:$C,'Gap Analysis update'!$B$7,'MoDi Initiatives'!$B:$B,'Gap Analysis update'!W$2)</f>
        <v>0</v>
      </c>
      <c r="X56" s="288">
        <f>SUMIFS('MoDi Initiatives'!V:V,'MoDi Initiatives'!$E:$E,'Gap Analysis update'!$B56,'MoDi Initiatives'!$A:$A,'Gap Analysis update'!$A56,'MoDi Initiatives'!$B:$B,'Gap Analysis update'!X$2)-SUMIFS('MoDi Initiatives'!V:V,'MoDi Initiatives'!$E:$E,'Gap Analysis update'!$B56,'MoDi Initiatives'!$A:$A,'Gap Analysis update'!$A56,'MoDi Initiatives'!$C:$C,'Gap Analysis update'!$B$7,'MoDi Initiatives'!$B:$B,'Gap Analysis update'!X$2)</f>
        <v>0</v>
      </c>
      <c r="Y56" s="288">
        <f>SUMIFS('MoDi Initiatives'!W:W,'MoDi Initiatives'!$E:$E,'Gap Analysis update'!$B56,'MoDi Initiatives'!$A:$A,'Gap Analysis update'!$A56,'MoDi Initiatives'!$B:$B,'Gap Analysis update'!Y$2)-SUMIFS('MoDi Initiatives'!W:W,'MoDi Initiatives'!$E:$E,'Gap Analysis update'!$B56,'MoDi Initiatives'!$A:$A,'Gap Analysis update'!$A56,'MoDi Initiatives'!$C:$C,'Gap Analysis update'!$B$7,'MoDi Initiatives'!$B:$B,'Gap Analysis update'!Y$2)</f>
        <v>0</v>
      </c>
      <c r="Z56" s="293"/>
      <c r="AB56" s="298">
        <f>SUMIFS('MoDi Initiatives'!H:H,'MoDi Initiatives'!$E:$E,'Gap Analysis update'!$B56,'MoDi Initiatives'!$A:$A,'Gap Analysis update'!$A56,'MoDi Initiatives'!$B:$B,'Gap Analysis update'!AB$2)-SUMIFS('MoDi Initiatives'!H:H,'MoDi Initiatives'!$E:$E,'Gap Analysis update'!$B56,'MoDi Initiatives'!$A:$A,'Gap Analysis update'!$A56,'MoDi Initiatives'!$B:$B,'Gap Analysis update'!AB$2,'MoDi Initiatives'!$C:$C,'Gap Analysis update'!$B$7)</f>
        <v>0</v>
      </c>
      <c r="AC56" s="298">
        <f>SUMIFS('MoDi Initiatives'!I:I,'MoDi Initiatives'!$E:$E,'Gap Analysis update'!$B56,'MoDi Initiatives'!$A:$A,'Gap Analysis update'!$A56,'MoDi Initiatives'!$B:$B,'Gap Analysis update'!AC$2)-SUMIFS('MoDi Initiatives'!I:I,'MoDi Initiatives'!$E:$E,'Gap Analysis update'!$B56,'MoDi Initiatives'!$A:$A,'Gap Analysis update'!$A56,'MoDi Initiatives'!$B:$B,'Gap Analysis update'!AC$2,'MoDi Initiatives'!$C:$C,'Gap Analysis update'!$B$7)</f>
        <v>0</v>
      </c>
      <c r="AD56" s="298">
        <f>SUMIFS('MoDi Initiatives'!J:J,'MoDi Initiatives'!$E:$E,'Gap Analysis update'!$B56,'MoDi Initiatives'!$A:$A,'Gap Analysis update'!$A56,'MoDi Initiatives'!$B:$B,'Gap Analysis update'!AD$2)-SUMIFS('MoDi Initiatives'!J:J,'MoDi Initiatives'!$E:$E,'Gap Analysis update'!$B56,'MoDi Initiatives'!$A:$A,'Gap Analysis update'!$A56,'MoDi Initiatives'!$B:$B,'Gap Analysis update'!AD$2,'MoDi Initiatives'!$C:$C,'Gap Analysis update'!$B$7)</f>
        <v>0</v>
      </c>
      <c r="AE56" s="298">
        <f>SUMIFS('MoDi Initiatives'!K:K,'MoDi Initiatives'!$E:$E,'Gap Analysis update'!$B56,'MoDi Initiatives'!$A:$A,'Gap Analysis update'!$A56,'MoDi Initiatives'!$B:$B,'Gap Analysis update'!AE$2)-SUMIFS('MoDi Initiatives'!K:K,'MoDi Initiatives'!$E:$E,'Gap Analysis update'!$B56,'MoDi Initiatives'!$A:$A,'Gap Analysis update'!$A56,'MoDi Initiatives'!$B:$B,'Gap Analysis update'!AE$2,'MoDi Initiatives'!$C:$C,'Gap Analysis update'!$B$7)</f>
        <v>0</v>
      </c>
      <c r="AF56" s="298">
        <f>SUMIFS('MoDi Initiatives'!L:L,'MoDi Initiatives'!$E:$E,'Gap Analysis update'!$B56,'MoDi Initiatives'!$A:$A,'Gap Analysis update'!$A56,'MoDi Initiatives'!$B:$B,'Gap Analysis update'!AF$2)-SUMIFS('MoDi Initiatives'!L:L,'MoDi Initiatives'!$E:$E,'Gap Analysis update'!$B56,'MoDi Initiatives'!$A:$A,'Gap Analysis update'!$A56,'MoDi Initiatives'!$B:$B,'Gap Analysis update'!AF$2,'MoDi Initiatives'!$C:$C,'Gap Analysis update'!$B$7)</f>
        <v>0</v>
      </c>
      <c r="AG56" s="298">
        <f>SUMIFS('MoDi Initiatives'!M:M,'MoDi Initiatives'!$E:$E,'Gap Analysis update'!$B56,'MoDi Initiatives'!$A:$A,'Gap Analysis update'!$A56,'MoDi Initiatives'!$B:$B,'Gap Analysis update'!AG$2)-SUMIFS('MoDi Initiatives'!M:M,'MoDi Initiatives'!$E:$E,'Gap Analysis update'!$B56,'MoDi Initiatives'!$A:$A,'Gap Analysis update'!$A56,'MoDi Initiatives'!$B:$B,'Gap Analysis update'!AG$2,'MoDi Initiatives'!$C:$C,'Gap Analysis update'!$B$7)</f>
        <v>0</v>
      </c>
      <c r="AH56" s="298">
        <f>SUMIFS('MoDi Initiatives'!N:N,'MoDi Initiatives'!$E:$E,'Gap Analysis update'!$B56,'MoDi Initiatives'!$A:$A,'Gap Analysis update'!$A56,'MoDi Initiatives'!$B:$B,'Gap Analysis update'!AH$2)-SUMIFS('MoDi Initiatives'!N:N,'MoDi Initiatives'!$E:$E,'Gap Analysis update'!$B56,'MoDi Initiatives'!$A:$A,'Gap Analysis update'!$A56,'MoDi Initiatives'!$B:$B,'Gap Analysis update'!AH$2,'MoDi Initiatives'!$C:$C,'Gap Analysis update'!$B$7)</f>
        <v>0</v>
      </c>
      <c r="AI56" s="298">
        <f>SUMIFS('MoDi Initiatives'!O:O,'MoDi Initiatives'!$E:$E,'Gap Analysis update'!$B56,'MoDi Initiatives'!$A:$A,'Gap Analysis update'!$A56,'MoDi Initiatives'!$B:$B,'Gap Analysis update'!AI$2)-SUMIFS('MoDi Initiatives'!O:O,'MoDi Initiatives'!$E:$E,'Gap Analysis update'!$B56,'MoDi Initiatives'!$A:$A,'Gap Analysis update'!$A56,'MoDi Initiatives'!$B:$B,'Gap Analysis update'!AI$2,'MoDi Initiatives'!$C:$C,'Gap Analysis update'!$B$7)</f>
        <v>0</v>
      </c>
      <c r="AJ56" s="298">
        <f>SUMIFS('MoDi Initiatives'!P:P,'MoDi Initiatives'!$E:$E,'Gap Analysis update'!$B56,'MoDi Initiatives'!$A:$A,'Gap Analysis update'!$A56,'MoDi Initiatives'!$B:$B,'Gap Analysis update'!AJ$2)-SUMIFS('MoDi Initiatives'!P:P,'MoDi Initiatives'!$E:$E,'Gap Analysis update'!$B56,'MoDi Initiatives'!$A:$A,'Gap Analysis update'!$A56,'MoDi Initiatives'!$B:$B,'Gap Analysis update'!AJ$2,'MoDi Initiatives'!$C:$C,'Gap Analysis update'!$B$7)</f>
        <v>0</v>
      </c>
      <c r="AK56" s="298">
        <f>SUMIFS('MoDi Initiatives'!Q:Q,'MoDi Initiatives'!$E:$E,'Gap Analysis update'!$B56,'MoDi Initiatives'!$A:$A,'Gap Analysis update'!$A56,'MoDi Initiatives'!$B:$B,'Gap Analysis update'!AK$2)-SUMIFS('MoDi Initiatives'!Q:Q,'MoDi Initiatives'!$E:$E,'Gap Analysis update'!$B56,'MoDi Initiatives'!$A:$A,'Gap Analysis update'!$A56,'MoDi Initiatives'!$B:$B,'Gap Analysis update'!AK$2,'MoDi Initiatives'!$C:$C,'Gap Analysis update'!$B$7)</f>
        <v>0</v>
      </c>
      <c r="AL56" s="298">
        <f>SUMIFS('MoDi Initiatives'!R:R,'MoDi Initiatives'!$E:$E,'Gap Analysis update'!$B56,'MoDi Initiatives'!$A:$A,'Gap Analysis update'!$A56,'MoDi Initiatives'!$B:$B,'Gap Analysis update'!AL$2)-SUMIFS('MoDi Initiatives'!R:R,'MoDi Initiatives'!$E:$E,'Gap Analysis update'!$B56,'MoDi Initiatives'!$A:$A,'Gap Analysis update'!$A56,'MoDi Initiatives'!$B:$B,'Gap Analysis update'!AL$2,'MoDi Initiatives'!$C:$C,'Gap Analysis update'!$B$7)</f>
        <v>0</v>
      </c>
      <c r="AM56" s="298">
        <f>SUMIFS('MoDi Initiatives'!S:S,'MoDi Initiatives'!$E:$E,'Gap Analysis update'!$B56,'MoDi Initiatives'!$A:$A,'Gap Analysis update'!$A56,'MoDi Initiatives'!$B:$B,'Gap Analysis update'!AM$2)-SUMIFS('MoDi Initiatives'!S:S,'MoDi Initiatives'!$E:$E,'Gap Analysis update'!$B56,'MoDi Initiatives'!$A:$A,'Gap Analysis update'!$A56,'MoDi Initiatives'!$B:$B,'Gap Analysis update'!AM$2,'MoDi Initiatives'!$C:$C,'Gap Analysis update'!$B$7)</f>
        <v>0</v>
      </c>
      <c r="AN56" s="298">
        <f>SUMIFS('MoDi Initiatives'!T:T,'MoDi Initiatives'!$E:$E,'Gap Analysis update'!$B56,'MoDi Initiatives'!$A:$A,'Gap Analysis update'!$A56,'MoDi Initiatives'!$B:$B,'Gap Analysis update'!AN$2)-SUMIFS('MoDi Initiatives'!T:T,'MoDi Initiatives'!$E:$E,'Gap Analysis update'!$B56,'MoDi Initiatives'!$A:$A,'Gap Analysis update'!$A56,'MoDi Initiatives'!$B:$B,'Gap Analysis update'!AN$2,'MoDi Initiatives'!$C:$C,'Gap Analysis update'!$B$7)</f>
        <v>0</v>
      </c>
      <c r="AO56" s="298">
        <f>SUMIFS('MoDi Initiatives'!U:U,'MoDi Initiatives'!$E:$E,'Gap Analysis update'!$B56,'MoDi Initiatives'!$A:$A,'Gap Analysis update'!$A56,'MoDi Initiatives'!$B:$B,'Gap Analysis update'!AO$2)-SUMIFS('MoDi Initiatives'!U:U,'MoDi Initiatives'!$E:$E,'Gap Analysis update'!$B56,'MoDi Initiatives'!$A:$A,'Gap Analysis update'!$A56,'MoDi Initiatives'!$B:$B,'Gap Analysis update'!AO$2,'MoDi Initiatives'!$C:$C,'Gap Analysis update'!$B$7)</f>
        <v>0</v>
      </c>
      <c r="AP56" s="298">
        <f>SUMIFS('MoDi Initiatives'!V:V,'MoDi Initiatives'!$E:$E,'Gap Analysis update'!$B56,'MoDi Initiatives'!$A:$A,'Gap Analysis update'!$A56,'MoDi Initiatives'!$B:$B,'Gap Analysis update'!AP$2)-SUMIFS('MoDi Initiatives'!V:V,'MoDi Initiatives'!$E:$E,'Gap Analysis update'!$B56,'MoDi Initiatives'!$A:$A,'Gap Analysis update'!$A56,'MoDi Initiatives'!$B:$B,'Gap Analysis update'!AP$2,'MoDi Initiatives'!$C:$C,'Gap Analysis update'!$B$7)</f>
        <v>0</v>
      </c>
      <c r="AQ56" s="298">
        <f>SUMIFS('MoDi Initiatives'!W:W,'MoDi Initiatives'!$E:$E,'Gap Analysis update'!$B56,'MoDi Initiatives'!$A:$A,'Gap Analysis update'!$A56,'MoDi Initiatives'!$B:$B,'Gap Analysis update'!AQ$2)-SUMIFS('MoDi Initiatives'!W:W,'MoDi Initiatives'!$E:$E,'Gap Analysis update'!$B56,'MoDi Initiatives'!$A:$A,'Gap Analysis update'!$A56,'MoDi Initiatives'!$B:$B,'Gap Analysis update'!AQ$2,'MoDi Initiatives'!$C:$C,'Gap Analysis update'!$B$7)</f>
        <v>0</v>
      </c>
      <c r="AR56" s="293"/>
      <c r="AS56" s="303"/>
      <c r="AT56" s="303">
        <f t="shared" si="50"/>
        <v>0</v>
      </c>
      <c r="AU56" s="303">
        <f t="shared" si="50"/>
        <v>0</v>
      </c>
      <c r="AV56" s="303">
        <f t="shared" si="50"/>
        <v>0</v>
      </c>
      <c r="AW56" s="303">
        <f t="shared" si="50"/>
        <v>0</v>
      </c>
      <c r="AX56" s="303">
        <f t="shared" si="50"/>
        <v>0</v>
      </c>
      <c r="AY56" s="303">
        <f t="shared" si="50"/>
        <v>0</v>
      </c>
      <c r="AZ56" s="303">
        <f t="shared" si="50"/>
        <v>0</v>
      </c>
      <c r="BA56" s="303">
        <f t="shared" si="50"/>
        <v>0</v>
      </c>
      <c r="BB56" s="303">
        <f t="shared" si="50"/>
        <v>0</v>
      </c>
      <c r="BC56" s="303">
        <f t="shared" si="50"/>
        <v>0</v>
      </c>
      <c r="BD56" s="303">
        <f t="shared" si="50"/>
        <v>0</v>
      </c>
      <c r="BE56" s="303">
        <f t="shared" si="50"/>
        <v>0</v>
      </c>
      <c r="BF56" s="303">
        <f t="shared" si="50"/>
        <v>0</v>
      </c>
      <c r="BG56" s="303">
        <f t="shared" si="50"/>
        <v>0</v>
      </c>
      <c r="BH56" s="303">
        <f t="shared" si="50"/>
        <v>0</v>
      </c>
      <c r="BI56" s="303">
        <f t="shared" si="50"/>
        <v>0</v>
      </c>
      <c r="BJ56" s="293"/>
      <c r="BK56" s="302"/>
      <c r="BL56" s="302"/>
      <c r="BM56" s="302" t="s">
        <v>51</v>
      </c>
      <c r="BN56" s="302"/>
      <c r="BO56" s="302"/>
      <c r="BP56" s="302" t="s">
        <v>22</v>
      </c>
      <c r="BQ56" s="302"/>
      <c r="BR56" s="302" t="s">
        <v>52</v>
      </c>
      <c r="BS56" s="302" t="s">
        <v>51</v>
      </c>
      <c r="BT56" s="302" t="s">
        <v>22</v>
      </c>
      <c r="BU56" s="302"/>
      <c r="BV56" s="302"/>
      <c r="BW56" s="302"/>
      <c r="BX56" s="302"/>
      <c r="BY56" s="302"/>
      <c r="BZ56" s="302"/>
      <c r="CA56" s="302"/>
    </row>
    <row r="57" spans="1:80" s="298" customFormat="1" ht="13">
      <c r="A57" s="296" t="s">
        <v>121</v>
      </c>
      <c r="B57" s="287" t="s">
        <v>53</v>
      </c>
      <c r="C57" s="288">
        <f t="shared" si="52"/>
        <v>5.3952383955983667E-5</v>
      </c>
      <c r="D57" s="289">
        <f t="shared" si="51"/>
        <v>0</v>
      </c>
      <c r="E57" s="289">
        <f t="shared" si="8"/>
        <v>5.3952383955983667E-5</v>
      </c>
      <c r="F57" s="306"/>
      <c r="G57" s="286"/>
      <c r="H57" s="297"/>
      <c r="J57" s="288">
        <f>SUMIFS('MoDi Initiatives'!H:H,'MoDi Initiatives'!$E:$E,'Gap Analysis update'!$B57,'MoDi Initiatives'!$A:$A,'Gap Analysis update'!$A57,'MoDi Initiatives'!$B:$B,'Gap Analysis update'!J$2)-SUMIFS('MoDi Initiatives'!H:H,'MoDi Initiatives'!$E:$E,'Gap Analysis update'!$B57,'MoDi Initiatives'!$A:$A,'Gap Analysis update'!$A57,'MoDi Initiatives'!$C:$C,'Gap Analysis update'!$B$7,'MoDi Initiatives'!$B:$B,'Gap Analysis update'!J$2)</f>
        <v>0</v>
      </c>
      <c r="K57" s="288">
        <f>SUMIFS('MoDi Initiatives'!I:I,'MoDi Initiatives'!$E:$E,'Gap Analysis update'!$B57,'MoDi Initiatives'!$A:$A,'Gap Analysis update'!$A57,'MoDi Initiatives'!$B:$B,'Gap Analysis update'!K$2)-SUMIFS('MoDi Initiatives'!I:I,'MoDi Initiatives'!$E:$E,'Gap Analysis update'!$B57,'MoDi Initiatives'!$A:$A,'Gap Analysis update'!$A57,'MoDi Initiatives'!$C:$C,'Gap Analysis update'!$B$7,'MoDi Initiatives'!$B:$B,'Gap Analysis update'!K$2)</f>
        <v>0</v>
      </c>
      <c r="L57" s="288">
        <f>SUMIFS('MoDi Initiatives'!J:J,'MoDi Initiatives'!$E:$E,'Gap Analysis update'!$B57,'MoDi Initiatives'!$A:$A,'Gap Analysis update'!$A57,'MoDi Initiatives'!$B:$B,'Gap Analysis update'!L$2)-SUMIFS('MoDi Initiatives'!J:J,'MoDi Initiatives'!$E:$E,'Gap Analysis update'!$B57,'MoDi Initiatives'!$A:$A,'Gap Analysis update'!$A57,'MoDi Initiatives'!$C:$C,'Gap Analysis update'!$B$7,'MoDi Initiatives'!$B:$B,'Gap Analysis update'!L$2)</f>
        <v>0</v>
      </c>
      <c r="M57" s="288">
        <f>SUMIFS('MoDi Initiatives'!K:K,'MoDi Initiatives'!$E:$E,'Gap Analysis update'!$B57,'MoDi Initiatives'!$A:$A,'Gap Analysis update'!$A57,'MoDi Initiatives'!$B:$B,'Gap Analysis update'!M$2)-SUMIFS('MoDi Initiatives'!K:K,'MoDi Initiatives'!$E:$E,'Gap Analysis update'!$B57,'MoDi Initiatives'!$A:$A,'Gap Analysis update'!$A57,'MoDi Initiatives'!$C:$C,'Gap Analysis update'!$B$7,'MoDi Initiatives'!$B:$B,'Gap Analysis update'!M$2)</f>
        <v>-7.664517588016187E-3</v>
      </c>
      <c r="N57" s="288">
        <f>SUMIFS('MoDi Initiatives'!L:L,'MoDi Initiatives'!$E:$E,'Gap Analysis update'!$B57,'MoDi Initiatives'!$A:$A,'Gap Analysis update'!$A57,'MoDi Initiatives'!$B:$B,'Gap Analysis update'!N$2)-SUMIFS('MoDi Initiatives'!L:L,'MoDi Initiatives'!$E:$E,'Gap Analysis update'!$B57,'MoDi Initiatives'!$A:$A,'Gap Analysis update'!$A57,'MoDi Initiatives'!$C:$C,'Gap Analysis update'!$B$7,'MoDi Initiatives'!$B:$B,'Gap Analysis update'!N$2)</f>
        <v>0</v>
      </c>
      <c r="O57" s="288">
        <f>SUMIFS('MoDi Initiatives'!M:M,'MoDi Initiatives'!$E:$E,'Gap Analysis update'!$B57,'MoDi Initiatives'!$A:$A,'Gap Analysis update'!$A57,'MoDi Initiatives'!$B:$B,'Gap Analysis update'!O$2)-SUMIFS('MoDi Initiatives'!M:M,'MoDi Initiatives'!$E:$E,'Gap Analysis update'!$B57,'MoDi Initiatives'!$A:$A,'Gap Analysis update'!$A57,'MoDi Initiatives'!$C:$C,'Gap Analysis update'!$B$7,'MoDi Initiatives'!$B:$B,'Gap Analysis update'!O$2)</f>
        <v>0</v>
      </c>
      <c r="P57" s="288">
        <f>SUMIFS('MoDi Initiatives'!N:N,'MoDi Initiatives'!$E:$E,'Gap Analysis update'!$B57,'MoDi Initiatives'!$A:$A,'Gap Analysis update'!$A57,'MoDi Initiatives'!$B:$B,'Gap Analysis update'!P$2)-SUMIFS('MoDi Initiatives'!N:N,'MoDi Initiatives'!$E:$E,'Gap Analysis update'!$B57,'MoDi Initiatives'!$A:$A,'Gap Analysis update'!$A57,'MoDi Initiatives'!$C:$C,'Gap Analysis update'!$B$7,'MoDi Initiatives'!$B:$B,'Gap Analysis update'!P$2)</f>
        <v>0</v>
      </c>
      <c r="Q57" s="288">
        <f>SUMIFS('MoDi Initiatives'!O:O,'MoDi Initiatives'!$E:$E,'Gap Analysis update'!$B57,'MoDi Initiatives'!$A:$A,'Gap Analysis update'!$A57,'MoDi Initiatives'!$B:$B,'Gap Analysis update'!Q$2)-SUMIFS('MoDi Initiatives'!O:O,'MoDi Initiatives'!$E:$E,'Gap Analysis update'!$B57,'MoDi Initiatives'!$A:$A,'Gap Analysis update'!$A57,'MoDi Initiatives'!$C:$C,'Gap Analysis update'!$B$7,'MoDi Initiatives'!$B:$B,'Gap Analysis update'!Q$2)</f>
        <v>0</v>
      </c>
      <c r="R57" s="288">
        <f>SUMIFS('MoDi Initiatives'!P:P,'MoDi Initiatives'!$E:$E,'Gap Analysis update'!$B57,'MoDi Initiatives'!$A:$A,'Gap Analysis update'!$A57,'MoDi Initiatives'!$B:$B,'Gap Analysis update'!R$2)-SUMIFS('MoDi Initiatives'!P:P,'MoDi Initiatives'!$E:$E,'Gap Analysis update'!$B57,'MoDi Initiatives'!$A:$A,'Gap Analysis update'!$A57,'MoDi Initiatives'!$C:$C,'Gap Analysis update'!$B$7,'MoDi Initiatives'!$B:$B,'Gap Analysis update'!R$2)</f>
        <v>0</v>
      </c>
      <c r="S57" s="288">
        <f>SUMIFS('MoDi Initiatives'!Q:Q,'MoDi Initiatives'!$E:$E,'Gap Analysis update'!$B57,'MoDi Initiatives'!$A:$A,'Gap Analysis update'!$A57,'MoDi Initiatives'!$B:$B,'Gap Analysis update'!S$2)-SUMIFS('MoDi Initiatives'!Q:Q,'MoDi Initiatives'!$E:$E,'Gap Analysis update'!$B57,'MoDi Initiatives'!$A:$A,'Gap Analysis update'!$A57,'MoDi Initiatives'!$C:$C,'Gap Analysis update'!$B$7,'MoDi Initiatives'!$B:$B,'Gap Analysis update'!S$2)</f>
        <v>0</v>
      </c>
      <c r="T57" s="288">
        <f>SUMIFS('MoDi Initiatives'!R:R,'MoDi Initiatives'!$E:$E,'Gap Analysis update'!$B57,'MoDi Initiatives'!$A:$A,'Gap Analysis update'!$A57,'MoDi Initiatives'!$B:$B,'Gap Analysis update'!T$2)-SUMIFS('MoDi Initiatives'!R:R,'MoDi Initiatives'!$E:$E,'Gap Analysis update'!$B57,'MoDi Initiatives'!$A:$A,'Gap Analysis update'!$A57,'MoDi Initiatives'!$C:$C,'Gap Analysis update'!$B$7,'MoDi Initiatives'!$B:$B,'Gap Analysis update'!T$2)</f>
        <v>-7.664517588016187E-3</v>
      </c>
      <c r="U57" s="288">
        <f>SUMIFS('MoDi Initiatives'!S:S,'MoDi Initiatives'!$E:$E,'Gap Analysis update'!$B57,'MoDi Initiatives'!$A:$A,'Gap Analysis update'!$A57,'MoDi Initiatives'!$B:$B,'Gap Analysis update'!U$2)-SUMIFS('MoDi Initiatives'!S:S,'MoDi Initiatives'!$E:$E,'Gap Analysis update'!$B57,'MoDi Initiatives'!$A:$A,'Gap Analysis update'!$A57,'MoDi Initiatives'!$C:$C,'Gap Analysis update'!$B$7,'MoDi Initiatives'!$B:$B,'Gap Analysis update'!U$2)</f>
        <v>0</v>
      </c>
      <c r="V57" s="288">
        <f>SUMIFS('MoDi Initiatives'!T:T,'MoDi Initiatives'!$E:$E,'Gap Analysis update'!$B57,'MoDi Initiatives'!$A:$A,'Gap Analysis update'!$A57,'MoDi Initiatives'!$B:$B,'Gap Analysis update'!V$2)-SUMIFS('MoDi Initiatives'!T:T,'MoDi Initiatives'!$E:$E,'Gap Analysis update'!$B57,'MoDi Initiatives'!$A:$A,'Gap Analysis update'!$A57,'MoDi Initiatives'!$C:$C,'Gap Analysis update'!$B$7,'MoDi Initiatives'!$B:$B,'Gap Analysis update'!V$2)</f>
        <v>0</v>
      </c>
      <c r="W57" s="288">
        <f>SUMIFS('MoDi Initiatives'!U:U,'MoDi Initiatives'!$E:$E,'Gap Analysis update'!$B57,'MoDi Initiatives'!$A:$A,'Gap Analysis update'!$A57,'MoDi Initiatives'!$B:$B,'Gap Analysis update'!W$2)-SUMIFS('MoDi Initiatives'!U:U,'MoDi Initiatives'!$E:$E,'Gap Analysis update'!$B57,'MoDi Initiatives'!$A:$A,'Gap Analysis update'!$A57,'MoDi Initiatives'!$C:$C,'Gap Analysis update'!$B$7,'MoDi Initiatives'!$B:$B,'Gap Analysis update'!W$2)</f>
        <v>0</v>
      </c>
      <c r="X57" s="288">
        <f>SUMIFS('MoDi Initiatives'!V:V,'MoDi Initiatives'!$E:$E,'Gap Analysis update'!$B57,'MoDi Initiatives'!$A:$A,'Gap Analysis update'!$A57,'MoDi Initiatives'!$B:$B,'Gap Analysis update'!X$2)-SUMIFS('MoDi Initiatives'!V:V,'MoDi Initiatives'!$E:$E,'Gap Analysis update'!$B57,'MoDi Initiatives'!$A:$A,'Gap Analysis update'!$A57,'MoDi Initiatives'!$C:$C,'Gap Analysis update'!$B$7,'MoDi Initiatives'!$B:$B,'Gap Analysis update'!X$2)</f>
        <v>0</v>
      </c>
      <c r="Y57" s="288">
        <f>SUMIFS('MoDi Initiatives'!W:W,'MoDi Initiatives'!$E:$E,'Gap Analysis update'!$B57,'MoDi Initiatives'!$A:$A,'Gap Analysis update'!$A57,'MoDi Initiatives'!$B:$B,'Gap Analysis update'!Y$2)-SUMIFS('MoDi Initiatives'!W:W,'MoDi Initiatives'!$E:$E,'Gap Analysis update'!$B57,'MoDi Initiatives'!$A:$A,'Gap Analysis update'!$A57,'MoDi Initiatives'!$C:$C,'Gap Analysis update'!$B$7,'MoDi Initiatives'!$B:$B,'Gap Analysis update'!Y$2)</f>
        <v>0</v>
      </c>
      <c r="Z57" s="293"/>
      <c r="AB57" s="298">
        <f>SUMIFS('MoDi Initiatives'!H:H,'MoDi Initiatives'!$E:$E,'Gap Analysis update'!$B57,'MoDi Initiatives'!$A:$A,'Gap Analysis update'!$A57,'MoDi Initiatives'!$B:$B,'Gap Analysis update'!AB$2)-SUMIFS('MoDi Initiatives'!H:H,'MoDi Initiatives'!$E:$E,'Gap Analysis update'!$B57,'MoDi Initiatives'!$A:$A,'Gap Analysis update'!$A57,'MoDi Initiatives'!$B:$B,'Gap Analysis update'!AB$2,'MoDi Initiatives'!$C:$C,'Gap Analysis update'!$B$7)</f>
        <v>0</v>
      </c>
      <c r="AC57" s="298">
        <f>SUMIFS('MoDi Initiatives'!I:I,'MoDi Initiatives'!$E:$E,'Gap Analysis update'!$B57,'MoDi Initiatives'!$A:$A,'Gap Analysis update'!$A57,'MoDi Initiatives'!$B:$B,'Gap Analysis update'!AC$2)-SUMIFS('MoDi Initiatives'!I:I,'MoDi Initiatives'!$E:$E,'Gap Analysis update'!$B57,'MoDi Initiatives'!$A:$A,'Gap Analysis update'!$A57,'MoDi Initiatives'!$B:$B,'Gap Analysis update'!AC$2,'MoDi Initiatives'!$C:$C,'Gap Analysis update'!$B$7)</f>
        <v>0</v>
      </c>
      <c r="AD57" s="299">
        <f>SUMIFS('MoDi Initiatives'!J:J,'MoDi Initiatives'!$E:$E,'Gap Analysis update'!$B57,'MoDi Initiatives'!$A:$A,'Gap Analysis update'!$A57,'MoDi Initiatives'!$B:$B,'Gap Analysis update'!AD$2)-SUMIFS('MoDi Initiatives'!J:J,'MoDi Initiatives'!$E:$E,'Gap Analysis update'!$B57,'MoDi Initiatives'!$A:$A,'Gap Analysis update'!$A57,'MoDi Initiatives'!$B:$B,'Gap Analysis update'!AD$2,'MoDi Initiatives'!$C:$C,'Gap Analysis update'!$B$7)</f>
        <v>-7.6105652040602033E-3</v>
      </c>
      <c r="AE57" s="298">
        <f>SUMIFS('MoDi Initiatives'!K:K,'MoDi Initiatives'!$E:$E,'Gap Analysis update'!$B57,'MoDi Initiatives'!$A:$A,'Gap Analysis update'!$A57,'MoDi Initiatives'!$B:$B,'Gap Analysis update'!AE$2)-SUMIFS('MoDi Initiatives'!K:K,'MoDi Initiatives'!$E:$E,'Gap Analysis update'!$B57,'MoDi Initiatives'!$A:$A,'Gap Analysis update'!$A57,'MoDi Initiatives'!$B:$B,'Gap Analysis update'!AE$2,'MoDi Initiatives'!$C:$C,'Gap Analysis update'!$B$7)</f>
        <v>0</v>
      </c>
      <c r="AF57" s="298">
        <f>SUMIFS('MoDi Initiatives'!L:L,'MoDi Initiatives'!$E:$E,'Gap Analysis update'!$B57,'MoDi Initiatives'!$A:$A,'Gap Analysis update'!$A57,'MoDi Initiatives'!$B:$B,'Gap Analysis update'!AF$2)-SUMIFS('MoDi Initiatives'!L:L,'MoDi Initiatives'!$E:$E,'Gap Analysis update'!$B57,'MoDi Initiatives'!$A:$A,'Gap Analysis update'!$A57,'MoDi Initiatives'!$B:$B,'Gap Analysis update'!AF$2,'MoDi Initiatives'!$C:$C,'Gap Analysis update'!$B$7)</f>
        <v>0</v>
      </c>
      <c r="AG57" s="298">
        <f>SUMIFS('MoDi Initiatives'!M:M,'MoDi Initiatives'!$E:$E,'Gap Analysis update'!$B57,'MoDi Initiatives'!$A:$A,'Gap Analysis update'!$A57,'MoDi Initiatives'!$B:$B,'Gap Analysis update'!AG$2)-SUMIFS('MoDi Initiatives'!M:M,'MoDi Initiatives'!$E:$E,'Gap Analysis update'!$B57,'MoDi Initiatives'!$A:$A,'Gap Analysis update'!$A57,'MoDi Initiatives'!$B:$B,'Gap Analysis update'!AG$2,'MoDi Initiatives'!$C:$C,'Gap Analysis update'!$B$7)</f>
        <v>0</v>
      </c>
      <c r="AH57" s="298">
        <f>SUMIFS('MoDi Initiatives'!N:N,'MoDi Initiatives'!$E:$E,'Gap Analysis update'!$B57,'MoDi Initiatives'!$A:$A,'Gap Analysis update'!$A57,'MoDi Initiatives'!$B:$B,'Gap Analysis update'!AH$2)-SUMIFS('MoDi Initiatives'!N:N,'MoDi Initiatives'!$E:$E,'Gap Analysis update'!$B57,'MoDi Initiatives'!$A:$A,'Gap Analysis update'!$A57,'MoDi Initiatives'!$B:$B,'Gap Analysis update'!AH$2,'MoDi Initiatives'!$C:$C,'Gap Analysis update'!$B$7)</f>
        <v>0</v>
      </c>
      <c r="AI57" s="298">
        <f>SUMIFS('MoDi Initiatives'!O:O,'MoDi Initiatives'!$E:$E,'Gap Analysis update'!$B57,'MoDi Initiatives'!$A:$A,'Gap Analysis update'!$A57,'MoDi Initiatives'!$B:$B,'Gap Analysis update'!AI$2)-SUMIFS('MoDi Initiatives'!O:O,'MoDi Initiatives'!$E:$E,'Gap Analysis update'!$B57,'MoDi Initiatives'!$A:$A,'Gap Analysis update'!$A57,'MoDi Initiatives'!$B:$B,'Gap Analysis update'!AI$2,'MoDi Initiatives'!$C:$C,'Gap Analysis update'!$B$7)</f>
        <v>0</v>
      </c>
      <c r="AJ57" s="298">
        <f>SUMIFS('MoDi Initiatives'!P:P,'MoDi Initiatives'!$E:$E,'Gap Analysis update'!$B57,'MoDi Initiatives'!$A:$A,'Gap Analysis update'!$A57,'MoDi Initiatives'!$B:$B,'Gap Analysis update'!AJ$2)-SUMIFS('MoDi Initiatives'!P:P,'MoDi Initiatives'!$E:$E,'Gap Analysis update'!$B57,'MoDi Initiatives'!$A:$A,'Gap Analysis update'!$A57,'MoDi Initiatives'!$B:$B,'Gap Analysis update'!AJ$2,'MoDi Initiatives'!$C:$C,'Gap Analysis update'!$B$7)</f>
        <v>0</v>
      </c>
      <c r="AK57" s="298">
        <f>SUMIFS('MoDi Initiatives'!Q:Q,'MoDi Initiatives'!$E:$E,'Gap Analysis update'!$B57,'MoDi Initiatives'!$A:$A,'Gap Analysis update'!$A57,'MoDi Initiatives'!$B:$B,'Gap Analysis update'!AK$2)-SUMIFS('MoDi Initiatives'!Q:Q,'MoDi Initiatives'!$E:$E,'Gap Analysis update'!$B57,'MoDi Initiatives'!$A:$A,'Gap Analysis update'!$A57,'MoDi Initiatives'!$B:$B,'Gap Analysis update'!AK$2,'MoDi Initiatives'!$C:$C,'Gap Analysis update'!$B$7)</f>
        <v>0</v>
      </c>
      <c r="AL57" s="298">
        <f>SUMIFS('MoDi Initiatives'!R:R,'MoDi Initiatives'!$E:$E,'Gap Analysis update'!$B57,'MoDi Initiatives'!$A:$A,'Gap Analysis update'!$A57,'MoDi Initiatives'!$B:$B,'Gap Analysis update'!AL$2)-SUMIFS('MoDi Initiatives'!R:R,'MoDi Initiatives'!$E:$E,'Gap Analysis update'!$B57,'MoDi Initiatives'!$A:$A,'Gap Analysis update'!$A57,'MoDi Initiatives'!$B:$B,'Gap Analysis update'!AL$2,'MoDi Initiatives'!$C:$C,'Gap Analysis update'!$B$7)</f>
        <v>-7.664517588016187E-3</v>
      </c>
      <c r="AM57" s="299">
        <f>SUMIFS('MoDi Initiatives'!S:S,'MoDi Initiatives'!$E:$E,'Gap Analysis update'!$B57,'MoDi Initiatives'!$A:$A,'Gap Analysis update'!$A57,'MoDi Initiatives'!$B:$B,'Gap Analysis update'!AM$2)-SUMIFS('MoDi Initiatives'!S:S,'MoDi Initiatives'!$E:$E,'Gap Analysis update'!$B57,'MoDi Initiatives'!$A:$A,'Gap Analysis update'!$A57,'MoDi Initiatives'!$B:$B,'Gap Analysis update'!AM$2,'MoDi Initiatives'!$C:$C,'Gap Analysis update'!$B$7)</f>
        <v>0</v>
      </c>
      <c r="AN57" s="298">
        <f>SUMIFS('MoDi Initiatives'!T:T,'MoDi Initiatives'!$E:$E,'Gap Analysis update'!$B57,'MoDi Initiatives'!$A:$A,'Gap Analysis update'!$A57,'MoDi Initiatives'!$B:$B,'Gap Analysis update'!AN$2)-SUMIFS('MoDi Initiatives'!T:T,'MoDi Initiatives'!$E:$E,'Gap Analysis update'!$B57,'MoDi Initiatives'!$A:$A,'Gap Analysis update'!$A57,'MoDi Initiatives'!$B:$B,'Gap Analysis update'!AN$2,'MoDi Initiatives'!$C:$C,'Gap Analysis update'!$B$7)</f>
        <v>0</v>
      </c>
      <c r="AO57" s="298">
        <f>SUMIFS('MoDi Initiatives'!U:U,'MoDi Initiatives'!$E:$E,'Gap Analysis update'!$B57,'MoDi Initiatives'!$A:$A,'Gap Analysis update'!$A57,'MoDi Initiatives'!$B:$B,'Gap Analysis update'!AO$2)-SUMIFS('MoDi Initiatives'!U:U,'MoDi Initiatives'!$E:$E,'Gap Analysis update'!$B57,'MoDi Initiatives'!$A:$A,'Gap Analysis update'!$A57,'MoDi Initiatives'!$B:$B,'Gap Analysis update'!AO$2,'MoDi Initiatives'!$C:$C,'Gap Analysis update'!$B$7)</f>
        <v>0</v>
      </c>
      <c r="AP57" s="298">
        <f>SUMIFS('MoDi Initiatives'!V:V,'MoDi Initiatives'!$E:$E,'Gap Analysis update'!$B57,'MoDi Initiatives'!$A:$A,'Gap Analysis update'!$A57,'MoDi Initiatives'!$B:$B,'Gap Analysis update'!AP$2)-SUMIFS('MoDi Initiatives'!V:V,'MoDi Initiatives'!$E:$E,'Gap Analysis update'!$B57,'MoDi Initiatives'!$A:$A,'Gap Analysis update'!$A57,'MoDi Initiatives'!$B:$B,'Gap Analysis update'!AP$2,'MoDi Initiatives'!$C:$C,'Gap Analysis update'!$B$7)</f>
        <v>0</v>
      </c>
      <c r="AQ57" s="298">
        <f>SUMIFS('MoDi Initiatives'!W:W,'MoDi Initiatives'!$E:$E,'Gap Analysis update'!$B57,'MoDi Initiatives'!$A:$A,'Gap Analysis update'!$A57,'MoDi Initiatives'!$B:$B,'Gap Analysis update'!AQ$2)-SUMIFS('MoDi Initiatives'!W:W,'MoDi Initiatives'!$E:$E,'Gap Analysis update'!$B57,'MoDi Initiatives'!$A:$A,'Gap Analysis update'!$A57,'MoDi Initiatives'!$B:$B,'Gap Analysis update'!AQ$2,'MoDi Initiatives'!$C:$C,'Gap Analysis update'!$B$7)</f>
        <v>0</v>
      </c>
      <c r="AR57" s="293"/>
      <c r="AS57" s="303"/>
      <c r="AT57" s="303">
        <f t="shared" si="50"/>
        <v>0</v>
      </c>
      <c r="AU57" s="303">
        <f t="shared" si="50"/>
        <v>0</v>
      </c>
      <c r="AV57" s="303">
        <f t="shared" si="50"/>
        <v>-7.6105652040602033E-3</v>
      </c>
      <c r="AW57" s="303">
        <f t="shared" si="50"/>
        <v>7.664517588016187E-3</v>
      </c>
      <c r="AX57" s="303">
        <f t="shared" si="50"/>
        <v>0</v>
      </c>
      <c r="AY57" s="303">
        <f t="shared" si="50"/>
        <v>0</v>
      </c>
      <c r="AZ57" s="303">
        <f t="shared" si="50"/>
        <v>0</v>
      </c>
      <c r="BA57" s="303">
        <f t="shared" si="50"/>
        <v>0</v>
      </c>
      <c r="BB57" s="303">
        <f t="shared" si="50"/>
        <v>0</v>
      </c>
      <c r="BC57" s="303">
        <f t="shared" si="50"/>
        <v>0</v>
      </c>
      <c r="BD57" s="303">
        <f t="shared" si="50"/>
        <v>0</v>
      </c>
      <c r="BE57" s="303">
        <f t="shared" si="50"/>
        <v>0</v>
      </c>
      <c r="BF57" s="303">
        <f t="shared" si="50"/>
        <v>0</v>
      </c>
      <c r="BG57" s="303">
        <f t="shared" si="50"/>
        <v>0</v>
      </c>
      <c r="BH57" s="303">
        <f t="shared" si="50"/>
        <v>0</v>
      </c>
      <c r="BI57" s="303">
        <f t="shared" si="50"/>
        <v>0</v>
      </c>
      <c r="BJ57" s="293"/>
      <c r="BK57" s="302"/>
      <c r="BL57" s="302"/>
      <c r="BM57" s="302"/>
      <c r="BN57" s="302"/>
      <c r="BO57" s="302"/>
      <c r="BP57" s="302"/>
      <c r="BQ57" s="302"/>
      <c r="BR57" s="302"/>
      <c r="BS57" s="302"/>
      <c r="BT57" s="302"/>
      <c r="BU57" s="302"/>
      <c r="BV57" s="302"/>
      <c r="BW57" s="302"/>
      <c r="BX57" s="302"/>
      <c r="BY57" s="302"/>
      <c r="BZ57" s="302"/>
      <c r="CA57" s="302"/>
    </row>
    <row r="58" spans="1:80" s="298" customFormat="1" ht="65">
      <c r="A58" s="296" t="s">
        <v>121</v>
      </c>
      <c r="B58" s="287" t="s">
        <v>58</v>
      </c>
      <c r="C58" s="288">
        <f t="shared" si="52"/>
        <v>4.6134869980955177E-4</v>
      </c>
      <c r="D58" s="289">
        <f t="shared" si="51"/>
        <v>1.6402309852284365E-4</v>
      </c>
      <c r="E58" s="289">
        <f t="shared" si="8"/>
        <v>6.2537179833239542E-4</v>
      </c>
      <c r="F58" s="306"/>
      <c r="G58" s="286"/>
      <c r="H58" s="297"/>
      <c r="J58" s="288">
        <f>SUMIFS('MoDi Initiatives'!H:H,'MoDi Initiatives'!$E:$E,'Gap Analysis update'!$B58,'MoDi Initiatives'!$A:$A,'Gap Analysis update'!$A58,'MoDi Initiatives'!$B:$B,'Gap Analysis update'!J$2)-SUMIFS('MoDi Initiatives'!H:H,'MoDi Initiatives'!$E:$E,'Gap Analysis update'!$B58,'MoDi Initiatives'!$A:$A,'Gap Analysis update'!$A58,'MoDi Initiatives'!$C:$C,'Gap Analysis update'!$B$7,'MoDi Initiatives'!$B:$B,'Gap Analysis update'!J$2)</f>
        <v>-9.02395588481519E-3</v>
      </c>
      <c r="K58" s="288">
        <f>SUMIFS('MoDi Initiatives'!I:I,'MoDi Initiatives'!$E:$E,'Gap Analysis update'!$B58,'MoDi Initiatives'!$A:$A,'Gap Analysis update'!$A58,'MoDi Initiatives'!$B:$B,'Gap Analysis update'!K$2)-SUMIFS('MoDi Initiatives'!I:I,'MoDi Initiatives'!$E:$E,'Gap Analysis update'!$B58,'MoDi Initiatives'!$A:$A,'Gap Analysis update'!$A58,'MoDi Initiatives'!$C:$C,'Gap Analysis update'!$B$7,'MoDi Initiatives'!$B:$B,'Gap Analysis update'!K$2)</f>
        <v>0</v>
      </c>
      <c r="L58" s="288">
        <f>SUMIFS('MoDi Initiatives'!J:J,'MoDi Initiatives'!$E:$E,'Gap Analysis update'!$B58,'MoDi Initiatives'!$A:$A,'Gap Analysis update'!$A58,'MoDi Initiatives'!$B:$B,'Gap Analysis update'!L$2)-SUMIFS('MoDi Initiatives'!J:J,'MoDi Initiatives'!$E:$E,'Gap Analysis update'!$B58,'MoDi Initiatives'!$A:$A,'Gap Analysis update'!$A58,'MoDi Initiatives'!$C:$C,'Gap Analysis update'!$B$7,'MoDi Initiatives'!$B:$B,'Gap Analysis update'!L$2)</f>
        <v>0</v>
      </c>
      <c r="M58" s="288">
        <f>SUMIFS('MoDi Initiatives'!K:K,'MoDi Initiatives'!$E:$E,'Gap Analysis update'!$B58,'MoDi Initiatives'!$A:$A,'Gap Analysis update'!$A58,'MoDi Initiatives'!$B:$B,'Gap Analysis update'!M$2)-SUMIFS('MoDi Initiatives'!K:K,'MoDi Initiatives'!$E:$E,'Gap Analysis update'!$B58,'MoDi Initiatives'!$A:$A,'Gap Analysis update'!$A58,'MoDi Initiatives'!$C:$C,'Gap Analysis update'!$B$7,'MoDi Initiatives'!$B:$B,'Gap Analysis update'!M$2)</f>
        <v>0</v>
      </c>
      <c r="N58" s="288">
        <f>SUMIFS('MoDi Initiatives'!L:L,'MoDi Initiatives'!$E:$E,'Gap Analysis update'!$B58,'MoDi Initiatives'!$A:$A,'Gap Analysis update'!$A58,'MoDi Initiatives'!$B:$B,'Gap Analysis update'!N$2)-SUMIFS('MoDi Initiatives'!L:L,'MoDi Initiatives'!$E:$E,'Gap Analysis update'!$B58,'MoDi Initiatives'!$A:$A,'Gap Analysis update'!$A58,'MoDi Initiatives'!$C:$C,'Gap Analysis update'!$B$7,'MoDi Initiatives'!$B:$B,'Gap Analysis update'!N$2)</f>
        <v>0</v>
      </c>
      <c r="O58" s="288">
        <f>SUMIFS('MoDi Initiatives'!M:M,'MoDi Initiatives'!$E:$E,'Gap Analysis update'!$B58,'MoDi Initiatives'!$A:$A,'Gap Analysis update'!$A58,'MoDi Initiatives'!$B:$B,'Gap Analysis update'!O$2)-SUMIFS('MoDi Initiatives'!M:M,'MoDi Initiatives'!$E:$E,'Gap Analysis update'!$B58,'MoDi Initiatives'!$A:$A,'Gap Analysis update'!$A58,'MoDi Initiatives'!$C:$C,'Gap Analysis update'!$B$7,'MoDi Initiatives'!$B:$B,'Gap Analysis update'!O$2)</f>
        <v>0</v>
      </c>
      <c r="P58" s="288">
        <f>SUMIFS('MoDi Initiatives'!N:N,'MoDi Initiatives'!$E:$E,'Gap Analysis update'!$B58,'MoDi Initiatives'!$A:$A,'Gap Analysis update'!$A58,'MoDi Initiatives'!$B:$B,'Gap Analysis update'!P$2)-SUMIFS('MoDi Initiatives'!N:N,'MoDi Initiatives'!$E:$E,'Gap Analysis update'!$B58,'MoDi Initiatives'!$A:$A,'Gap Analysis update'!$A58,'MoDi Initiatives'!$C:$C,'Gap Analysis update'!$B$7,'MoDi Initiatives'!$B:$B,'Gap Analysis update'!P$2)</f>
        <v>0</v>
      </c>
      <c r="Q58" s="288">
        <f>SUMIFS('MoDi Initiatives'!O:O,'MoDi Initiatives'!$E:$E,'Gap Analysis update'!$B58,'MoDi Initiatives'!$A:$A,'Gap Analysis update'!$A58,'MoDi Initiatives'!$B:$B,'Gap Analysis update'!Q$2)-SUMIFS('MoDi Initiatives'!O:O,'MoDi Initiatives'!$E:$E,'Gap Analysis update'!$B58,'MoDi Initiatives'!$A:$A,'Gap Analysis update'!$A58,'MoDi Initiatives'!$C:$C,'Gap Analysis update'!$B$7,'MoDi Initiatives'!$B:$B,'Gap Analysis update'!Q$2)</f>
        <v>0</v>
      </c>
      <c r="R58" s="288">
        <f>SUMIFS('MoDi Initiatives'!P:P,'MoDi Initiatives'!$E:$E,'Gap Analysis update'!$B58,'MoDi Initiatives'!$A:$A,'Gap Analysis update'!$A58,'MoDi Initiatives'!$B:$B,'Gap Analysis update'!R$2)-SUMIFS('MoDi Initiatives'!P:P,'MoDi Initiatives'!$E:$E,'Gap Analysis update'!$B58,'MoDi Initiatives'!$A:$A,'Gap Analysis update'!$A58,'MoDi Initiatives'!$C:$C,'Gap Analysis update'!$B$7,'MoDi Initiatives'!$B:$B,'Gap Analysis update'!R$2)</f>
        <v>0</v>
      </c>
      <c r="S58" s="288">
        <f>SUMIFS('MoDi Initiatives'!Q:Q,'MoDi Initiatives'!$E:$E,'Gap Analysis update'!$B58,'MoDi Initiatives'!$A:$A,'Gap Analysis update'!$A58,'MoDi Initiatives'!$B:$B,'Gap Analysis update'!S$2)-SUMIFS('MoDi Initiatives'!Q:Q,'MoDi Initiatives'!$E:$E,'Gap Analysis update'!$B58,'MoDi Initiatives'!$A:$A,'Gap Analysis update'!$A58,'MoDi Initiatives'!$C:$C,'Gap Analysis update'!$B$7,'MoDi Initiatives'!$B:$B,'Gap Analysis update'!S$2)</f>
        <v>0</v>
      </c>
      <c r="T58" s="288">
        <f>SUMIFS('MoDi Initiatives'!R:R,'MoDi Initiatives'!$E:$E,'Gap Analysis update'!$B58,'MoDi Initiatives'!$A:$A,'Gap Analysis update'!$A58,'MoDi Initiatives'!$B:$B,'Gap Analysis update'!T$2)-SUMIFS('MoDi Initiatives'!R:R,'MoDi Initiatives'!$E:$E,'Gap Analysis update'!$B58,'MoDi Initiatives'!$A:$A,'Gap Analysis update'!$A58,'MoDi Initiatives'!$C:$C,'Gap Analysis update'!$B$7,'MoDi Initiatives'!$B:$B,'Gap Analysis update'!T$2)</f>
        <v>0</v>
      </c>
      <c r="U58" s="288">
        <f>SUMIFS('MoDi Initiatives'!S:S,'MoDi Initiatives'!$E:$E,'Gap Analysis update'!$B58,'MoDi Initiatives'!$A:$A,'Gap Analysis update'!$A58,'MoDi Initiatives'!$B:$B,'Gap Analysis update'!U$2)-SUMIFS('MoDi Initiatives'!S:S,'MoDi Initiatives'!$E:$E,'Gap Analysis update'!$B58,'MoDi Initiatives'!$A:$A,'Gap Analysis update'!$A58,'MoDi Initiatives'!$C:$C,'Gap Analysis update'!$B$7,'MoDi Initiatives'!$B:$B,'Gap Analysis update'!U$2)</f>
        <v>0</v>
      </c>
      <c r="V58" s="288">
        <f>SUMIFS('MoDi Initiatives'!T:T,'MoDi Initiatives'!$E:$E,'Gap Analysis update'!$B58,'MoDi Initiatives'!$A:$A,'Gap Analysis update'!$A58,'MoDi Initiatives'!$B:$B,'Gap Analysis update'!V$2)-SUMIFS('MoDi Initiatives'!T:T,'MoDi Initiatives'!$E:$E,'Gap Analysis update'!$B58,'MoDi Initiatives'!$A:$A,'Gap Analysis update'!$A58,'MoDi Initiatives'!$C:$C,'Gap Analysis update'!$B$7,'MoDi Initiatives'!$B:$B,'Gap Analysis update'!V$2)</f>
        <v>0</v>
      </c>
      <c r="W58" s="288">
        <f>SUMIFS('MoDi Initiatives'!U:U,'MoDi Initiatives'!$E:$E,'Gap Analysis update'!$B58,'MoDi Initiatives'!$A:$A,'Gap Analysis update'!$A58,'MoDi Initiatives'!$B:$B,'Gap Analysis update'!W$2)-SUMIFS('MoDi Initiatives'!U:U,'MoDi Initiatives'!$E:$E,'Gap Analysis update'!$B58,'MoDi Initiatives'!$A:$A,'Gap Analysis update'!$A58,'MoDi Initiatives'!$C:$C,'Gap Analysis update'!$B$7,'MoDi Initiatives'!$B:$B,'Gap Analysis update'!W$2)</f>
        <v>0</v>
      </c>
      <c r="X58" s="288">
        <f>SUMIFS('MoDi Initiatives'!V:V,'MoDi Initiatives'!$E:$E,'Gap Analysis update'!$B58,'MoDi Initiatives'!$A:$A,'Gap Analysis update'!$A58,'MoDi Initiatives'!$B:$B,'Gap Analysis update'!X$2)-SUMIFS('MoDi Initiatives'!V:V,'MoDi Initiatives'!$E:$E,'Gap Analysis update'!$B58,'MoDi Initiatives'!$A:$A,'Gap Analysis update'!$A58,'MoDi Initiatives'!$C:$C,'Gap Analysis update'!$B$7,'MoDi Initiatives'!$B:$B,'Gap Analysis update'!X$2)</f>
        <v>0</v>
      </c>
      <c r="Y58" s="288">
        <f>SUMIFS('MoDi Initiatives'!W:W,'MoDi Initiatives'!$E:$E,'Gap Analysis update'!$B58,'MoDi Initiatives'!$A:$A,'Gap Analysis update'!$A58,'MoDi Initiatives'!$B:$B,'Gap Analysis update'!Y$2)-SUMIFS('MoDi Initiatives'!W:W,'MoDi Initiatives'!$E:$E,'Gap Analysis update'!$B58,'MoDi Initiatives'!$A:$A,'Gap Analysis update'!$A58,'MoDi Initiatives'!$C:$C,'Gap Analysis update'!$B$7,'MoDi Initiatives'!$B:$B,'Gap Analysis update'!Y$2)</f>
        <v>0</v>
      </c>
      <c r="Z58" s="293"/>
      <c r="AB58" s="298">
        <f>SUMIFS('MoDi Initiatives'!H:H,'MoDi Initiatives'!$E:$E,'Gap Analysis update'!$B58,'MoDi Initiatives'!$A:$A,'Gap Analysis update'!$A58,'MoDi Initiatives'!$B:$B,'Gap Analysis update'!AB$2)-SUMIFS('MoDi Initiatives'!H:H,'MoDi Initiatives'!$E:$E,'Gap Analysis update'!$B58,'MoDi Initiatives'!$A:$A,'Gap Analysis update'!$A58,'MoDi Initiatives'!$B:$B,'Gap Analysis update'!AB$2,'MoDi Initiatives'!$C:$C,'Gap Analysis update'!$B$7)</f>
        <v>3.036597512516791E-3</v>
      </c>
      <c r="AC58" s="298">
        <f>SUMIFS('MoDi Initiatives'!I:I,'MoDi Initiatives'!$E:$E,'Gap Analysis update'!$B58,'MoDi Initiatives'!$A:$A,'Gap Analysis update'!$A58,'MoDi Initiatives'!$B:$B,'Gap Analysis update'!AC$2)-SUMIFS('MoDi Initiatives'!I:I,'MoDi Initiatives'!$E:$E,'Gap Analysis update'!$B58,'MoDi Initiatives'!$A:$A,'Gap Analysis update'!$A58,'MoDi Initiatives'!$B:$B,'Gap Analysis update'!AC$2,'MoDi Initiatives'!$C:$C,'Gap Analysis update'!$B$7)</f>
        <v>-2.7786581899535008E-6</v>
      </c>
      <c r="AD58" s="298">
        <f>SUMIFS('MoDi Initiatives'!J:J,'MoDi Initiatives'!$E:$E,'Gap Analysis update'!$B58,'MoDi Initiatives'!$A:$A,'Gap Analysis update'!$A58,'MoDi Initiatives'!$B:$B,'Gap Analysis update'!AD$2)-SUMIFS('MoDi Initiatives'!J:J,'MoDi Initiatives'!$E:$E,'Gap Analysis update'!$B58,'MoDi Initiatives'!$A:$A,'Gap Analysis update'!$A58,'MoDi Initiatives'!$B:$B,'Gap Analysis update'!AD$2,'MoDi Initiatives'!$C:$C,'Gap Analysis update'!$B$7)</f>
        <v>-2.1784547568209041E-4</v>
      </c>
      <c r="AE58" s="298">
        <f>SUMIFS('MoDi Initiatives'!K:K,'MoDi Initiatives'!$E:$E,'Gap Analysis update'!$B58,'MoDi Initiatives'!$A:$A,'Gap Analysis update'!$A58,'MoDi Initiatives'!$B:$B,'Gap Analysis update'!AE$2)-SUMIFS('MoDi Initiatives'!K:K,'MoDi Initiatives'!$E:$E,'Gap Analysis update'!$B58,'MoDi Initiatives'!$A:$A,'Gap Analysis update'!$A58,'MoDi Initiatives'!$B:$B,'Gap Analysis update'!AE$2,'MoDi Initiatives'!$C:$C,'Gap Analysis update'!$B$7)</f>
        <v>0</v>
      </c>
      <c r="AF58" s="298">
        <f>SUMIFS('MoDi Initiatives'!L:L,'MoDi Initiatives'!$E:$E,'Gap Analysis update'!$B58,'MoDi Initiatives'!$A:$A,'Gap Analysis update'!$A58,'MoDi Initiatives'!$B:$B,'Gap Analysis update'!AF$2)-SUMIFS('MoDi Initiatives'!L:L,'MoDi Initiatives'!$E:$E,'Gap Analysis update'!$B58,'MoDi Initiatives'!$A:$A,'Gap Analysis update'!$A58,'MoDi Initiatives'!$B:$B,'Gap Analysis update'!AF$2,'MoDi Initiatives'!$C:$C,'Gap Analysis update'!$B$7)</f>
        <v>0</v>
      </c>
      <c r="AG58" s="298">
        <f>SUMIFS('MoDi Initiatives'!M:M,'MoDi Initiatives'!$E:$E,'Gap Analysis update'!$B58,'MoDi Initiatives'!$A:$A,'Gap Analysis update'!$A58,'MoDi Initiatives'!$B:$B,'Gap Analysis update'!AG$2)-SUMIFS('MoDi Initiatives'!M:M,'MoDi Initiatives'!$E:$E,'Gap Analysis update'!$B58,'MoDi Initiatives'!$A:$A,'Gap Analysis update'!$A58,'MoDi Initiatives'!$B:$B,'Gap Analysis update'!AG$2,'MoDi Initiatives'!$C:$C,'Gap Analysis update'!$B$7)</f>
        <v>-1.1101833536974377E-2</v>
      </c>
      <c r="AH58" s="298">
        <f>SUMIFS('MoDi Initiatives'!N:N,'MoDi Initiatives'!$E:$E,'Gap Analysis update'!$B58,'MoDi Initiatives'!$A:$A,'Gap Analysis update'!$A58,'MoDi Initiatives'!$B:$B,'Gap Analysis update'!AH$2)-SUMIFS('MoDi Initiatives'!N:N,'MoDi Initiatives'!$E:$E,'Gap Analysis update'!$B58,'MoDi Initiatives'!$A:$A,'Gap Analysis update'!$A58,'MoDi Initiatives'!$B:$B,'Gap Analysis update'!AH$2,'MoDi Initiatives'!$C:$C,'Gap Analysis update'!$B$7)</f>
        <v>-1.210514756885932E-4</v>
      </c>
      <c r="AI58" s="298">
        <f>SUMIFS('MoDi Initiatives'!O:O,'MoDi Initiatives'!$E:$E,'Gap Analysis update'!$B58,'MoDi Initiatives'!$A:$A,'Gap Analysis update'!$A58,'MoDi Initiatives'!$B:$B,'Gap Analysis update'!AI$2)-SUMIFS('MoDi Initiatives'!O:O,'MoDi Initiatives'!$E:$E,'Gap Analysis update'!$B58,'MoDi Initiatives'!$A:$A,'Gap Analysis update'!$A58,'MoDi Initiatives'!$B:$B,'Gap Analysis update'!AI$2,'MoDi Initiatives'!$C:$C,'Gap Analysis update'!$B$7)</f>
        <v>-1.5569555098741538E-4</v>
      </c>
      <c r="AJ58" s="292">
        <f>SUMIFS('MoDi Initiatives'!P:P,'MoDi Initiatives'!$E:$E,'Gap Analysis update'!$B58,'MoDi Initiatives'!$A:$A,'Gap Analysis update'!$A58,'MoDi Initiatives'!$B:$B,'Gap Analysis update'!AJ$2)-SUMIFS('MoDi Initiatives'!P:P,'MoDi Initiatives'!$E:$E,'Gap Analysis update'!$B58,'MoDi Initiatives'!$A:$A,'Gap Analysis update'!$A58,'MoDi Initiatives'!$B:$B,'Gap Analysis update'!AJ$2,'MoDi Initiatives'!$C:$C,'Gap Analysis update'!$B$7)</f>
        <v>1.6402309852284365E-4</v>
      </c>
      <c r="AK58" s="298">
        <f>SUMIFS('MoDi Initiatives'!Q:Q,'MoDi Initiatives'!$E:$E,'Gap Analysis update'!$B58,'MoDi Initiatives'!$A:$A,'Gap Analysis update'!$A58,'MoDi Initiatives'!$B:$B,'Gap Analysis update'!AK$2)-SUMIFS('MoDi Initiatives'!Q:Q,'MoDi Initiatives'!$E:$E,'Gap Analysis update'!$B58,'MoDi Initiatives'!$A:$A,'Gap Analysis update'!$A58,'MoDi Initiatives'!$B:$B,'Gap Analysis update'!AK$2,'MoDi Initiatives'!$C:$C,'Gap Analysis update'!$B$7)</f>
        <v>0</v>
      </c>
      <c r="AL58" s="298">
        <f>SUMIFS('MoDi Initiatives'!R:R,'MoDi Initiatives'!$E:$E,'Gap Analysis update'!$B58,'MoDi Initiatives'!$A:$A,'Gap Analysis update'!$A58,'MoDi Initiatives'!$B:$B,'Gap Analysis update'!AL$2)-SUMIFS('MoDi Initiatives'!R:R,'MoDi Initiatives'!$E:$E,'Gap Analysis update'!$B58,'MoDi Initiatives'!$A:$A,'Gap Analysis update'!$A58,'MoDi Initiatives'!$B:$B,'Gap Analysis update'!AL$2,'MoDi Initiatives'!$C:$C,'Gap Analysis update'!$B$7)</f>
        <v>0</v>
      </c>
      <c r="AM58" s="298">
        <f>SUMIFS('MoDi Initiatives'!S:S,'MoDi Initiatives'!$E:$E,'Gap Analysis update'!$B58,'MoDi Initiatives'!$A:$A,'Gap Analysis update'!$A58,'MoDi Initiatives'!$B:$B,'Gap Analysis update'!AM$2)-SUMIFS('MoDi Initiatives'!S:S,'MoDi Initiatives'!$E:$E,'Gap Analysis update'!$B58,'MoDi Initiatives'!$A:$A,'Gap Analysis update'!$A58,'MoDi Initiatives'!$B:$B,'Gap Analysis update'!AM$2,'MoDi Initiatives'!$C:$C,'Gap Analysis update'!$B$7)</f>
        <v>0</v>
      </c>
      <c r="AN58" s="298">
        <f>SUMIFS('MoDi Initiatives'!T:T,'MoDi Initiatives'!$E:$E,'Gap Analysis update'!$B58,'MoDi Initiatives'!$A:$A,'Gap Analysis update'!$A58,'MoDi Initiatives'!$B:$B,'Gap Analysis update'!AN$2)-SUMIFS('MoDi Initiatives'!T:T,'MoDi Initiatives'!$E:$E,'Gap Analysis update'!$B58,'MoDi Initiatives'!$A:$A,'Gap Analysis update'!$A58,'MoDi Initiatives'!$B:$B,'Gap Analysis update'!AN$2,'MoDi Initiatives'!$C:$C,'Gap Analysis update'!$B$7)</f>
        <v>0</v>
      </c>
      <c r="AO58" s="298">
        <f>SUMIFS('MoDi Initiatives'!U:U,'MoDi Initiatives'!$E:$E,'Gap Analysis update'!$B58,'MoDi Initiatives'!$A:$A,'Gap Analysis update'!$A58,'MoDi Initiatives'!$B:$B,'Gap Analysis update'!AO$2)-SUMIFS('MoDi Initiatives'!U:U,'MoDi Initiatives'!$E:$E,'Gap Analysis update'!$B58,'MoDi Initiatives'!$A:$A,'Gap Analysis update'!$A58,'MoDi Initiatives'!$B:$B,'Gap Analysis update'!AO$2,'MoDi Initiatives'!$C:$C,'Gap Analysis update'!$B$7)</f>
        <v>0</v>
      </c>
      <c r="AP58" s="298">
        <f>SUMIFS('MoDi Initiatives'!V:V,'MoDi Initiatives'!$E:$E,'Gap Analysis update'!$B58,'MoDi Initiatives'!$A:$A,'Gap Analysis update'!$A58,'MoDi Initiatives'!$B:$B,'Gap Analysis update'!AP$2)-SUMIFS('MoDi Initiatives'!V:V,'MoDi Initiatives'!$E:$E,'Gap Analysis update'!$B58,'MoDi Initiatives'!$A:$A,'Gap Analysis update'!$A58,'MoDi Initiatives'!$B:$B,'Gap Analysis update'!AP$2,'MoDi Initiatives'!$C:$C,'Gap Analysis update'!$B$7)</f>
        <v>0</v>
      </c>
      <c r="AQ58" s="298">
        <f>SUMIFS('MoDi Initiatives'!W:W,'MoDi Initiatives'!$E:$E,'Gap Analysis update'!$B58,'MoDi Initiatives'!$A:$A,'Gap Analysis update'!$A58,'MoDi Initiatives'!$B:$B,'Gap Analysis update'!AQ$2)-SUMIFS('MoDi Initiatives'!W:W,'MoDi Initiatives'!$E:$E,'Gap Analysis update'!$B58,'MoDi Initiatives'!$A:$A,'Gap Analysis update'!$A58,'MoDi Initiatives'!$B:$B,'Gap Analysis update'!AQ$2,'MoDi Initiatives'!$C:$C,'Gap Analysis update'!$B$7)</f>
        <v>0</v>
      </c>
      <c r="AR58" s="293"/>
      <c r="AS58" s="303"/>
      <c r="AT58" s="303">
        <f t="shared" si="50"/>
        <v>1.2060553397331981E-2</v>
      </c>
      <c r="AU58" s="303">
        <f t="shared" si="50"/>
        <v>-2.7786581899535008E-6</v>
      </c>
      <c r="AV58" s="303">
        <f t="shared" si="50"/>
        <v>-2.1784547568209041E-4</v>
      </c>
      <c r="AW58" s="303">
        <f t="shared" si="50"/>
        <v>0</v>
      </c>
      <c r="AX58" s="303">
        <f t="shared" si="50"/>
        <v>0</v>
      </c>
      <c r="AY58" s="303">
        <f t="shared" si="50"/>
        <v>-1.1101833536974377E-2</v>
      </c>
      <c r="AZ58" s="303">
        <f t="shared" si="50"/>
        <v>-1.210514756885932E-4</v>
      </c>
      <c r="BA58" s="303">
        <f t="shared" si="50"/>
        <v>-1.5569555098741538E-4</v>
      </c>
      <c r="BB58" s="303">
        <f t="shared" si="50"/>
        <v>1.6402309852284365E-4</v>
      </c>
      <c r="BC58" s="303">
        <f t="shared" si="50"/>
        <v>0</v>
      </c>
      <c r="BD58" s="303">
        <f t="shared" si="50"/>
        <v>0</v>
      </c>
      <c r="BE58" s="303">
        <f t="shared" si="50"/>
        <v>0</v>
      </c>
      <c r="BF58" s="303">
        <f t="shared" si="50"/>
        <v>0</v>
      </c>
      <c r="BG58" s="303">
        <f t="shared" si="50"/>
        <v>0</v>
      </c>
      <c r="BH58" s="303">
        <f t="shared" si="50"/>
        <v>0</v>
      </c>
      <c r="BI58" s="303">
        <f t="shared" si="50"/>
        <v>0</v>
      </c>
      <c r="BJ58" s="293"/>
      <c r="BK58" s="302"/>
      <c r="BL58" s="302" t="s">
        <v>130</v>
      </c>
      <c r="BM58" s="302" t="s">
        <v>62</v>
      </c>
      <c r="BN58" s="302" t="s">
        <v>62</v>
      </c>
      <c r="BO58" s="302"/>
      <c r="BP58" s="302" t="s">
        <v>22</v>
      </c>
      <c r="BQ58" s="302" t="s">
        <v>119</v>
      </c>
      <c r="BR58" s="302" t="s">
        <v>62</v>
      </c>
      <c r="BS58" s="302" t="s">
        <v>62</v>
      </c>
      <c r="BT58" s="302" t="s">
        <v>81</v>
      </c>
      <c r="BU58" s="302"/>
      <c r="BV58" s="302"/>
      <c r="BW58" s="302"/>
      <c r="BX58" s="302"/>
      <c r="BY58" s="302"/>
      <c r="BZ58" s="302"/>
      <c r="CA58" s="302"/>
    </row>
    <row r="59" spans="1:80" s="299" customFormat="1" ht="12" customHeight="1">
      <c r="A59" s="300" t="s">
        <v>131</v>
      </c>
      <c r="B59" s="275" t="s">
        <v>20</v>
      </c>
      <c r="C59" s="276">
        <f>AI59-Q59</f>
        <v>0.15061940212525604</v>
      </c>
      <c r="D59" s="277">
        <f>AQ59-Y59-C59</f>
        <v>6.1088195349216168E-2</v>
      </c>
      <c r="E59" s="277">
        <f t="shared" si="8"/>
        <v>0.21170759747447221</v>
      </c>
      <c r="F59" s="278"/>
      <c r="G59" s="278"/>
      <c r="H59" s="285"/>
      <c r="I59" s="276">
        <v>2.4414672389663949</v>
      </c>
      <c r="J59" s="280">
        <f>+I59+J60+J61</f>
        <v>2.4414672389663949</v>
      </c>
      <c r="K59" s="305">
        <v>2.433313061962044</v>
      </c>
      <c r="L59" s="280">
        <f>+K59+L60+L61</f>
        <v>2.4524743559320843</v>
      </c>
      <c r="M59" s="280">
        <f t="shared" ref="M59:Y59" si="53">+L59+M60+M61</f>
        <v>2.4448098383440682</v>
      </c>
      <c r="N59" s="280">
        <f t="shared" si="53"/>
        <v>2.4883887015970965</v>
      </c>
      <c r="O59" s="280">
        <f t="shared" si="53"/>
        <v>2.3698572849210597</v>
      </c>
      <c r="P59" s="280">
        <f t="shared" si="53"/>
        <v>2.2874804945355955</v>
      </c>
      <c r="Q59" s="280">
        <f t="shared" si="53"/>
        <v>2.2874804945355955</v>
      </c>
      <c r="R59" s="280">
        <f t="shared" si="53"/>
        <v>2.2874804945355955</v>
      </c>
      <c r="S59" s="280">
        <f t="shared" si="53"/>
        <v>2.2874804945355955</v>
      </c>
      <c r="T59" s="280">
        <f t="shared" si="53"/>
        <v>2.2798159769475794</v>
      </c>
      <c r="U59" s="280">
        <f t="shared" si="53"/>
        <v>2.2798159769475794</v>
      </c>
      <c r="V59" s="280">
        <f t="shared" si="53"/>
        <v>2.2731110690028018</v>
      </c>
      <c r="W59" s="280">
        <f t="shared" si="53"/>
        <v>2.2731110690028018</v>
      </c>
      <c r="X59" s="280">
        <f t="shared" si="53"/>
        <v>2.2731110690028018</v>
      </c>
      <c r="Y59" s="280">
        <f t="shared" si="53"/>
        <v>2.2731110690028018</v>
      </c>
      <c r="Z59" s="285"/>
      <c r="AA59" s="276">
        <v>2.4958158859874588</v>
      </c>
      <c r="AB59" s="280"/>
      <c r="AC59" s="305">
        <v>2.4958158859874588</v>
      </c>
      <c r="AD59" s="280">
        <f>+AC59+AD60+AD61</f>
        <v>2.4881161142228545</v>
      </c>
      <c r="AE59" s="280">
        <f t="shared" ref="AE59:AI59" si="54">+AD59+AE60+AE61</f>
        <v>2.4881161142228545</v>
      </c>
      <c r="AF59" s="280">
        <f t="shared" si="54"/>
        <v>2.4881161142228545</v>
      </c>
      <c r="AG59" s="280">
        <f t="shared" si="54"/>
        <v>2.4766809299431269</v>
      </c>
      <c r="AH59" s="280">
        <f t="shared" si="54"/>
        <v>2.4543483368169237</v>
      </c>
      <c r="AI59" s="280">
        <f t="shared" si="54"/>
        <v>2.4380998966608516</v>
      </c>
      <c r="AJ59" s="280">
        <f>+AI59+AJ60+AJ61</f>
        <v>2.4382929324570588</v>
      </c>
      <c r="AK59" s="280">
        <f t="shared" ref="AK59:AS59" si="55">+AJ59+AK60+AK61</f>
        <v>2.4784600137548436</v>
      </c>
      <c r="AL59" s="280">
        <f t="shared" si="55"/>
        <v>2.4707954961668275</v>
      </c>
      <c r="AM59" s="280">
        <f t="shared" si="55"/>
        <v>2.4480705087776649</v>
      </c>
      <c r="AN59" s="280">
        <f t="shared" si="55"/>
        <v>2.4456786168563887</v>
      </c>
      <c r="AO59" s="280">
        <f t="shared" si="55"/>
        <v>2.484818666477274</v>
      </c>
      <c r="AP59" s="280">
        <f t="shared" si="55"/>
        <v>2.484818666477274</v>
      </c>
      <c r="AQ59" s="282">
        <f t="shared" si="55"/>
        <v>2.484818666477274</v>
      </c>
      <c r="AR59" s="280" t="e">
        <f t="shared" si="55"/>
        <v>#VALUE!</v>
      </c>
      <c r="AS59" s="280" t="e">
        <f t="shared" si="55"/>
        <v>#VALUE!</v>
      </c>
      <c r="AT59" s="284">
        <f t="shared" si="50"/>
        <v>-2.4414672389663949</v>
      </c>
      <c r="AU59" s="284">
        <f t="shared" si="50"/>
        <v>6.2502824025414849E-2</v>
      </c>
      <c r="AV59" s="284">
        <f t="shared" si="50"/>
        <v>3.5641758290770209E-2</v>
      </c>
      <c r="AW59" s="284">
        <f t="shared" si="50"/>
        <v>4.3306275878786327E-2</v>
      </c>
      <c r="AX59" s="284">
        <f t="shared" si="50"/>
        <v>-2.7258737424196156E-4</v>
      </c>
      <c r="AY59" s="284">
        <f t="shared" si="50"/>
        <v>0.1068236450220672</v>
      </c>
      <c r="AZ59" s="284">
        <f>AH59-P59</f>
        <v>0.16686784228132812</v>
      </c>
      <c r="BA59" s="307">
        <f t="shared" si="50"/>
        <v>0.15061940212525604</v>
      </c>
      <c r="BB59" s="284">
        <f>AJ59-R59</f>
        <v>0.15081243792146326</v>
      </c>
      <c r="BC59" s="284">
        <f t="shared" si="50"/>
        <v>0.19097951921924805</v>
      </c>
      <c r="BD59" s="284">
        <f t="shared" si="50"/>
        <v>0.19097951921924805</v>
      </c>
      <c r="BE59" s="284">
        <f t="shared" si="50"/>
        <v>0.16825453183008543</v>
      </c>
      <c r="BF59" s="284">
        <f t="shared" si="50"/>
        <v>0.17256754785358686</v>
      </c>
      <c r="BG59" s="284">
        <f t="shared" si="50"/>
        <v>0.21170759747447221</v>
      </c>
      <c r="BH59" s="284">
        <f t="shared" si="50"/>
        <v>0.21170759747447221</v>
      </c>
      <c r="BI59" s="284">
        <f t="shared" si="50"/>
        <v>0.21170759747447221</v>
      </c>
      <c r="BJ59" s="285"/>
      <c r="BK59" s="288"/>
      <c r="BL59" s="288"/>
      <c r="BM59" s="288"/>
      <c r="BN59" s="288"/>
      <c r="BO59" s="288"/>
      <c r="BP59" s="288"/>
      <c r="BQ59" s="288"/>
      <c r="BR59" s="288"/>
      <c r="BS59" s="288"/>
      <c r="BT59" s="288"/>
      <c r="BU59" s="288"/>
      <c r="BV59" s="288"/>
      <c r="BW59" s="288"/>
      <c r="BX59" s="288"/>
      <c r="BY59" s="288"/>
      <c r="BZ59" s="288"/>
      <c r="CA59" s="288"/>
      <c r="CB59" s="288"/>
    </row>
    <row r="60" spans="1:80" s="299" customFormat="1" ht="12" customHeight="1">
      <c r="A60" s="300" t="s">
        <v>131</v>
      </c>
      <c r="B60" s="275" t="s">
        <v>21</v>
      </c>
      <c r="C60" s="276">
        <f>SUM(AT60:BA60)</f>
        <v>0.1316954413528697</v>
      </c>
      <c r="D60" s="277">
        <f>SUM(BB60:BI60)</f>
        <v>1.3607029095706564E-2</v>
      </c>
      <c r="E60" s="277">
        <f t="shared" si="8"/>
        <v>0.14530247044857628</v>
      </c>
      <c r="F60" s="278"/>
      <c r="G60" s="278"/>
      <c r="H60" s="285"/>
      <c r="I60" s="280"/>
      <c r="J60" s="280"/>
      <c r="K60" s="280"/>
      <c r="L60" s="280">
        <f t="shared" ref="L60:Y60" si="56">SUBTOTAL(9,L62:L67)</f>
        <v>1.9161293970040467E-2</v>
      </c>
      <c r="M60" s="280">
        <f t="shared" si="56"/>
        <v>-7.664517588016187E-3</v>
      </c>
      <c r="N60" s="280">
        <f t="shared" si="56"/>
        <v>0</v>
      </c>
      <c r="O60" s="280">
        <f t="shared" si="56"/>
        <v>-0.11853141667603692</v>
      </c>
      <c r="P60" s="280">
        <f t="shared" si="56"/>
        <v>-8.2376790385464249E-2</v>
      </c>
      <c r="Q60" s="280">
        <f t="shared" si="56"/>
        <v>0</v>
      </c>
      <c r="R60" s="280">
        <f t="shared" si="56"/>
        <v>0</v>
      </c>
      <c r="S60" s="280">
        <f t="shared" si="56"/>
        <v>0</v>
      </c>
      <c r="T60" s="280">
        <f t="shared" si="56"/>
        <v>-7.664517588016187E-3</v>
      </c>
      <c r="U60" s="280">
        <f t="shared" si="56"/>
        <v>0</v>
      </c>
      <c r="V60" s="280">
        <f t="shared" si="56"/>
        <v>-6.7049079447777391E-3</v>
      </c>
      <c r="W60" s="280">
        <f t="shared" si="56"/>
        <v>0</v>
      </c>
      <c r="X60" s="280">
        <f t="shared" si="56"/>
        <v>0</v>
      </c>
      <c r="Y60" s="280">
        <f t="shared" si="56"/>
        <v>0</v>
      </c>
      <c r="Z60" s="285"/>
      <c r="AA60" s="285"/>
      <c r="AB60" s="280">
        <f>SUBTOTAL(9,AB62:AB67)</f>
        <v>0</v>
      </c>
      <c r="AC60" s="280">
        <f t="shared" ref="AC60" si="57">SUBTOTAL(9,AC62:AC67)</f>
        <v>0</v>
      </c>
      <c r="AD60" s="280">
        <f>SUBTOTAL(9,AD62:AD67)</f>
        <v>-7.6997717646042222E-3</v>
      </c>
      <c r="AE60" s="280">
        <f t="shared" ref="AE60:AM60" si="58">SUBTOTAL(9,AE62:AE67)</f>
        <v>0</v>
      </c>
      <c r="AF60" s="280">
        <f t="shared" si="58"/>
        <v>0</v>
      </c>
      <c r="AG60" s="280">
        <f t="shared" si="58"/>
        <v>-1.1435184279727565E-2</v>
      </c>
      <c r="AH60" s="280">
        <f t="shared" si="58"/>
        <v>-2.2332593126203178E-2</v>
      </c>
      <c r="AI60" s="280">
        <f t="shared" si="58"/>
        <v>-1.6248440156072255E-2</v>
      </c>
      <c r="AJ60" s="280">
        <f t="shared" si="58"/>
        <v>1.9303579620727658E-4</v>
      </c>
      <c r="AK60" s="280">
        <f t="shared" si="58"/>
        <v>1.2454841080526307E-3</v>
      </c>
      <c r="AL60" s="280">
        <f t="shared" si="58"/>
        <v>-7.664517588016187E-3</v>
      </c>
      <c r="AM60" s="280">
        <f t="shared" si="58"/>
        <v>-3.1284556452939899E-2</v>
      </c>
      <c r="AN60" s="280">
        <f>SUBTOTAL(9,AN62:AN67)</f>
        <v>-2.3918919212763136E-3</v>
      </c>
      <c r="AO60" s="280">
        <f t="shared" ref="AO60:AQ60" si="59">SUBTOTAL(9,AO62:AO67)</f>
        <v>3.9140049620885131E-2</v>
      </c>
      <c r="AP60" s="280">
        <f t="shared" si="59"/>
        <v>0</v>
      </c>
      <c r="AQ60" s="280">
        <f t="shared" si="59"/>
        <v>0</v>
      </c>
      <c r="AR60" s="285"/>
      <c r="AS60" s="284">
        <f>I60-AA60</f>
        <v>0</v>
      </c>
      <c r="AT60" s="284">
        <f>AB60-J60</f>
        <v>0</v>
      </c>
      <c r="AU60" s="284">
        <f t="shared" si="50"/>
        <v>0</v>
      </c>
      <c r="AV60" s="284">
        <f t="shared" si="50"/>
        <v>-2.6861065734644689E-2</v>
      </c>
      <c r="AW60" s="284">
        <f t="shared" si="50"/>
        <v>7.664517588016187E-3</v>
      </c>
      <c r="AX60" s="284">
        <f t="shared" si="50"/>
        <v>0</v>
      </c>
      <c r="AY60" s="284">
        <f t="shared" si="50"/>
        <v>0.10709623239630936</v>
      </c>
      <c r="AZ60" s="284">
        <f t="shared" si="50"/>
        <v>6.0044197259261071E-2</v>
      </c>
      <c r="BA60" s="284">
        <f t="shared" si="50"/>
        <v>-1.6248440156072255E-2</v>
      </c>
      <c r="BB60" s="284">
        <f t="shared" si="50"/>
        <v>1.9303579620727658E-4</v>
      </c>
      <c r="BC60" s="284">
        <f t="shared" si="50"/>
        <v>1.2454841080526307E-3</v>
      </c>
      <c r="BD60" s="284">
        <f t="shared" si="50"/>
        <v>0</v>
      </c>
      <c r="BE60" s="284">
        <f t="shared" si="50"/>
        <v>-3.1284556452939899E-2</v>
      </c>
      <c r="BF60" s="284">
        <f t="shared" si="50"/>
        <v>4.3130160235014259E-3</v>
      </c>
      <c r="BG60" s="284">
        <f t="shared" si="50"/>
        <v>3.9140049620885131E-2</v>
      </c>
      <c r="BH60" s="284">
        <f t="shared" si="50"/>
        <v>0</v>
      </c>
      <c r="BI60" s="284">
        <f t="shared" si="50"/>
        <v>0</v>
      </c>
      <c r="BJ60" s="285"/>
      <c r="BK60" s="301"/>
      <c r="BL60" s="301"/>
      <c r="BM60" s="301"/>
      <c r="BN60" s="301"/>
      <c r="BO60" s="301"/>
      <c r="BP60" s="301"/>
      <c r="BQ60" s="301"/>
      <c r="BR60" s="301"/>
      <c r="BS60" s="301"/>
      <c r="BT60" s="301"/>
      <c r="BU60" s="301"/>
      <c r="BV60" s="301"/>
      <c r="BW60" s="301"/>
      <c r="BX60" s="301"/>
      <c r="BY60" s="301"/>
      <c r="BZ60" s="301"/>
      <c r="CA60" s="301"/>
      <c r="CB60" s="288"/>
    </row>
    <row r="61" spans="1:80" s="299" customFormat="1" ht="52">
      <c r="A61" s="300" t="s">
        <v>131</v>
      </c>
      <c r="B61" s="275" t="s">
        <v>22</v>
      </c>
      <c r="C61" s="276">
        <f>SUM(AT61:BA61)</f>
        <v>-4.3578863253028288E-2</v>
      </c>
      <c r="D61" s="277">
        <f>SUM(BB61:BI61)</f>
        <v>4.7481166253509503E-2</v>
      </c>
      <c r="E61" s="277">
        <f>D61+C61</f>
        <v>3.9023030004812151E-3</v>
      </c>
      <c r="F61" s="278"/>
      <c r="G61" s="275" t="s">
        <v>23</v>
      </c>
      <c r="H61" s="285"/>
      <c r="I61" s="280"/>
      <c r="J61" s="280">
        <f>SUMIFS('MoDi Initiatives'!H:H,'MoDi Initiatives'!$C:$C,'Gap Analysis update'!$B61,'MoDi Initiatives'!$A:$A,'Gap Analysis update'!$A61,'MoDi Initiatives'!$B:$B,'Gap Analysis update'!J$2)</f>
        <v>0</v>
      </c>
      <c r="K61" s="280">
        <f>SUMIFS('MoDi Initiatives'!I:I,'MoDi Initiatives'!$C:$C,'Gap Analysis update'!$B61,'MoDi Initiatives'!$A:$A,'Gap Analysis update'!$A61,'MoDi Initiatives'!$B:$B,'Gap Analysis update'!K$2)</f>
        <v>0</v>
      </c>
      <c r="L61" s="280">
        <f>SUMIFS('MoDi Initiatives'!J:J,'MoDi Initiatives'!$C:$C,'Gap Analysis update'!$B61,'MoDi Initiatives'!$A:$A,'Gap Analysis update'!$A61,'MoDi Initiatives'!$B:$B,'Gap Analysis update'!L$2)</f>
        <v>0</v>
      </c>
      <c r="M61" s="280">
        <f>SUMIFS('MoDi Initiatives'!K:K,'MoDi Initiatives'!$C:$C,'Gap Analysis update'!$B61,'MoDi Initiatives'!$A:$A,'Gap Analysis update'!$A61,'MoDi Initiatives'!$B:$B,'Gap Analysis update'!M$2)</f>
        <v>0</v>
      </c>
      <c r="N61" s="280">
        <f>SUMIFS('MoDi Initiatives'!L:L,'MoDi Initiatives'!$C:$C,'Gap Analysis update'!$B61,'MoDi Initiatives'!$A:$A,'Gap Analysis update'!$A61,'MoDi Initiatives'!$B:$B,'Gap Analysis update'!N$2)</f>
        <v>4.3578863253028288E-2</v>
      </c>
      <c r="O61" s="280">
        <f>SUMIFS('MoDi Initiatives'!M:M,'MoDi Initiatives'!$C:$C,'Gap Analysis update'!$B61,'MoDi Initiatives'!$A:$A,'Gap Analysis update'!$A61,'MoDi Initiatives'!$B:$B,'Gap Analysis update'!O$2)</f>
        <v>0</v>
      </c>
      <c r="P61" s="280">
        <f>SUMIFS('MoDi Initiatives'!N:N,'MoDi Initiatives'!$C:$C,'Gap Analysis update'!$B61,'MoDi Initiatives'!$A:$A,'Gap Analysis update'!$A61,'MoDi Initiatives'!$B:$B,'Gap Analysis update'!P$2)</f>
        <v>0</v>
      </c>
      <c r="Q61" s="280">
        <f>SUMIFS('MoDi Initiatives'!O:O,'MoDi Initiatives'!$C:$C,'Gap Analysis update'!$B61,'MoDi Initiatives'!$A:$A,'Gap Analysis update'!$A61,'MoDi Initiatives'!$B:$B,'Gap Analysis update'!Q$2)</f>
        <v>0</v>
      </c>
      <c r="R61" s="280">
        <f>SUMIFS('MoDi Initiatives'!P:P,'MoDi Initiatives'!$C:$C,'Gap Analysis update'!$B61,'MoDi Initiatives'!$A:$A,'Gap Analysis update'!$A61,'MoDi Initiatives'!$B:$B,'Gap Analysis update'!R$2)</f>
        <v>0</v>
      </c>
      <c r="S61" s="280">
        <f>SUMIFS('MoDi Initiatives'!Q:Q,'MoDi Initiatives'!$C:$C,'Gap Analysis update'!$B61,'MoDi Initiatives'!$A:$A,'Gap Analysis update'!$A61,'MoDi Initiatives'!$B:$B,'Gap Analysis update'!S$2)</f>
        <v>0</v>
      </c>
      <c r="T61" s="280">
        <f>SUMIFS('MoDi Initiatives'!R:R,'MoDi Initiatives'!$C:$C,'Gap Analysis update'!$B61,'MoDi Initiatives'!$A:$A,'Gap Analysis update'!$A61,'MoDi Initiatives'!$B:$B,'Gap Analysis update'!T$2)</f>
        <v>0</v>
      </c>
      <c r="U61" s="280">
        <f>SUMIFS('MoDi Initiatives'!S:S,'MoDi Initiatives'!$C:$C,'Gap Analysis update'!$B61,'MoDi Initiatives'!$A:$A,'Gap Analysis update'!$A61,'MoDi Initiatives'!$B:$B,'Gap Analysis update'!U$2)</f>
        <v>0</v>
      </c>
      <c r="V61" s="280">
        <f>SUMIFS('MoDi Initiatives'!T:T,'MoDi Initiatives'!$C:$C,'Gap Analysis update'!$B61,'MoDi Initiatives'!$A:$A,'Gap Analysis update'!$A61,'MoDi Initiatives'!$B:$B,'Gap Analysis update'!V$2)</f>
        <v>0</v>
      </c>
      <c r="W61" s="280">
        <f>SUMIFS('MoDi Initiatives'!U:U,'MoDi Initiatives'!$C:$C,'Gap Analysis update'!$B61,'MoDi Initiatives'!$A:$A,'Gap Analysis update'!$A61,'MoDi Initiatives'!$B:$B,'Gap Analysis update'!W$2)</f>
        <v>0</v>
      </c>
      <c r="X61" s="280">
        <f>SUMIFS('MoDi Initiatives'!V:V,'MoDi Initiatives'!$C:$C,'Gap Analysis update'!$B61,'MoDi Initiatives'!$A:$A,'Gap Analysis update'!$A61,'MoDi Initiatives'!$B:$B,'Gap Analysis update'!X$2)</f>
        <v>0</v>
      </c>
      <c r="Y61" s="280">
        <f>SUMIFS('MoDi Initiatives'!W:W,'MoDi Initiatives'!$C:$C,'Gap Analysis update'!$B61,'MoDi Initiatives'!$A:$A,'Gap Analysis update'!$A61,'MoDi Initiatives'!$B:$B,'Gap Analysis update'!Y$2)</f>
        <v>0</v>
      </c>
      <c r="Z61" s="285"/>
      <c r="AA61" s="280"/>
      <c r="AB61" s="280">
        <f>SUMIFS('MoDi Initiatives'!H:H,'MoDi Initiatives'!$C:$C,'Gap Analysis update'!$B61,'MoDi Initiatives'!$A:$A,'Gap Analysis update'!$A61,'MoDi Initiatives'!$B:$B,'Gap Analysis update'!AB$2)</f>
        <v>0</v>
      </c>
      <c r="AC61" s="280">
        <f>SUMIFS('MoDi Initiatives'!I:I,'MoDi Initiatives'!$C:$C,'Gap Analysis update'!$B61,'MoDi Initiatives'!$A:$A,'Gap Analysis update'!$A61,'MoDi Initiatives'!$B:$B,'Gap Analysis update'!AC$2)</f>
        <v>0</v>
      </c>
      <c r="AD61" s="280">
        <f>SUMIFS('MoDi Initiatives'!J:J,'MoDi Initiatives'!$C:$C,'Gap Analysis update'!$B61,'MoDi Initiatives'!$A:$A,'Gap Analysis update'!$A61,'MoDi Initiatives'!$B:$B,'Gap Analysis update'!AD$2)</f>
        <v>0</v>
      </c>
      <c r="AE61" s="280">
        <f>SUMIFS('MoDi Initiatives'!K:K,'MoDi Initiatives'!$C:$C,'Gap Analysis update'!$B61,'MoDi Initiatives'!$A:$A,'Gap Analysis update'!$A61,'MoDi Initiatives'!$B:$B,'Gap Analysis update'!AE$2)</f>
        <v>0</v>
      </c>
      <c r="AF61" s="280">
        <f>SUMIFS('MoDi Initiatives'!L:L,'MoDi Initiatives'!$C:$C,'Gap Analysis update'!$B61,'MoDi Initiatives'!$A:$A,'Gap Analysis update'!$A61,'MoDi Initiatives'!$B:$B,'Gap Analysis update'!AF$2)</f>
        <v>0</v>
      </c>
      <c r="AG61" s="280">
        <f>SUMIFS('MoDi Initiatives'!M:M,'MoDi Initiatives'!$C:$C,'Gap Analysis update'!$B61,'MoDi Initiatives'!$A:$A,'Gap Analysis update'!$A61,'MoDi Initiatives'!$B:$B,'Gap Analysis update'!AG$2)</f>
        <v>0</v>
      </c>
      <c r="AH61" s="280">
        <f>SUMIFS('MoDi Initiatives'!N:N,'MoDi Initiatives'!$C:$C,'Gap Analysis update'!$B61,'MoDi Initiatives'!$A:$A,'Gap Analysis update'!$A61,'MoDi Initiatives'!$B:$B,'Gap Analysis update'!AH$2)</f>
        <v>0</v>
      </c>
      <c r="AI61" s="280">
        <f>SUMIFS('MoDi Initiatives'!O:O,'MoDi Initiatives'!$C:$C,'Gap Analysis update'!$B61,'MoDi Initiatives'!$A:$A,'Gap Analysis update'!$A61,'MoDi Initiatives'!$B:$B,'Gap Analysis update'!AI$2)</f>
        <v>0</v>
      </c>
      <c r="AJ61" s="280">
        <f>SUMIFS('MoDi Initiatives'!P:P,'MoDi Initiatives'!$C:$C,'Gap Analysis update'!$B61,'MoDi Initiatives'!$A:$A,'Gap Analysis update'!$A61,'MoDi Initiatives'!$B:$B,'Gap Analysis update'!AJ$2)</f>
        <v>0</v>
      </c>
      <c r="AK61" s="280">
        <f>SUMIFS('MoDi Initiatives'!Q:Q,'MoDi Initiatives'!$C:$C,'Gap Analysis update'!$B61,'MoDi Initiatives'!$A:$A,'Gap Analysis update'!$A61,'MoDi Initiatives'!$B:$B,'Gap Analysis update'!AK$2)</f>
        <v>3.8921597189732038E-2</v>
      </c>
      <c r="AL61" s="280">
        <f>SUMIFS('MoDi Initiatives'!R:R,'MoDi Initiatives'!$C:$C,'Gap Analysis update'!$B61,'MoDi Initiatives'!$A:$A,'Gap Analysis update'!$A61,'MoDi Initiatives'!$B:$B,'Gap Analysis update'!AL$2)</f>
        <v>0</v>
      </c>
      <c r="AM61" s="280">
        <f>SUMIFS('MoDi Initiatives'!S:S,'MoDi Initiatives'!$C:$C,'Gap Analysis update'!$B61,'MoDi Initiatives'!$A:$A,'Gap Analysis update'!$A61,'MoDi Initiatives'!$B:$B,'Gap Analysis update'!AM$2)</f>
        <v>8.5595690637774655E-3</v>
      </c>
      <c r="AN61" s="280">
        <f>SUMIFS('MoDi Initiatives'!T:T,'MoDi Initiatives'!$C:$C,'Gap Analysis update'!$B61,'MoDi Initiatives'!$A:$A,'Gap Analysis update'!$A61,'MoDi Initiatives'!$B:$B,'Gap Analysis update'!AN$2)</f>
        <v>0</v>
      </c>
      <c r="AO61" s="280">
        <f>SUMIFS('MoDi Initiatives'!U:U,'MoDi Initiatives'!$C:$C,'Gap Analysis update'!$B61,'MoDi Initiatives'!$A:$A,'Gap Analysis update'!$A61,'MoDi Initiatives'!$B:$B,'Gap Analysis update'!AO$2)</f>
        <v>0</v>
      </c>
      <c r="AP61" s="280">
        <f>SUMIFS('MoDi Initiatives'!V:V,'MoDi Initiatives'!$C:$C,'Gap Analysis update'!$B61,'MoDi Initiatives'!$A:$A,'Gap Analysis update'!$A61,'MoDi Initiatives'!$B:$B,'Gap Analysis update'!AP$2)</f>
        <v>0</v>
      </c>
      <c r="AQ61" s="280">
        <f>SUMIFS('MoDi Initiatives'!W:W,'MoDi Initiatives'!$C:$C,'Gap Analysis update'!$B61,'MoDi Initiatives'!$A:$A,'Gap Analysis update'!$A61,'MoDi Initiatives'!$B:$B,'Gap Analysis update'!AQ$2)</f>
        <v>0</v>
      </c>
      <c r="AR61" s="280" t="e">
        <f>SUMIFS('[1]MoDi Initiatives'!W:W,'[1]MoDi Initiatives'!$B:$B,'Gap Analysis update'!AR$2,'[1]MoDi Initiatives'!$A:$A,'Gap Analysis update'!$A61,'[1]MoDi Initiatives'!$C:$C,"Inflation")</f>
        <v>#VALUE!</v>
      </c>
      <c r="AS61" s="284">
        <f>I61-AA61</f>
        <v>0</v>
      </c>
      <c r="AT61" s="284">
        <f t="shared" ref="AT61:BI76" si="60">AB61-J61</f>
        <v>0</v>
      </c>
      <c r="AU61" s="284">
        <f t="shared" si="50"/>
        <v>0</v>
      </c>
      <c r="AV61" s="284">
        <f t="shared" si="50"/>
        <v>0</v>
      </c>
      <c r="AW61" s="284">
        <f t="shared" si="50"/>
        <v>0</v>
      </c>
      <c r="AX61" s="284">
        <f>AF61-N61</f>
        <v>-4.3578863253028288E-2</v>
      </c>
      <c r="AY61" s="284">
        <f t="shared" si="50"/>
        <v>0</v>
      </c>
      <c r="AZ61" s="284">
        <f>AH61-P61</f>
        <v>0</v>
      </c>
      <c r="BA61" s="284">
        <f t="shared" si="50"/>
        <v>0</v>
      </c>
      <c r="BB61" s="284">
        <f>AJ61-R61</f>
        <v>0</v>
      </c>
      <c r="BC61" s="284">
        <f t="shared" si="50"/>
        <v>3.8921597189732038E-2</v>
      </c>
      <c r="BD61" s="284">
        <f t="shared" si="50"/>
        <v>0</v>
      </c>
      <c r="BE61" s="284">
        <f t="shared" si="50"/>
        <v>8.5595690637774655E-3</v>
      </c>
      <c r="BF61" s="284">
        <f t="shared" si="50"/>
        <v>0</v>
      </c>
      <c r="BG61" s="284">
        <f t="shared" si="50"/>
        <v>0</v>
      </c>
      <c r="BH61" s="284">
        <f t="shared" si="50"/>
        <v>0</v>
      </c>
      <c r="BI61" s="284">
        <f t="shared" si="50"/>
        <v>0</v>
      </c>
      <c r="BJ61" s="285"/>
      <c r="BK61" s="301"/>
      <c r="BL61" s="301"/>
      <c r="BM61" s="301"/>
      <c r="BN61" s="301"/>
      <c r="BO61" s="301"/>
      <c r="BP61" s="301"/>
      <c r="BQ61" s="301"/>
      <c r="BR61" s="301"/>
      <c r="BS61" s="301"/>
      <c r="BT61" s="301"/>
      <c r="BU61" s="301"/>
      <c r="BV61" s="301"/>
      <c r="BW61" s="301"/>
      <c r="BX61" s="301"/>
      <c r="BY61" s="301"/>
      <c r="BZ61" s="301"/>
      <c r="CA61" s="301"/>
      <c r="CB61" s="288"/>
    </row>
    <row r="62" spans="1:80" s="298" customFormat="1" ht="65">
      <c r="A62" s="296" t="s">
        <v>131</v>
      </c>
      <c r="B62" s="287" t="s">
        <v>24</v>
      </c>
      <c r="C62" s="288">
        <f>SUM(AS62:BA62)</f>
        <v>0</v>
      </c>
      <c r="D62" s="289">
        <f t="shared" ref="D62:D67" si="61">SUM(BB62:BI62)</f>
        <v>0</v>
      </c>
      <c r="E62" s="289">
        <f t="shared" si="8"/>
        <v>0</v>
      </c>
      <c r="F62" s="306"/>
      <c r="G62" s="286"/>
      <c r="H62" s="297"/>
      <c r="J62" s="288"/>
      <c r="K62" s="288"/>
      <c r="L62" s="288">
        <f>SUMIFS('MoDi Initiatives'!J:J,'MoDi Initiatives'!$E:$E,'Gap Analysis update'!$B62,'MoDi Initiatives'!$A:$A,'Gap Analysis update'!$A62,'MoDi Initiatives'!$B:$B,'Gap Analysis update'!L$2)-SUMIFS('MoDi Initiatives'!J:J,'MoDi Initiatives'!$E:$E,'Gap Analysis update'!$B62,'MoDi Initiatives'!$A:$A,'Gap Analysis update'!$A62,'MoDi Initiatives'!$C:$C,'Gap Analysis update'!$B$7,'MoDi Initiatives'!$B:$B,'Gap Analysis update'!L$2)</f>
        <v>0</v>
      </c>
      <c r="M62" s="288">
        <f>SUMIFS('MoDi Initiatives'!K:K,'MoDi Initiatives'!$E:$E,'Gap Analysis update'!$B62,'MoDi Initiatives'!$A:$A,'Gap Analysis update'!$A62,'MoDi Initiatives'!$B:$B,'Gap Analysis update'!M$2)-SUMIFS('MoDi Initiatives'!K:K,'MoDi Initiatives'!$E:$E,'Gap Analysis update'!$B62,'MoDi Initiatives'!$A:$A,'Gap Analysis update'!$A62,'MoDi Initiatives'!$C:$C,'Gap Analysis update'!$B$7,'MoDi Initiatives'!$B:$B,'Gap Analysis update'!M$2)</f>
        <v>0</v>
      </c>
      <c r="N62" s="288">
        <f>SUMIFS('MoDi Initiatives'!L:L,'MoDi Initiatives'!$E:$E,'Gap Analysis update'!$B62,'MoDi Initiatives'!$A:$A,'Gap Analysis update'!$A62,'MoDi Initiatives'!$B:$B,'Gap Analysis update'!N$2)-SUMIFS('MoDi Initiatives'!L:L,'MoDi Initiatives'!$E:$E,'Gap Analysis update'!$B62,'MoDi Initiatives'!$A:$A,'Gap Analysis update'!$A62,'MoDi Initiatives'!$C:$C,'Gap Analysis update'!$B$7,'MoDi Initiatives'!$B:$B,'Gap Analysis update'!N$2)</f>
        <v>0</v>
      </c>
      <c r="O62" s="288">
        <f>SUMIFS('MoDi Initiatives'!M:M,'MoDi Initiatives'!$E:$E,'Gap Analysis update'!$B62,'MoDi Initiatives'!$A:$A,'Gap Analysis update'!$A62,'MoDi Initiatives'!$B:$B,'Gap Analysis update'!O$2)-SUMIFS('MoDi Initiatives'!M:M,'MoDi Initiatives'!$E:$E,'Gap Analysis update'!$B62,'MoDi Initiatives'!$A:$A,'Gap Analysis update'!$A62,'MoDi Initiatives'!$C:$C,'Gap Analysis update'!$B$7,'MoDi Initiatives'!$B:$B,'Gap Analysis update'!O$2)</f>
        <v>0</v>
      </c>
      <c r="P62" s="288">
        <f>SUMIFS('MoDi Initiatives'!N:N,'MoDi Initiatives'!$E:$E,'Gap Analysis update'!$B62,'MoDi Initiatives'!$A:$A,'Gap Analysis update'!$A62,'MoDi Initiatives'!$B:$B,'Gap Analysis update'!P$2)-SUMIFS('MoDi Initiatives'!N:N,'MoDi Initiatives'!$E:$E,'Gap Analysis update'!$B62,'MoDi Initiatives'!$A:$A,'Gap Analysis update'!$A62,'MoDi Initiatives'!$C:$C,'Gap Analysis update'!$B$7,'MoDi Initiatives'!$B:$B,'Gap Analysis update'!P$2)</f>
        <v>0</v>
      </c>
      <c r="Q62" s="288">
        <f>SUMIFS('MoDi Initiatives'!O:O,'MoDi Initiatives'!$E:$E,'Gap Analysis update'!$B62,'MoDi Initiatives'!$A:$A,'Gap Analysis update'!$A62,'MoDi Initiatives'!$B:$B,'Gap Analysis update'!Q$2)-SUMIFS('MoDi Initiatives'!O:O,'MoDi Initiatives'!$E:$E,'Gap Analysis update'!$B62,'MoDi Initiatives'!$A:$A,'Gap Analysis update'!$A62,'MoDi Initiatives'!$C:$C,'Gap Analysis update'!$B$7,'MoDi Initiatives'!$B:$B,'Gap Analysis update'!Q$2)</f>
        <v>0</v>
      </c>
      <c r="R62" s="288">
        <f>SUMIFS('MoDi Initiatives'!P:P,'MoDi Initiatives'!$E:$E,'Gap Analysis update'!$B62,'MoDi Initiatives'!$A:$A,'Gap Analysis update'!$A62,'MoDi Initiatives'!$B:$B,'Gap Analysis update'!R$2)-SUMIFS('MoDi Initiatives'!P:P,'MoDi Initiatives'!$E:$E,'Gap Analysis update'!$B62,'MoDi Initiatives'!$A:$A,'Gap Analysis update'!$A62,'MoDi Initiatives'!$C:$C,'Gap Analysis update'!$B$7,'MoDi Initiatives'!$B:$B,'Gap Analysis update'!R$2)</f>
        <v>0</v>
      </c>
      <c r="S62" s="288">
        <f>SUMIFS('MoDi Initiatives'!Q:Q,'MoDi Initiatives'!$E:$E,'Gap Analysis update'!$B62,'MoDi Initiatives'!$A:$A,'Gap Analysis update'!$A62,'MoDi Initiatives'!$B:$B,'Gap Analysis update'!S$2)-SUMIFS('MoDi Initiatives'!Q:Q,'MoDi Initiatives'!$E:$E,'Gap Analysis update'!$B62,'MoDi Initiatives'!$A:$A,'Gap Analysis update'!$A62,'MoDi Initiatives'!$C:$C,'Gap Analysis update'!$B$7,'MoDi Initiatives'!$B:$B,'Gap Analysis update'!S$2)</f>
        <v>0</v>
      </c>
      <c r="T62" s="288">
        <f>SUMIFS('MoDi Initiatives'!R:R,'MoDi Initiatives'!$E:$E,'Gap Analysis update'!$B62,'MoDi Initiatives'!$A:$A,'Gap Analysis update'!$A62,'MoDi Initiatives'!$B:$B,'Gap Analysis update'!T$2)-SUMIFS('MoDi Initiatives'!R:R,'MoDi Initiatives'!$E:$E,'Gap Analysis update'!$B62,'MoDi Initiatives'!$A:$A,'Gap Analysis update'!$A62,'MoDi Initiatives'!$C:$C,'Gap Analysis update'!$B$7,'MoDi Initiatives'!$B:$B,'Gap Analysis update'!T$2)</f>
        <v>0</v>
      </c>
      <c r="U62" s="288">
        <f>SUMIFS('MoDi Initiatives'!S:S,'MoDi Initiatives'!$E:$E,'Gap Analysis update'!$B62,'MoDi Initiatives'!$A:$A,'Gap Analysis update'!$A62,'MoDi Initiatives'!$B:$B,'Gap Analysis update'!U$2)-SUMIFS('MoDi Initiatives'!S:S,'MoDi Initiatives'!$E:$E,'Gap Analysis update'!$B62,'MoDi Initiatives'!$A:$A,'Gap Analysis update'!$A62,'MoDi Initiatives'!$C:$C,'Gap Analysis update'!$B$7,'MoDi Initiatives'!$B:$B,'Gap Analysis update'!U$2)</f>
        <v>0</v>
      </c>
      <c r="V62" s="288">
        <f>SUMIFS('MoDi Initiatives'!T:T,'MoDi Initiatives'!$E:$E,'Gap Analysis update'!$B62,'MoDi Initiatives'!$A:$A,'Gap Analysis update'!$A62,'MoDi Initiatives'!$B:$B,'Gap Analysis update'!V$2)-SUMIFS('MoDi Initiatives'!T:T,'MoDi Initiatives'!$E:$E,'Gap Analysis update'!$B62,'MoDi Initiatives'!$A:$A,'Gap Analysis update'!$A62,'MoDi Initiatives'!$C:$C,'Gap Analysis update'!$B$7,'MoDi Initiatives'!$B:$B,'Gap Analysis update'!V$2)</f>
        <v>0</v>
      </c>
      <c r="W62" s="288">
        <f>SUMIFS('MoDi Initiatives'!U:U,'MoDi Initiatives'!$E:$E,'Gap Analysis update'!$B62,'MoDi Initiatives'!$A:$A,'Gap Analysis update'!$A62,'MoDi Initiatives'!$B:$B,'Gap Analysis update'!W$2)-SUMIFS('MoDi Initiatives'!U:U,'MoDi Initiatives'!$E:$E,'Gap Analysis update'!$B62,'MoDi Initiatives'!$A:$A,'Gap Analysis update'!$A62,'MoDi Initiatives'!$C:$C,'Gap Analysis update'!$B$7,'MoDi Initiatives'!$B:$B,'Gap Analysis update'!W$2)</f>
        <v>0</v>
      </c>
      <c r="X62" s="288">
        <f>SUMIFS('MoDi Initiatives'!V:V,'MoDi Initiatives'!$E:$E,'Gap Analysis update'!$B62,'MoDi Initiatives'!$A:$A,'Gap Analysis update'!$A62,'MoDi Initiatives'!$B:$B,'Gap Analysis update'!X$2)-SUMIFS('MoDi Initiatives'!V:V,'MoDi Initiatives'!$E:$E,'Gap Analysis update'!$B62,'MoDi Initiatives'!$A:$A,'Gap Analysis update'!$A62,'MoDi Initiatives'!$C:$C,'Gap Analysis update'!$B$7,'MoDi Initiatives'!$B:$B,'Gap Analysis update'!X$2)</f>
        <v>0</v>
      </c>
      <c r="Y62" s="288">
        <f>SUMIFS('MoDi Initiatives'!W:W,'MoDi Initiatives'!$E:$E,'Gap Analysis update'!$B62,'MoDi Initiatives'!$A:$A,'Gap Analysis update'!$A62,'MoDi Initiatives'!$B:$B,'Gap Analysis update'!Y$2)-SUMIFS('MoDi Initiatives'!W:W,'MoDi Initiatives'!$E:$E,'Gap Analysis update'!$B62,'MoDi Initiatives'!$A:$A,'Gap Analysis update'!$A62,'MoDi Initiatives'!$C:$C,'Gap Analysis update'!$B$7,'MoDi Initiatives'!$B:$B,'Gap Analysis update'!Y$2)</f>
        <v>0</v>
      </c>
      <c r="Z62" s="293"/>
      <c r="AB62" s="298">
        <f>SUMIFS('MoDi Initiatives'!H:H,'MoDi Initiatives'!$E:$E,'Gap Analysis update'!$B62,'MoDi Initiatives'!$A:$A,'Gap Analysis update'!$A62,'MoDi Initiatives'!$B:$B,'Gap Analysis update'!AB$2)-SUMIFS('MoDi Initiatives'!H:H,'MoDi Initiatives'!$E:$E,'Gap Analysis update'!$B62,'MoDi Initiatives'!$A:$A,'Gap Analysis update'!$A62,'MoDi Initiatives'!$B:$B,'Gap Analysis update'!AB$2,'MoDi Initiatives'!$C:$C,'Gap Analysis update'!$B$7)</f>
        <v>0</v>
      </c>
      <c r="AC62" s="288">
        <f>SUMIFS('MoDi Initiatives'!I:I,'MoDi Initiatives'!$E:$E,'Gap Analysis update'!$B62,'MoDi Initiatives'!$A:$A,'Gap Analysis update'!$A62,'MoDi Initiatives'!$B:$B,'Gap Analysis update'!AC$2)-SUMIFS('MoDi Initiatives'!I:I,'MoDi Initiatives'!$E:$E,'Gap Analysis update'!$B62,'MoDi Initiatives'!$A:$A,'Gap Analysis update'!$A62,'MoDi Initiatives'!$B:$B,'Gap Analysis update'!AC$2,'MoDi Initiatives'!$C:$C,'Gap Analysis update'!$B$7)</f>
        <v>0</v>
      </c>
      <c r="AD62" s="288">
        <f>SUMIFS('MoDi Initiatives'!J:J,'MoDi Initiatives'!$E:$E,'Gap Analysis update'!$B62,'MoDi Initiatives'!$A:$A,'Gap Analysis update'!$A62,'MoDi Initiatives'!$B:$B,'Gap Analysis update'!AD$2)-SUMIFS('MoDi Initiatives'!J:J,'MoDi Initiatives'!$E:$E,'Gap Analysis update'!$B62,'MoDi Initiatives'!$A:$A,'Gap Analysis update'!$A62,'MoDi Initiatives'!$B:$B,'Gap Analysis update'!AD$2,'MoDi Initiatives'!$C:$C,'Gap Analysis update'!$B$7)</f>
        <v>0</v>
      </c>
      <c r="AE62" s="298">
        <f>SUMIFS('MoDi Initiatives'!K:K,'MoDi Initiatives'!$E:$E,'Gap Analysis update'!$B62,'MoDi Initiatives'!$A:$A,'Gap Analysis update'!$A62,'MoDi Initiatives'!$B:$B,'Gap Analysis update'!AE$2)-SUMIFS('MoDi Initiatives'!K:K,'MoDi Initiatives'!$E:$E,'Gap Analysis update'!$B62,'MoDi Initiatives'!$A:$A,'Gap Analysis update'!$A62,'MoDi Initiatives'!$B:$B,'Gap Analysis update'!AE$2,'MoDi Initiatives'!$C:$C,'Gap Analysis update'!$B$7)</f>
        <v>0</v>
      </c>
      <c r="AF62" s="298">
        <f>SUMIFS('MoDi Initiatives'!L:L,'MoDi Initiatives'!$E:$E,'Gap Analysis update'!$B62,'MoDi Initiatives'!$A:$A,'Gap Analysis update'!$A62,'MoDi Initiatives'!$B:$B,'Gap Analysis update'!AF$2)-SUMIFS('MoDi Initiatives'!L:L,'MoDi Initiatives'!$E:$E,'Gap Analysis update'!$B62,'MoDi Initiatives'!$A:$A,'Gap Analysis update'!$A62,'MoDi Initiatives'!$B:$B,'Gap Analysis update'!AF$2,'MoDi Initiatives'!$C:$C,'Gap Analysis update'!$B$7)</f>
        <v>0</v>
      </c>
      <c r="AG62" s="298">
        <f>SUMIFS('MoDi Initiatives'!M:M,'MoDi Initiatives'!$E:$E,'Gap Analysis update'!$B62,'MoDi Initiatives'!$A:$A,'Gap Analysis update'!$A62,'MoDi Initiatives'!$B:$B,'Gap Analysis update'!AG$2)-SUMIFS('MoDi Initiatives'!M:M,'MoDi Initiatives'!$E:$E,'Gap Analysis update'!$B62,'MoDi Initiatives'!$A:$A,'Gap Analysis update'!$A62,'MoDi Initiatives'!$B:$B,'Gap Analysis update'!AG$2,'MoDi Initiatives'!$C:$C,'Gap Analysis update'!$B$7)</f>
        <v>0</v>
      </c>
      <c r="AH62" s="298">
        <f>SUMIFS('MoDi Initiatives'!N:N,'MoDi Initiatives'!$E:$E,'Gap Analysis update'!$B62,'MoDi Initiatives'!$A:$A,'Gap Analysis update'!$A62,'MoDi Initiatives'!$B:$B,'Gap Analysis update'!AH$2)-SUMIFS('MoDi Initiatives'!N:N,'MoDi Initiatives'!$E:$E,'Gap Analysis update'!$B62,'MoDi Initiatives'!$A:$A,'Gap Analysis update'!$A62,'MoDi Initiatives'!$B:$B,'Gap Analysis update'!AH$2,'MoDi Initiatives'!$C:$C,'Gap Analysis update'!$B$7)</f>
        <v>0</v>
      </c>
      <c r="AI62" s="298">
        <f>SUMIFS('MoDi Initiatives'!O:O,'MoDi Initiatives'!$E:$E,'Gap Analysis update'!$B62,'MoDi Initiatives'!$A:$A,'Gap Analysis update'!$A62,'MoDi Initiatives'!$B:$B,'Gap Analysis update'!AI$2)-SUMIFS('MoDi Initiatives'!O:O,'MoDi Initiatives'!$E:$E,'Gap Analysis update'!$B62,'MoDi Initiatives'!$A:$A,'Gap Analysis update'!$A62,'MoDi Initiatives'!$B:$B,'Gap Analysis update'!AI$2,'MoDi Initiatives'!$C:$C,'Gap Analysis update'!$B$7)</f>
        <v>0</v>
      </c>
      <c r="AJ62" s="302">
        <f>SUMIFS('MoDi Initiatives'!P:P,'MoDi Initiatives'!$E:$E,'Gap Analysis update'!$B62,'MoDi Initiatives'!$A:$A,'Gap Analysis update'!$A62,'MoDi Initiatives'!$B:$B,'Gap Analysis update'!AJ$2)-SUMIFS('MoDi Initiatives'!P:P,'MoDi Initiatives'!$E:$E,'Gap Analysis update'!$B62,'MoDi Initiatives'!$A:$A,'Gap Analysis update'!$A62,'MoDi Initiatives'!$B:$B,'Gap Analysis update'!AJ$2,'MoDi Initiatives'!$C:$C,'Gap Analysis update'!$B$7)</f>
        <v>0</v>
      </c>
      <c r="AK62" s="298">
        <f>SUMIFS('MoDi Initiatives'!Q:Q,'MoDi Initiatives'!$E:$E,'Gap Analysis update'!$B62,'MoDi Initiatives'!$A:$A,'Gap Analysis update'!$A62,'MoDi Initiatives'!$B:$B,'Gap Analysis update'!AK$2)-SUMIFS('MoDi Initiatives'!Q:Q,'MoDi Initiatives'!$E:$E,'Gap Analysis update'!$B62,'MoDi Initiatives'!$A:$A,'Gap Analysis update'!$A62,'MoDi Initiatives'!$B:$B,'Gap Analysis update'!AK$2,'MoDi Initiatives'!$C:$C,'Gap Analysis update'!$B$7)</f>
        <v>0</v>
      </c>
      <c r="AL62" s="298">
        <f>SUMIFS('MoDi Initiatives'!R:R,'MoDi Initiatives'!$E:$E,'Gap Analysis update'!$B62,'MoDi Initiatives'!$A:$A,'Gap Analysis update'!$A62,'MoDi Initiatives'!$B:$B,'Gap Analysis update'!AL$2)-SUMIFS('MoDi Initiatives'!R:R,'MoDi Initiatives'!$E:$E,'Gap Analysis update'!$B62,'MoDi Initiatives'!$A:$A,'Gap Analysis update'!$A62,'MoDi Initiatives'!$B:$B,'Gap Analysis update'!AL$2,'MoDi Initiatives'!$C:$C,'Gap Analysis update'!$B$7)</f>
        <v>0</v>
      </c>
      <c r="AM62" s="298">
        <f>SUMIFS('MoDi Initiatives'!S:S,'MoDi Initiatives'!$E:$E,'Gap Analysis update'!$B62,'MoDi Initiatives'!$A:$A,'Gap Analysis update'!$A62,'MoDi Initiatives'!$B:$B,'Gap Analysis update'!AM$2)-SUMIFS('MoDi Initiatives'!S:S,'MoDi Initiatives'!$E:$E,'Gap Analysis update'!$B62,'MoDi Initiatives'!$A:$A,'Gap Analysis update'!$A62,'MoDi Initiatives'!$B:$B,'Gap Analysis update'!AM$2,'MoDi Initiatives'!$C:$C,'Gap Analysis update'!$B$7)</f>
        <v>0</v>
      </c>
      <c r="AN62" s="298">
        <f>SUMIFS('MoDi Initiatives'!T:T,'MoDi Initiatives'!$E:$E,'Gap Analysis update'!$B62,'MoDi Initiatives'!$A:$A,'Gap Analysis update'!$A62,'MoDi Initiatives'!$B:$B,'Gap Analysis update'!AN$2)-SUMIFS('MoDi Initiatives'!T:T,'MoDi Initiatives'!$E:$E,'Gap Analysis update'!$B62,'MoDi Initiatives'!$A:$A,'Gap Analysis update'!$A62,'MoDi Initiatives'!$B:$B,'Gap Analysis update'!AN$2,'MoDi Initiatives'!$C:$C,'Gap Analysis update'!$B$7)</f>
        <v>0</v>
      </c>
      <c r="AO62" s="298">
        <f>SUMIFS('MoDi Initiatives'!U:U,'MoDi Initiatives'!$E:$E,'Gap Analysis update'!$B62,'MoDi Initiatives'!$A:$A,'Gap Analysis update'!$A62,'MoDi Initiatives'!$B:$B,'Gap Analysis update'!AO$2)-SUMIFS('MoDi Initiatives'!U:U,'MoDi Initiatives'!$E:$E,'Gap Analysis update'!$B62,'MoDi Initiatives'!$A:$A,'Gap Analysis update'!$A62,'MoDi Initiatives'!$B:$B,'Gap Analysis update'!AO$2,'MoDi Initiatives'!$C:$C,'Gap Analysis update'!$B$7)</f>
        <v>0</v>
      </c>
      <c r="AP62" s="298">
        <f>SUMIFS('MoDi Initiatives'!V:V,'MoDi Initiatives'!$E:$E,'Gap Analysis update'!$B62,'MoDi Initiatives'!$A:$A,'Gap Analysis update'!$A62,'MoDi Initiatives'!$B:$B,'Gap Analysis update'!AP$2)-SUMIFS('MoDi Initiatives'!V:V,'MoDi Initiatives'!$E:$E,'Gap Analysis update'!$B62,'MoDi Initiatives'!$A:$A,'Gap Analysis update'!$A62,'MoDi Initiatives'!$B:$B,'Gap Analysis update'!AP$2,'MoDi Initiatives'!$C:$C,'Gap Analysis update'!$B$7)</f>
        <v>0</v>
      </c>
      <c r="AQ62" s="298">
        <f>SUMIFS('MoDi Initiatives'!W:W,'MoDi Initiatives'!$E:$E,'Gap Analysis update'!$B62,'MoDi Initiatives'!$A:$A,'Gap Analysis update'!$A62,'MoDi Initiatives'!$B:$B,'Gap Analysis update'!AQ$2)-SUMIFS('MoDi Initiatives'!W:W,'MoDi Initiatives'!$E:$E,'Gap Analysis update'!$B62,'MoDi Initiatives'!$A:$A,'Gap Analysis update'!$A62,'MoDi Initiatives'!$B:$B,'Gap Analysis update'!AQ$2,'MoDi Initiatives'!$C:$C,'Gap Analysis update'!$B$7)</f>
        <v>0</v>
      </c>
      <c r="AR62" s="293"/>
      <c r="AS62" s="303"/>
      <c r="AT62" s="289">
        <f t="shared" si="60"/>
        <v>0</v>
      </c>
      <c r="AU62" s="289">
        <f t="shared" si="60"/>
        <v>0</v>
      </c>
      <c r="AV62" s="289">
        <f t="shared" si="60"/>
        <v>0</v>
      </c>
      <c r="AW62" s="303">
        <f t="shared" si="60"/>
        <v>0</v>
      </c>
      <c r="AX62" s="303">
        <f t="shared" si="60"/>
        <v>0</v>
      </c>
      <c r="AY62" s="303">
        <f t="shared" si="60"/>
        <v>0</v>
      </c>
      <c r="AZ62" s="303">
        <f t="shared" si="60"/>
        <v>0</v>
      </c>
      <c r="BA62" s="303">
        <f t="shared" si="60"/>
        <v>0</v>
      </c>
      <c r="BB62" s="303">
        <f t="shared" si="60"/>
        <v>0</v>
      </c>
      <c r="BC62" s="303">
        <f t="shared" si="60"/>
        <v>0</v>
      </c>
      <c r="BD62" s="303">
        <f t="shared" si="60"/>
        <v>0</v>
      </c>
      <c r="BE62" s="303">
        <f t="shared" si="60"/>
        <v>0</v>
      </c>
      <c r="BF62" s="303">
        <f t="shared" si="60"/>
        <v>0</v>
      </c>
      <c r="BG62" s="303">
        <f t="shared" si="60"/>
        <v>0</v>
      </c>
      <c r="BH62" s="303">
        <f t="shared" si="60"/>
        <v>0</v>
      </c>
      <c r="BI62" s="303">
        <f t="shared" si="60"/>
        <v>0</v>
      </c>
      <c r="BJ62" s="293"/>
      <c r="BK62" s="302"/>
      <c r="BL62" s="302"/>
      <c r="BM62" s="302"/>
      <c r="BN62" s="302"/>
      <c r="BO62" s="302"/>
      <c r="BP62" s="302" t="s">
        <v>22</v>
      </c>
      <c r="BQ62" s="302"/>
      <c r="BR62" s="302" t="s">
        <v>132</v>
      </c>
      <c r="BS62" s="302" t="s">
        <v>109</v>
      </c>
      <c r="BT62" s="302" t="s">
        <v>133</v>
      </c>
      <c r="BU62" s="302"/>
      <c r="BV62" s="302"/>
      <c r="BW62" s="302"/>
      <c r="BX62" s="302"/>
      <c r="BY62" s="302"/>
      <c r="BZ62" s="302"/>
      <c r="CA62" s="302"/>
    </row>
    <row r="63" spans="1:80" s="298" customFormat="1" ht="78">
      <c r="A63" s="296" t="s">
        <v>131</v>
      </c>
      <c r="B63" s="287" t="s">
        <v>33</v>
      </c>
      <c r="C63" s="288">
        <f t="shared" ref="C63:C67" si="62">SUM(AS63:BA63)</f>
        <v>0.13759255560799194</v>
      </c>
      <c r="D63" s="289">
        <f t="shared" si="61"/>
        <v>1.2168509191446658E-2</v>
      </c>
      <c r="E63" s="289">
        <f t="shared" si="8"/>
        <v>0.1497610647994386</v>
      </c>
      <c r="F63" s="306"/>
      <c r="G63" s="286" t="s">
        <v>126</v>
      </c>
      <c r="H63" s="297"/>
      <c r="J63" s="288"/>
      <c r="K63" s="288"/>
      <c r="L63" s="288">
        <f>SUMIFS('MoDi Initiatives'!J:J,'MoDi Initiatives'!$E:$E,'Gap Analysis update'!$B63,'MoDi Initiatives'!$A:$A,'Gap Analysis update'!$A63,'MoDi Initiatives'!$B:$B,'Gap Analysis update'!L$2)-SUMIFS('MoDi Initiatives'!J:J,'MoDi Initiatives'!$E:$E,'Gap Analysis update'!$B63,'MoDi Initiatives'!$A:$A,'Gap Analysis update'!$A63,'MoDi Initiatives'!$C:$C,'Gap Analysis update'!$B$7,'MoDi Initiatives'!$B:$B,'Gap Analysis update'!L$2)</f>
        <v>1.9161293970040467E-2</v>
      </c>
      <c r="M63" s="288">
        <f>SUMIFS('MoDi Initiatives'!K:K,'MoDi Initiatives'!$E:$E,'Gap Analysis update'!$B63,'MoDi Initiatives'!$A:$A,'Gap Analysis update'!$A63,'MoDi Initiatives'!$B:$B,'Gap Analysis update'!M$2)-SUMIFS('MoDi Initiatives'!K:K,'MoDi Initiatives'!$E:$E,'Gap Analysis update'!$B63,'MoDi Initiatives'!$A:$A,'Gap Analysis update'!$A63,'MoDi Initiatives'!$C:$C,'Gap Analysis update'!$B$7,'MoDi Initiatives'!$B:$B,'Gap Analysis update'!M$2)</f>
        <v>0</v>
      </c>
      <c r="N63" s="288">
        <f>SUMIFS('MoDi Initiatives'!L:L,'MoDi Initiatives'!$E:$E,'Gap Analysis update'!$B63,'MoDi Initiatives'!$A:$A,'Gap Analysis update'!$A63,'MoDi Initiatives'!$B:$B,'Gap Analysis update'!N$2)-SUMIFS('MoDi Initiatives'!L:L,'MoDi Initiatives'!$E:$E,'Gap Analysis update'!$B63,'MoDi Initiatives'!$A:$A,'Gap Analysis update'!$A63,'MoDi Initiatives'!$C:$C,'Gap Analysis update'!$B$7,'MoDi Initiatives'!$B:$B,'Gap Analysis update'!N$2)</f>
        <v>0</v>
      </c>
      <c r="O63" s="288">
        <f>SUMIFS('MoDi Initiatives'!M:M,'MoDi Initiatives'!$E:$E,'Gap Analysis update'!$B63,'MoDi Initiatives'!$A:$A,'Gap Analysis update'!$A63,'MoDi Initiatives'!$B:$B,'Gap Analysis update'!O$2)-SUMIFS('MoDi Initiatives'!M:M,'MoDi Initiatives'!$E:$E,'Gap Analysis update'!$B63,'MoDi Initiatives'!$A:$A,'Gap Analysis update'!$A63,'MoDi Initiatives'!$C:$C,'Gap Analysis update'!$B$7,'MoDi Initiatives'!$B:$B,'Gap Analysis update'!O$2)</f>
        <v>-0.11853141667603692</v>
      </c>
      <c r="P63" s="288">
        <f>SUMIFS('MoDi Initiatives'!N:N,'MoDi Initiatives'!$E:$E,'Gap Analysis update'!$B63,'MoDi Initiatives'!$A:$A,'Gap Analysis update'!$A63,'MoDi Initiatives'!$B:$B,'Gap Analysis update'!P$2)-SUMIFS('MoDi Initiatives'!N:N,'MoDi Initiatives'!$E:$E,'Gap Analysis update'!$B63,'MoDi Initiatives'!$A:$A,'Gap Analysis update'!$A63,'MoDi Initiatives'!$C:$C,'Gap Analysis update'!$B$7,'MoDi Initiatives'!$B:$B,'Gap Analysis update'!P$2)</f>
        <v>-7.2796143400444019E-2</v>
      </c>
      <c r="Q63" s="288">
        <f>SUMIFS('MoDi Initiatives'!O:O,'MoDi Initiatives'!$E:$E,'Gap Analysis update'!$B63,'MoDi Initiatives'!$A:$A,'Gap Analysis update'!$A63,'MoDi Initiatives'!$B:$B,'Gap Analysis update'!Q$2)-SUMIFS('MoDi Initiatives'!O:O,'MoDi Initiatives'!$E:$E,'Gap Analysis update'!$B63,'MoDi Initiatives'!$A:$A,'Gap Analysis update'!$A63,'MoDi Initiatives'!$C:$C,'Gap Analysis update'!$B$7,'MoDi Initiatives'!$B:$B,'Gap Analysis update'!Q$2)</f>
        <v>0</v>
      </c>
      <c r="R63" s="288">
        <f>SUMIFS('MoDi Initiatives'!P:P,'MoDi Initiatives'!$E:$E,'Gap Analysis update'!$B63,'MoDi Initiatives'!$A:$A,'Gap Analysis update'!$A63,'MoDi Initiatives'!$B:$B,'Gap Analysis update'!R$2)-SUMIFS('MoDi Initiatives'!P:P,'MoDi Initiatives'!$E:$E,'Gap Analysis update'!$B63,'MoDi Initiatives'!$A:$A,'Gap Analysis update'!$A63,'MoDi Initiatives'!$C:$C,'Gap Analysis update'!$B$7,'MoDi Initiatives'!$B:$B,'Gap Analysis update'!R$2)</f>
        <v>0</v>
      </c>
      <c r="S63" s="288">
        <f>SUMIFS('MoDi Initiatives'!Q:Q,'MoDi Initiatives'!$E:$E,'Gap Analysis update'!$B63,'MoDi Initiatives'!$A:$A,'Gap Analysis update'!$A63,'MoDi Initiatives'!$B:$B,'Gap Analysis update'!S$2)-SUMIFS('MoDi Initiatives'!Q:Q,'MoDi Initiatives'!$E:$E,'Gap Analysis update'!$B63,'MoDi Initiatives'!$A:$A,'Gap Analysis update'!$A63,'MoDi Initiatives'!$C:$C,'Gap Analysis update'!$B$7,'MoDi Initiatives'!$B:$B,'Gap Analysis update'!S$2)</f>
        <v>0</v>
      </c>
      <c r="T63" s="288">
        <f>SUMIFS('MoDi Initiatives'!R:R,'MoDi Initiatives'!$E:$E,'Gap Analysis update'!$B63,'MoDi Initiatives'!$A:$A,'Gap Analysis update'!$A63,'MoDi Initiatives'!$B:$B,'Gap Analysis update'!T$2)-SUMIFS('MoDi Initiatives'!R:R,'MoDi Initiatives'!$E:$E,'Gap Analysis update'!$B63,'MoDi Initiatives'!$A:$A,'Gap Analysis update'!$A63,'MoDi Initiatives'!$C:$C,'Gap Analysis update'!$B$7,'MoDi Initiatives'!$B:$B,'Gap Analysis update'!T$2)</f>
        <v>0</v>
      </c>
      <c r="U63" s="288">
        <f>SUMIFS('MoDi Initiatives'!S:S,'MoDi Initiatives'!$E:$E,'Gap Analysis update'!$B63,'MoDi Initiatives'!$A:$A,'Gap Analysis update'!$A63,'MoDi Initiatives'!$B:$B,'Gap Analysis update'!U$2)-SUMIFS('MoDi Initiatives'!S:S,'MoDi Initiatives'!$E:$E,'Gap Analysis update'!$B63,'MoDi Initiatives'!$A:$A,'Gap Analysis update'!$A63,'MoDi Initiatives'!$C:$C,'Gap Analysis update'!$B$7,'MoDi Initiatives'!$B:$B,'Gap Analysis update'!U$2)</f>
        <v>0</v>
      </c>
      <c r="V63" s="288">
        <f>SUMIFS('MoDi Initiatives'!T:T,'MoDi Initiatives'!$E:$E,'Gap Analysis update'!$B63,'MoDi Initiatives'!$A:$A,'Gap Analysis update'!$A63,'MoDi Initiatives'!$B:$B,'Gap Analysis update'!V$2)-SUMIFS('MoDi Initiatives'!T:T,'MoDi Initiatives'!$E:$E,'Gap Analysis update'!$B63,'MoDi Initiatives'!$A:$A,'Gap Analysis update'!$A63,'MoDi Initiatives'!$C:$C,'Gap Analysis update'!$B$7,'MoDi Initiatives'!$B:$B,'Gap Analysis update'!V$2)</f>
        <v>-6.7049079447777391E-3</v>
      </c>
      <c r="W63" s="288">
        <f>SUMIFS('MoDi Initiatives'!U:U,'MoDi Initiatives'!$E:$E,'Gap Analysis update'!$B63,'MoDi Initiatives'!$A:$A,'Gap Analysis update'!$A63,'MoDi Initiatives'!$B:$B,'Gap Analysis update'!W$2)-SUMIFS('MoDi Initiatives'!U:U,'MoDi Initiatives'!$E:$E,'Gap Analysis update'!$B63,'MoDi Initiatives'!$A:$A,'Gap Analysis update'!$A63,'MoDi Initiatives'!$C:$C,'Gap Analysis update'!$B$7,'MoDi Initiatives'!$B:$B,'Gap Analysis update'!W$2)</f>
        <v>0</v>
      </c>
      <c r="X63" s="288">
        <f>SUMIFS('MoDi Initiatives'!V:V,'MoDi Initiatives'!$E:$E,'Gap Analysis update'!$B63,'MoDi Initiatives'!$A:$A,'Gap Analysis update'!$A63,'MoDi Initiatives'!$B:$B,'Gap Analysis update'!X$2)-SUMIFS('MoDi Initiatives'!V:V,'MoDi Initiatives'!$E:$E,'Gap Analysis update'!$B63,'MoDi Initiatives'!$A:$A,'Gap Analysis update'!$A63,'MoDi Initiatives'!$C:$C,'Gap Analysis update'!$B$7,'MoDi Initiatives'!$B:$B,'Gap Analysis update'!X$2)</f>
        <v>0</v>
      </c>
      <c r="Y63" s="288">
        <f>SUMIFS('MoDi Initiatives'!W:W,'MoDi Initiatives'!$E:$E,'Gap Analysis update'!$B63,'MoDi Initiatives'!$A:$A,'Gap Analysis update'!$A63,'MoDi Initiatives'!$B:$B,'Gap Analysis update'!Y$2)-SUMIFS('MoDi Initiatives'!W:W,'MoDi Initiatives'!$E:$E,'Gap Analysis update'!$B63,'MoDi Initiatives'!$A:$A,'Gap Analysis update'!$A63,'MoDi Initiatives'!$C:$C,'Gap Analysis update'!$B$7,'MoDi Initiatives'!$B:$B,'Gap Analysis update'!Y$2)</f>
        <v>0</v>
      </c>
      <c r="Z63" s="293"/>
      <c r="AB63" s="298">
        <f>SUMIFS('MoDi Initiatives'!H:H,'MoDi Initiatives'!$E:$E,'Gap Analysis update'!$B63,'MoDi Initiatives'!$A:$A,'Gap Analysis update'!$A63,'MoDi Initiatives'!$B:$B,'Gap Analysis update'!AB$2)-SUMIFS('MoDi Initiatives'!H:H,'MoDi Initiatives'!$E:$E,'Gap Analysis update'!$B63,'MoDi Initiatives'!$A:$A,'Gap Analysis update'!$A63,'MoDi Initiatives'!$B:$B,'Gap Analysis update'!AB$2,'MoDi Initiatives'!$C:$C,'Gap Analysis update'!$B$7)</f>
        <v>0</v>
      </c>
      <c r="AC63" s="298">
        <f>SUMIFS('MoDi Initiatives'!I:I,'MoDi Initiatives'!$E:$E,'Gap Analysis update'!$B63,'MoDi Initiatives'!$A:$A,'Gap Analysis update'!$A63,'MoDi Initiatives'!$B:$B,'Gap Analysis update'!AC$2)-SUMIFS('MoDi Initiatives'!I:I,'MoDi Initiatives'!$E:$E,'Gap Analysis update'!$B63,'MoDi Initiatives'!$A:$A,'Gap Analysis update'!$A63,'MoDi Initiatives'!$B:$B,'Gap Analysis update'!AC$2,'MoDi Initiatives'!$C:$C,'Gap Analysis update'!$B$7)</f>
        <v>0</v>
      </c>
      <c r="AD63" s="298">
        <f>SUMIFS('MoDi Initiatives'!J:J,'MoDi Initiatives'!$E:$E,'Gap Analysis update'!$B63,'MoDi Initiatives'!$A:$A,'Gap Analysis update'!$A63,'MoDi Initiatives'!$B:$B,'Gap Analysis update'!AD$2)-SUMIFS('MoDi Initiatives'!J:J,'MoDi Initiatives'!$E:$E,'Gap Analysis update'!$B63,'MoDi Initiatives'!$A:$A,'Gap Analysis update'!$A63,'MoDi Initiatives'!$B:$B,'Gap Analysis update'!AD$2,'MoDi Initiatives'!$C:$C,'Gap Analysis update'!$B$7)</f>
        <v>0</v>
      </c>
      <c r="AE63" s="298">
        <f>SUMIFS('MoDi Initiatives'!K:K,'MoDi Initiatives'!$E:$E,'Gap Analysis update'!$B63,'MoDi Initiatives'!$A:$A,'Gap Analysis update'!$A63,'MoDi Initiatives'!$B:$B,'Gap Analysis update'!AE$2)-SUMIFS('MoDi Initiatives'!K:K,'MoDi Initiatives'!$E:$E,'Gap Analysis update'!$B63,'MoDi Initiatives'!$A:$A,'Gap Analysis update'!$A63,'MoDi Initiatives'!$B:$B,'Gap Analysis update'!AE$2,'MoDi Initiatives'!$C:$C,'Gap Analysis update'!$B$7)</f>
        <v>0</v>
      </c>
      <c r="AF63" s="298">
        <f>SUMIFS('MoDi Initiatives'!L:L,'MoDi Initiatives'!$E:$E,'Gap Analysis update'!$B63,'MoDi Initiatives'!$A:$A,'Gap Analysis update'!$A63,'MoDi Initiatives'!$B:$B,'Gap Analysis update'!AF$2)-SUMIFS('MoDi Initiatives'!L:L,'MoDi Initiatives'!$E:$E,'Gap Analysis update'!$B63,'MoDi Initiatives'!$A:$A,'Gap Analysis update'!$A63,'MoDi Initiatives'!$B:$B,'Gap Analysis update'!AF$2,'MoDi Initiatives'!$C:$C,'Gap Analysis update'!$B$7)</f>
        <v>0</v>
      </c>
      <c r="AG63" s="298">
        <f>SUMIFS('MoDi Initiatives'!M:M,'MoDi Initiatives'!$E:$E,'Gap Analysis update'!$B63,'MoDi Initiatives'!$A:$A,'Gap Analysis update'!$A63,'MoDi Initiatives'!$B:$B,'Gap Analysis update'!AG$2)-SUMIFS('MoDi Initiatives'!M:M,'MoDi Initiatives'!$E:$E,'Gap Analysis update'!$B63,'MoDi Initiatives'!$A:$A,'Gap Analysis update'!$A63,'MoDi Initiatives'!$B:$B,'Gap Analysis update'!AG$2,'MoDi Initiatives'!$C:$C,'Gap Analysis update'!$B$7)</f>
        <v>0</v>
      </c>
      <c r="AH63" s="298">
        <f>SUMIFS('MoDi Initiatives'!N:N,'MoDi Initiatives'!$E:$E,'Gap Analysis update'!$B63,'MoDi Initiatives'!$A:$A,'Gap Analysis update'!$A63,'MoDi Initiatives'!$B:$B,'Gap Analysis update'!AH$2)-SUMIFS('MoDi Initiatives'!N:N,'MoDi Initiatives'!$E:$E,'Gap Analysis update'!$B63,'MoDi Initiatives'!$A:$A,'Gap Analysis update'!$A63,'MoDi Initiatives'!$B:$B,'Gap Analysis update'!AH$2,'MoDi Initiatives'!$C:$C,'Gap Analysis update'!$B$7)</f>
        <v>-1.8482801209862426E-2</v>
      </c>
      <c r="AI63" s="298">
        <f>SUMIFS('MoDi Initiatives'!O:O,'MoDi Initiatives'!$E:$E,'Gap Analysis update'!$B63,'MoDi Initiatives'!$A:$A,'Gap Analysis update'!$A63,'MoDi Initiatives'!$B:$B,'Gap Analysis update'!AI$2)-SUMIFS('MoDi Initiatives'!O:O,'MoDi Initiatives'!$E:$E,'Gap Analysis update'!$B63,'MoDi Initiatives'!$A:$A,'Gap Analysis update'!$A63,'MoDi Initiatives'!$B:$B,'Gap Analysis update'!AI$2,'MoDi Initiatives'!$C:$C,'Gap Analysis update'!$B$7)</f>
        <v>-1.609090928858611E-2</v>
      </c>
      <c r="AJ63" s="298">
        <f>SUMIFS('MoDi Initiatives'!P:P,'MoDi Initiatives'!$E:$E,'Gap Analysis update'!$B63,'MoDi Initiatives'!$A:$A,'Gap Analysis update'!$A63,'MoDi Initiatives'!$B:$B,'Gap Analysis update'!AJ$2)-SUMIFS('MoDi Initiatives'!P:P,'MoDi Initiatives'!$E:$E,'Gap Analysis update'!$B63,'MoDi Initiatives'!$A:$A,'Gap Analysis update'!$A63,'MoDi Initiatives'!$B:$B,'Gap Analysis update'!AJ$2,'MoDi Initiatives'!$C:$C,'Gap Analysis update'!$B$7)</f>
        <v>0</v>
      </c>
      <c r="AK63" s="298">
        <f>SUMIFS('MoDi Initiatives'!Q:Q,'MoDi Initiatives'!$E:$E,'Gap Analysis update'!$B63,'MoDi Initiatives'!$A:$A,'Gap Analysis update'!$A63,'MoDi Initiatives'!$B:$B,'Gap Analysis update'!AK$2)-SUMIFS('MoDi Initiatives'!Q:Q,'MoDi Initiatives'!$E:$E,'Gap Analysis update'!$B63,'MoDi Initiatives'!$A:$A,'Gap Analysis update'!$A63,'MoDi Initiatives'!$B:$B,'Gap Analysis update'!AK$2,'MoDi Initiatives'!$C:$C,'Gap Analysis update'!$B$7)</f>
        <v>0</v>
      </c>
      <c r="AL63" s="298">
        <f>SUMIFS('MoDi Initiatives'!R:R,'MoDi Initiatives'!$E:$E,'Gap Analysis update'!$B63,'MoDi Initiatives'!$A:$A,'Gap Analysis update'!$A63,'MoDi Initiatives'!$B:$B,'Gap Analysis update'!AL$2)-SUMIFS('MoDi Initiatives'!R:R,'MoDi Initiatives'!$E:$E,'Gap Analysis update'!$B63,'MoDi Initiatives'!$A:$A,'Gap Analysis update'!$A63,'MoDi Initiatives'!$B:$B,'Gap Analysis update'!AL$2,'MoDi Initiatives'!$C:$C,'Gap Analysis update'!$B$7)</f>
        <v>0</v>
      </c>
      <c r="AM63" s="298">
        <f>SUMIFS('MoDi Initiatives'!S:S,'MoDi Initiatives'!$E:$E,'Gap Analysis update'!$B63,'MoDi Initiatives'!$A:$A,'Gap Analysis update'!$A63,'MoDi Initiatives'!$B:$B,'Gap Analysis update'!AM$2)-SUMIFS('MoDi Initiatives'!S:S,'MoDi Initiatives'!$E:$E,'Gap Analysis update'!$B63,'MoDi Initiatives'!$A:$A,'Gap Analysis update'!$A63,'MoDi Initiatives'!$B:$B,'Gap Analysis update'!AM$2,'MoDi Initiatives'!$C:$C,'Gap Analysis update'!$B$7)</f>
        <v>-3.1284556452939899E-2</v>
      </c>
      <c r="AN63" s="298">
        <f>SUMIFS('MoDi Initiatives'!T:T,'MoDi Initiatives'!$E:$E,'Gap Analysis update'!$B63,'MoDi Initiatives'!$A:$A,'Gap Analysis update'!$A63,'MoDi Initiatives'!$B:$B,'Gap Analysis update'!AN$2)-SUMIFS('MoDi Initiatives'!T:T,'MoDi Initiatives'!$E:$E,'Gap Analysis update'!$B63,'MoDi Initiatives'!$A:$A,'Gap Analysis update'!$A63,'MoDi Initiatives'!$B:$B,'Gap Analysis update'!AN$2,'MoDi Initiatives'!$C:$C,'Gap Analysis update'!$B$7)</f>
        <v>-2.3918919212763136E-3</v>
      </c>
      <c r="AO63" s="298">
        <f>SUMIFS('MoDi Initiatives'!U:U,'MoDi Initiatives'!$E:$E,'Gap Analysis update'!$B63,'MoDi Initiatives'!$A:$A,'Gap Analysis update'!$A63,'MoDi Initiatives'!$B:$B,'Gap Analysis update'!AO$2)-SUMIFS('MoDi Initiatives'!U:U,'MoDi Initiatives'!$E:$E,'Gap Analysis update'!$B63,'MoDi Initiatives'!$A:$A,'Gap Analysis update'!$A63,'MoDi Initiatives'!$B:$B,'Gap Analysis update'!AO$2,'MoDi Initiatives'!$C:$C,'Gap Analysis update'!$B$7)</f>
        <v>3.9140049620885131E-2</v>
      </c>
      <c r="AP63" s="298">
        <f>SUMIFS('MoDi Initiatives'!V:V,'MoDi Initiatives'!$E:$E,'Gap Analysis update'!$B63,'MoDi Initiatives'!$A:$A,'Gap Analysis update'!$A63,'MoDi Initiatives'!$B:$B,'Gap Analysis update'!AP$2)-SUMIFS('MoDi Initiatives'!V:V,'MoDi Initiatives'!$E:$E,'Gap Analysis update'!$B63,'MoDi Initiatives'!$A:$A,'Gap Analysis update'!$A63,'MoDi Initiatives'!$B:$B,'Gap Analysis update'!AP$2,'MoDi Initiatives'!$C:$C,'Gap Analysis update'!$B$7)</f>
        <v>0</v>
      </c>
      <c r="AQ63" s="298">
        <f>SUMIFS('MoDi Initiatives'!W:W,'MoDi Initiatives'!$E:$E,'Gap Analysis update'!$B63,'MoDi Initiatives'!$A:$A,'Gap Analysis update'!$A63,'MoDi Initiatives'!$B:$B,'Gap Analysis update'!AQ$2)-SUMIFS('MoDi Initiatives'!W:W,'MoDi Initiatives'!$E:$E,'Gap Analysis update'!$B63,'MoDi Initiatives'!$A:$A,'Gap Analysis update'!$A63,'MoDi Initiatives'!$B:$B,'Gap Analysis update'!AQ$2,'MoDi Initiatives'!$C:$C,'Gap Analysis update'!$B$7)</f>
        <v>0</v>
      </c>
      <c r="AR63" s="293"/>
      <c r="AS63" s="303"/>
      <c r="AT63" s="289">
        <f t="shared" si="60"/>
        <v>0</v>
      </c>
      <c r="AU63" s="303">
        <f t="shared" si="60"/>
        <v>0</v>
      </c>
      <c r="AV63" s="303">
        <f t="shared" si="60"/>
        <v>-1.9161293970040467E-2</v>
      </c>
      <c r="AW63" s="303">
        <f t="shared" si="60"/>
        <v>0</v>
      </c>
      <c r="AX63" s="303">
        <f t="shared" si="60"/>
        <v>0</v>
      </c>
      <c r="AY63" s="303">
        <f t="shared" si="60"/>
        <v>0.11853141667603692</v>
      </c>
      <c r="AZ63" s="303">
        <f t="shared" si="60"/>
        <v>5.4313342190581593E-2</v>
      </c>
      <c r="BA63" s="303">
        <f t="shared" si="60"/>
        <v>-1.609090928858611E-2</v>
      </c>
      <c r="BB63" s="295">
        <f t="shared" si="60"/>
        <v>0</v>
      </c>
      <c r="BC63" s="303">
        <f t="shared" si="60"/>
        <v>0</v>
      </c>
      <c r="BD63" s="303">
        <f t="shared" si="60"/>
        <v>0</v>
      </c>
      <c r="BE63" s="303">
        <f t="shared" si="60"/>
        <v>-3.1284556452939899E-2</v>
      </c>
      <c r="BF63" s="303">
        <f t="shared" si="60"/>
        <v>4.3130160235014259E-3</v>
      </c>
      <c r="BG63" s="303">
        <f t="shared" si="60"/>
        <v>3.9140049620885131E-2</v>
      </c>
      <c r="BH63" s="303">
        <f t="shared" si="60"/>
        <v>0</v>
      </c>
      <c r="BI63" s="303">
        <f t="shared" si="60"/>
        <v>0</v>
      </c>
      <c r="BJ63" s="293"/>
      <c r="BK63" s="302"/>
      <c r="BL63" s="302" t="s">
        <v>111</v>
      </c>
      <c r="BM63" s="302"/>
      <c r="BN63" s="302" t="s">
        <v>128</v>
      </c>
      <c r="BO63" s="302"/>
      <c r="BP63" s="302" t="s">
        <v>22</v>
      </c>
      <c r="BQ63" s="302" t="s">
        <v>113</v>
      </c>
      <c r="BR63" s="302" t="s">
        <v>114</v>
      </c>
      <c r="BS63" s="302" t="s">
        <v>115</v>
      </c>
      <c r="BT63" s="302" t="s">
        <v>22</v>
      </c>
      <c r="BU63" s="302" t="s">
        <v>116</v>
      </c>
      <c r="BV63" s="302"/>
      <c r="BW63" s="302"/>
      <c r="BX63" s="302" t="s">
        <v>42</v>
      </c>
      <c r="BY63" s="302" t="s">
        <v>117</v>
      </c>
      <c r="BZ63" s="302"/>
      <c r="CA63" s="302"/>
    </row>
    <row r="64" spans="1:80" s="298" customFormat="1" ht="52">
      <c r="A64" s="296" t="s">
        <v>131</v>
      </c>
      <c r="B64" s="287" t="s">
        <v>43</v>
      </c>
      <c r="C64" s="288">
        <f t="shared" si="62"/>
        <v>-5.8927783741258418E-3</v>
      </c>
      <c r="D64" s="289">
        <f t="shared" si="61"/>
        <v>1.2454841080526307E-3</v>
      </c>
      <c r="E64" s="289">
        <f t="shared" si="8"/>
        <v>-4.6472942660732109E-3</v>
      </c>
      <c r="F64" s="306"/>
      <c r="G64" s="286"/>
      <c r="H64" s="297"/>
      <c r="J64" s="288"/>
      <c r="K64" s="288"/>
      <c r="L64" s="288">
        <f>SUMIFS('MoDi Initiatives'!J:J,'MoDi Initiatives'!$E:$E,'Gap Analysis update'!$B64,'MoDi Initiatives'!$A:$A,'Gap Analysis update'!$A64,'MoDi Initiatives'!$B:$B,'Gap Analysis update'!L$2)-SUMIFS('MoDi Initiatives'!J:J,'MoDi Initiatives'!$E:$E,'Gap Analysis update'!$B64,'MoDi Initiatives'!$A:$A,'Gap Analysis update'!$A64,'MoDi Initiatives'!$C:$C,'Gap Analysis update'!$B$7,'MoDi Initiatives'!$B:$B,'Gap Analysis update'!L$2)</f>
        <v>0</v>
      </c>
      <c r="M64" s="288">
        <f>SUMIFS('MoDi Initiatives'!K:K,'MoDi Initiatives'!$E:$E,'Gap Analysis update'!$B64,'MoDi Initiatives'!$A:$A,'Gap Analysis update'!$A64,'MoDi Initiatives'!$B:$B,'Gap Analysis update'!M$2)-SUMIFS('MoDi Initiatives'!K:K,'MoDi Initiatives'!$E:$E,'Gap Analysis update'!$B64,'MoDi Initiatives'!$A:$A,'Gap Analysis update'!$A64,'MoDi Initiatives'!$C:$C,'Gap Analysis update'!$B$7,'MoDi Initiatives'!$B:$B,'Gap Analysis update'!M$2)</f>
        <v>0</v>
      </c>
      <c r="N64" s="288">
        <f>SUMIFS('MoDi Initiatives'!L:L,'MoDi Initiatives'!$E:$E,'Gap Analysis update'!$B64,'MoDi Initiatives'!$A:$A,'Gap Analysis update'!$A64,'MoDi Initiatives'!$B:$B,'Gap Analysis update'!N$2)-SUMIFS('MoDi Initiatives'!L:L,'MoDi Initiatives'!$E:$E,'Gap Analysis update'!$B64,'MoDi Initiatives'!$A:$A,'Gap Analysis update'!$A64,'MoDi Initiatives'!$C:$C,'Gap Analysis update'!$B$7,'MoDi Initiatives'!$B:$B,'Gap Analysis update'!N$2)</f>
        <v>0</v>
      </c>
      <c r="O64" s="288">
        <f>SUMIFS('MoDi Initiatives'!M:M,'MoDi Initiatives'!$E:$E,'Gap Analysis update'!$B64,'MoDi Initiatives'!$A:$A,'Gap Analysis update'!$A64,'MoDi Initiatives'!$B:$B,'Gap Analysis update'!O$2)-SUMIFS('MoDi Initiatives'!M:M,'MoDi Initiatives'!$E:$E,'Gap Analysis update'!$B64,'MoDi Initiatives'!$A:$A,'Gap Analysis update'!$A64,'MoDi Initiatives'!$C:$C,'Gap Analysis update'!$B$7,'MoDi Initiatives'!$B:$B,'Gap Analysis update'!O$2)</f>
        <v>0</v>
      </c>
      <c r="P64" s="288">
        <f>SUMIFS('MoDi Initiatives'!N:N,'MoDi Initiatives'!$E:$E,'Gap Analysis update'!$B64,'MoDi Initiatives'!$A:$A,'Gap Analysis update'!$A64,'MoDi Initiatives'!$B:$B,'Gap Analysis update'!P$2)-SUMIFS('MoDi Initiatives'!N:N,'MoDi Initiatives'!$E:$E,'Gap Analysis update'!$B64,'MoDi Initiatives'!$A:$A,'Gap Analysis update'!$A64,'MoDi Initiatives'!$C:$C,'Gap Analysis update'!$B$7,'MoDi Initiatives'!$B:$B,'Gap Analysis update'!P$2)</f>
        <v>0</v>
      </c>
      <c r="Q64" s="288">
        <f>SUMIFS('MoDi Initiatives'!O:O,'MoDi Initiatives'!$E:$E,'Gap Analysis update'!$B64,'MoDi Initiatives'!$A:$A,'Gap Analysis update'!$A64,'MoDi Initiatives'!$B:$B,'Gap Analysis update'!Q$2)-SUMIFS('MoDi Initiatives'!O:O,'MoDi Initiatives'!$E:$E,'Gap Analysis update'!$B64,'MoDi Initiatives'!$A:$A,'Gap Analysis update'!$A64,'MoDi Initiatives'!$C:$C,'Gap Analysis update'!$B$7,'MoDi Initiatives'!$B:$B,'Gap Analysis update'!Q$2)</f>
        <v>0</v>
      </c>
      <c r="R64" s="288">
        <f>SUMIFS('MoDi Initiatives'!P:P,'MoDi Initiatives'!$E:$E,'Gap Analysis update'!$B64,'MoDi Initiatives'!$A:$A,'Gap Analysis update'!$A64,'MoDi Initiatives'!$B:$B,'Gap Analysis update'!R$2)-SUMIFS('MoDi Initiatives'!P:P,'MoDi Initiatives'!$E:$E,'Gap Analysis update'!$B64,'MoDi Initiatives'!$A:$A,'Gap Analysis update'!$A64,'MoDi Initiatives'!$C:$C,'Gap Analysis update'!$B$7,'MoDi Initiatives'!$B:$B,'Gap Analysis update'!R$2)</f>
        <v>0</v>
      </c>
      <c r="S64" s="288">
        <f>SUMIFS('MoDi Initiatives'!Q:Q,'MoDi Initiatives'!$E:$E,'Gap Analysis update'!$B64,'MoDi Initiatives'!$A:$A,'Gap Analysis update'!$A64,'MoDi Initiatives'!$B:$B,'Gap Analysis update'!S$2)-SUMIFS('MoDi Initiatives'!Q:Q,'MoDi Initiatives'!$E:$E,'Gap Analysis update'!$B64,'MoDi Initiatives'!$A:$A,'Gap Analysis update'!$A64,'MoDi Initiatives'!$C:$C,'Gap Analysis update'!$B$7,'MoDi Initiatives'!$B:$B,'Gap Analysis update'!S$2)</f>
        <v>0</v>
      </c>
      <c r="T64" s="288">
        <f>SUMIFS('MoDi Initiatives'!R:R,'MoDi Initiatives'!$E:$E,'Gap Analysis update'!$B64,'MoDi Initiatives'!$A:$A,'Gap Analysis update'!$A64,'MoDi Initiatives'!$B:$B,'Gap Analysis update'!T$2)-SUMIFS('MoDi Initiatives'!R:R,'MoDi Initiatives'!$E:$E,'Gap Analysis update'!$B64,'MoDi Initiatives'!$A:$A,'Gap Analysis update'!$A64,'MoDi Initiatives'!$C:$C,'Gap Analysis update'!$B$7,'MoDi Initiatives'!$B:$B,'Gap Analysis update'!T$2)</f>
        <v>0</v>
      </c>
      <c r="U64" s="288">
        <f>SUMIFS('MoDi Initiatives'!S:S,'MoDi Initiatives'!$E:$E,'Gap Analysis update'!$B64,'MoDi Initiatives'!$A:$A,'Gap Analysis update'!$A64,'MoDi Initiatives'!$B:$B,'Gap Analysis update'!U$2)-SUMIFS('MoDi Initiatives'!S:S,'MoDi Initiatives'!$E:$E,'Gap Analysis update'!$B64,'MoDi Initiatives'!$A:$A,'Gap Analysis update'!$A64,'MoDi Initiatives'!$C:$C,'Gap Analysis update'!$B$7,'MoDi Initiatives'!$B:$B,'Gap Analysis update'!U$2)</f>
        <v>0</v>
      </c>
      <c r="V64" s="288">
        <f>SUMIFS('MoDi Initiatives'!T:T,'MoDi Initiatives'!$E:$E,'Gap Analysis update'!$B64,'MoDi Initiatives'!$A:$A,'Gap Analysis update'!$A64,'MoDi Initiatives'!$B:$B,'Gap Analysis update'!V$2)-SUMIFS('MoDi Initiatives'!T:T,'MoDi Initiatives'!$E:$E,'Gap Analysis update'!$B64,'MoDi Initiatives'!$A:$A,'Gap Analysis update'!$A64,'MoDi Initiatives'!$C:$C,'Gap Analysis update'!$B$7,'MoDi Initiatives'!$B:$B,'Gap Analysis update'!V$2)</f>
        <v>0</v>
      </c>
      <c r="W64" s="288">
        <f>SUMIFS('MoDi Initiatives'!U:U,'MoDi Initiatives'!$E:$E,'Gap Analysis update'!$B64,'MoDi Initiatives'!$A:$A,'Gap Analysis update'!$A64,'MoDi Initiatives'!$B:$B,'Gap Analysis update'!W$2)-SUMIFS('MoDi Initiatives'!U:U,'MoDi Initiatives'!$E:$E,'Gap Analysis update'!$B64,'MoDi Initiatives'!$A:$A,'Gap Analysis update'!$A64,'MoDi Initiatives'!$C:$C,'Gap Analysis update'!$B$7,'MoDi Initiatives'!$B:$B,'Gap Analysis update'!W$2)</f>
        <v>0</v>
      </c>
      <c r="X64" s="288">
        <f>SUMIFS('MoDi Initiatives'!V:V,'MoDi Initiatives'!$E:$E,'Gap Analysis update'!$B64,'MoDi Initiatives'!$A:$A,'Gap Analysis update'!$A64,'MoDi Initiatives'!$B:$B,'Gap Analysis update'!X$2)-SUMIFS('MoDi Initiatives'!V:V,'MoDi Initiatives'!$E:$E,'Gap Analysis update'!$B64,'MoDi Initiatives'!$A:$A,'Gap Analysis update'!$A64,'MoDi Initiatives'!$C:$C,'Gap Analysis update'!$B$7,'MoDi Initiatives'!$B:$B,'Gap Analysis update'!X$2)</f>
        <v>0</v>
      </c>
      <c r="Y64" s="288">
        <f>SUMIFS('MoDi Initiatives'!W:W,'MoDi Initiatives'!$E:$E,'Gap Analysis update'!$B64,'MoDi Initiatives'!$A:$A,'Gap Analysis update'!$A64,'MoDi Initiatives'!$B:$B,'Gap Analysis update'!Y$2)-SUMIFS('MoDi Initiatives'!W:W,'MoDi Initiatives'!$E:$E,'Gap Analysis update'!$B64,'MoDi Initiatives'!$A:$A,'Gap Analysis update'!$A64,'MoDi Initiatives'!$C:$C,'Gap Analysis update'!$B$7,'MoDi Initiatives'!$B:$B,'Gap Analysis update'!Y$2)</f>
        <v>0</v>
      </c>
      <c r="Z64" s="293"/>
      <c r="AB64" s="298">
        <f>SUMIFS('MoDi Initiatives'!H:H,'MoDi Initiatives'!$E:$E,'Gap Analysis update'!$B64,'MoDi Initiatives'!$A:$A,'Gap Analysis update'!$A64,'MoDi Initiatives'!$B:$B,'Gap Analysis update'!AB$2)-SUMIFS('MoDi Initiatives'!H:H,'MoDi Initiatives'!$E:$E,'Gap Analysis update'!$B64,'MoDi Initiatives'!$A:$A,'Gap Analysis update'!$A64,'MoDi Initiatives'!$B:$B,'Gap Analysis update'!AB$2,'MoDi Initiatives'!$C:$C,'Gap Analysis update'!$B$7)</f>
        <v>0</v>
      </c>
      <c r="AC64" s="298">
        <f>SUMIFS('MoDi Initiatives'!I:I,'MoDi Initiatives'!$E:$E,'Gap Analysis update'!$B64,'MoDi Initiatives'!$A:$A,'Gap Analysis update'!$A64,'MoDi Initiatives'!$B:$B,'Gap Analysis update'!AC$2)-SUMIFS('MoDi Initiatives'!I:I,'MoDi Initiatives'!$E:$E,'Gap Analysis update'!$B64,'MoDi Initiatives'!$A:$A,'Gap Analysis update'!$A64,'MoDi Initiatives'!$B:$B,'Gap Analysis update'!AC$2,'MoDi Initiatives'!$C:$C,'Gap Analysis update'!$B$7)</f>
        <v>0</v>
      </c>
      <c r="AD64" s="298">
        <f>SUMIFS('MoDi Initiatives'!J:J,'MoDi Initiatives'!$E:$E,'Gap Analysis update'!$B64,'MoDi Initiatives'!$A:$A,'Gap Analysis update'!$A64,'MoDi Initiatives'!$B:$B,'Gap Analysis update'!AD$2)-SUMIFS('MoDi Initiatives'!J:J,'MoDi Initiatives'!$E:$E,'Gap Analysis update'!$B64,'MoDi Initiatives'!$A:$A,'Gap Analysis update'!$A64,'MoDi Initiatives'!$B:$B,'Gap Analysis update'!AD$2,'MoDi Initiatives'!$C:$C,'Gap Analysis update'!$B$7)</f>
        <v>0</v>
      </c>
      <c r="AE64" s="298">
        <f>SUMIFS('MoDi Initiatives'!K:K,'MoDi Initiatives'!$E:$E,'Gap Analysis update'!$B64,'MoDi Initiatives'!$A:$A,'Gap Analysis update'!$A64,'MoDi Initiatives'!$B:$B,'Gap Analysis update'!AE$2)-SUMIFS('MoDi Initiatives'!K:K,'MoDi Initiatives'!$E:$E,'Gap Analysis update'!$B64,'MoDi Initiatives'!$A:$A,'Gap Analysis update'!$A64,'MoDi Initiatives'!$B:$B,'Gap Analysis update'!AE$2,'MoDi Initiatives'!$C:$C,'Gap Analysis update'!$B$7)</f>
        <v>0</v>
      </c>
      <c r="AF64" s="298">
        <f>SUMIFS('MoDi Initiatives'!L:L,'MoDi Initiatives'!$E:$E,'Gap Analysis update'!$B64,'MoDi Initiatives'!$A:$A,'Gap Analysis update'!$A64,'MoDi Initiatives'!$B:$B,'Gap Analysis update'!AF$2)-SUMIFS('MoDi Initiatives'!L:L,'MoDi Initiatives'!$E:$E,'Gap Analysis update'!$B64,'MoDi Initiatives'!$A:$A,'Gap Analysis update'!$A64,'MoDi Initiatives'!$B:$B,'Gap Analysis update'!AF$2,'MoDi Initiatives'!$C:$C,'Gap Analysis update'!$B$7)</f>
        <v>0</v>
      </c>
      <c r="AG64" s="298">
        <f>SUMIFS('MoDi Initiatives'!M:M,'MoDi Initiatives'!$E:$E,'Gap Analysis update'!$B64,'MoDi Initiatives'!$A:$A,'Gap Analysis update'!$A64,'MoDi Initiatives'!$B:$B,'Gap Analysis update'!AG$2)-SUMIFS('MoDi Initiatives'!M:M,'MoDi Initiatives'!$E:$E,'Gap Analysis update'!$B64,'MoDi Initiatives'!$A:$A,'Gap Analysis update'!$A64,'MoDi Initiatives'!$B:$B,'Gap Analysis update'!AG$2,'MoDi Initiatives'!$C:$C,'Gap Analysis update'!$B$7)</f>
        <v>-5.8927783741258418E-3</v>
      </c>
      <c r="AH64" s="298">
        <f>SUMIFS('MoDi Initiatives'!N:N,'MoDi Initiatives'!$E:$E,'Gap Analysis update'!$B64,'MoDi Initiatives'!$A:$A,'Gap Analysis update'!$A64,'MoDi Initiatives'!$B:$B,'Gap Analysis update'!AH$2)-SUMIFS('MoDi Initiatives'!N:N,'MoDi Initiatives'!$E:$E,'Gap Analysis update'!$B64,'MoDi Initiatives'!$A:$A,'Gap Analysis update'!$A64,'MoDi Initiatives'!$B:$B,'Gap Analysis update'!AH$2,'MoDi Initiatives'!$C:$C,'Gap Analysis update'!$B$7)</f>
        <v>0</v>
      </c>
      <c r="AI64" s="298">
        <f>SUMIFS('MoDi Initiatives'!O:O,'MoDi Initiatives'!$E:$E,'Gap Analysis update'!$B64,'MoDi Initiatives'!$A:$A,'Gap Analysis update'!$A64,'MoDi Initiatives'!$B:$B,'Gap Analysis update'!AI$2)-SUMIFS('MoDi Initiatives'!O:O,'MoDi Initiatives'!$E:$E,'Gap Analysis update'!$B64,'MoDi Initiatives'!$A:$A,'Gap Analysis update'!$A64,'MoDi Initiatives'!$B:$B,'Gap Analysis update'!AI$2,'MoDi Initiatives'!$C:$C,'Gap Analysis update'!$B$7)</f>
        <v>0</v>
      </c>
      <c r="AJ64" s="298">
        <f>SUMIFS('MoDi Initiatives'!P:P,'MoDi Initiatives'!$E:$E,'Gap Analysis update'!$B64,'MoDi Initiatives'!$A:$A,'Gap Analysis update'!$A64,'MoDi Initiatives'!$B:$B,'Gap Analysis update'!AJ$2)-SUMIFS('MoDi Initiatives'!P:P,'MoDi Initiatives'!$E:$E,'Gap Analysis update'!$B64,'MoDi Initiatives'!$A:$A,'Gap Analysis update'!$A64,'MoDi Initiatives'!$B:$B,'Gap Analysis update'!AJ$2,'MoDi Initiatives'!$C:$C,'Gap Analysis update'!$B$7)</f>
        <v>0</v>
      </c>
      <c r="AK64" s="298">
        <f>SUMIFS('MoDi Initiatives'!Q:Q,'MoDi Initiatives'!$E:$E,'Gap Analysis update'!$B64,'MoDi Initiatives'!$A:$A,'Gap Analysis update'!$A64,'MoDi Initiatives'!$B:$B,'Gap Analysis update'!AK$2)-SUMIFS('MoDi Initiatives'!Q:Q,'MoDi Initiatives'!$E:$E,'Gap Analysis update'!$B64,'MoDi Initiatives'!$A:$A,'Gap Analysis update'!$A64,'MoDi Initiatives'!$B:$B,'Gap Analysis update'!AK$2,'MoDi Initiatives'!$C:$C,'Gap Analysis update'!$B$7)</f>
        <v>1.2454841080526307E-3</v>
      </c>
      <c r="AL64" s="298">
        <f>SUMIFS('MoDi Initiatives'!R:R,'MoDi Initiatives'!$E:$E,'Gap Analysis update'!$B64,'MoDi Initiatives'!$A:$A,'Gap Analysis update'!$A64,'MoDi Initiatives'!$B:$B,'Gap Analysis update'!AL$2)-SUMIFS('MoDi Initiatives'!R:R,'MoDi Initiatives'!$E:$E,'Gap Analysis update'!$B64,'MoDi Initiatives'!$A:$A,'Gap Analysis update'!$A64,'MoDi Initiatives'!$B:$B,'Gap Analysis update'!AL$2,'MoDi Initiatives'!$C:$C,'Gap Analysis update'!$B$7)</f>
        <v>0</v>
      </c>
      <c r="AM64" s="298">
        <f>SUMIFS('MoDi Initiatives'!S:S,'MoDi Initiatives'!$E:$E,'Gap Analysis update'!$B64,'MoDi Initiatives'!$A:$A,'Gap Analysis update'!$A64,'MoDi Initiatives'!$B:$B,'Gap Analysis update'!AM$2)-SUMIFS('MoDi Initiatives'!S:S,'MoDi Initiatives'!$E:$E,'Gap Analysis update'!$B64,'MoDi Initiatives'!$A:$A,'Gap Analysis update'!$A64,'MoDi Initiatives'!$B:$B,'Gap Analysis update'!AM$2,'MoDi Initiatives'!$C:$C,'Gap Analysis update'!$B$7)</f>
        <v>0</v>
      </c>
      <c r="AN64" s="298">
        <f>SUMIFS('MoDi Initiatives'!T:T,'MoDi Initiatives'!$E:$E,'Gap Analysis update'!$B64,'MoDi Initiatives'!$A:$A,'Gap Analysis update'!$A64,'MoDi Initiatives'!$B:$B,'Gap Analysis update'!AN$2)-SUMIFS('MoDi Initiatives'!T:T,'MoDi Initiatives'!$E:$E,'Gap Analysis update'!$B64,'MoDi Initiatives'!$A:$A,'Gap Analysis update'!$A64,'MoDi Initiatives'!$B:$B,'Gap Analysis update'!AN$2,'MoDi Initiatives'!$C:$C,'Gap Analysis update'!$B$7)</f>
        <v>0</v>
      </c>
      <c r="AO64" s="298">
        <f>SUMIFS('MoDi Initiatives'!U:U,'MoDi Initiatives'!$E:$E,'Gap Analysis update'!$B64,'MoDi Initiatives'!$A:$A,'Gap Analysis update'!$A64,'MoDi Initiatives'!$B:$B,'Gap Analysis update'!AO$2)-SUMIFS('MoDi Initiatives'!U:U,'MoDi Initiatives'!$E:$E,'Gap Analysis update'!$B64,'MoDi Initiatives'!$A:$A,'Gap Analysis update'!$A64,'MoDi Initiatives'!$B:$B,'Gap Analysis update'!AO$2,'MoDi Initiatives'!$C:$C,'Gap Analysis update'!$B$7)</f>
        <v>0</v>
      </c>
      <c r="AP64" s="298">
        <f>SUMIFS('MoDi Initiatives'!V:V,'MoDi Initiatives'!$E:$E,'Gap Analysis update'!$B64,'MoDi Initiatives'!$A:$A,'Gap Analysis update'!$A64,'MoDi Initiatives'!$B:$B,'Gap Analysis update'!AP$2)-SUMIFS('MoDi Initiatives'!V:V,'MoDi Initiatives'!$E:$E,'Gap Analysis update'!$B64,'MoDi Initiatives'!$A:$A,'Gap Analysis update'!$A64,'MoDi Initiatives'!$B:$B,'Gap Analysis update'!AP$2,'MoDi Initiatives'!$C:$C,'Gap Analysis update'!$B$7)</f>
        <v>0</v>
      </c>
      <c r="AQ64" s="298">
        <f>SUMIFS('MoDi Initiatives'!W:W,'MoDi Initiatives'!$E:$E,'Gap Analysis update'!$B64,'MoDi Initiatives'!$A:$A,'Gap Analysis update'!$A64,'MoDi Initiatives'!$B:$B,'Gap Analysis update'!AQ$2)-SUMIFS('MoDi Initiatives'!W:W,'MoDi Initiatives'!$E:$E,'Gap Analysis update'!$B64,'MoDi Initiatives'!$A:$A,'Gap Analysis update'!$A64,'MoDi Initiatives'!$B:$B,'Gap Analysis update'!AQ$2,'MoDi Initiatives'!$C:$C,'Gap Analysis update'!$B$7)</f>
        <v>0</v>
      </c>
      <c r="AR64" s="293"/>
      <c r="AS64" s="303"/>
      <c r="AT64" s="289">
        <f t="shared" si="60"/>
        <v>0</v>
      </c>
      <c r="AU64" s="303">
        <f t="shared" si="60"/>
        <v>0</v>
      </c>
      <c r="AV64" s="303">
        <f t="shared" si="60"/>
        <v>0</v>
      </c>
      <c r="AW64" s="303">
        <f t="shared" si="60"/>
        <v>0</v>
      </c>
      <c r="AX64" s="303">
        <f t="shared" si="60"/>
        <v>0</v>
      </c>
      <c r="AY64" s="304">
        <f t="shared" si="60"/>
        <v>-5.8927783741258418E-3</v>
      </c>
      <c r="AZ64" s="303">
        <f t="shared" si="60"/>
        <v>0</v>
      </c>
      <c r="BA64" s="303">
        <f t="shared" si="60"/>
        <v>0</v>
      </c>
      <c r="BB64" s="303">
        <f t="shared" si="60"/>
        <v>0</v>
      </c>
      <c r="BC64" s="304">
        <f t="shared" si="60"/>
        <v>1.2454841080526307E-3</v>
      </c>
      <c r="BD64" s="303">
        <f t="shared" si="60"/>
        <v>0</v>
      </c>
      <c r="BE64" s="303">
        <f t="shared" si="60"/>
        <v>0</v>
      </c>
      <c r="BF64" s="303">
        <f t="shared" si="60"/>
        <v>0</v>
      </c>
      <c r="BG64" s="303">
        <f t="shared" si="60"/>
        <v>0</v>
      </c>
      <c r="BH64" s="303">
        <f t="shared" si="60"/>
        <v>0</v>
      </c>
      <c r="BI64" s="303">
        <f t="shared" si="60"/>
        <v>0</v>
      </c>
      <c r="BJ64" s="293"/>
      <c r="BK64" s="302"/>
      <c r="BL64" s="302"/>
      <c r="BM64" s="302"/>
      <c r="BN64" s="302"/>
      <c r="BO64" s="302"/>
      <c r="BP64" s="302"/>
      <c r="BQ64" s="302" t="s">
        <v>76</v>
      </c>
      <c r="BR64" s="302" t="s">
        <v>29</v>
      </c>
      <c r="BS64" s="302"/>
      <c r="BT64" s="302" t="s">
        <v>22</v>
      </c>
      <c r="BU64" s="302" t="s">
        <v>78</v>
      </c>
      <c r="BV64" s="302"/>
      <c r="BW64" s="302"/>
      <c r="BX64" s="302"/>
      <c r="BY64" s="302"/>
      <c r="BZ64" s="302"/>
      <c r="CA64" s="302"/>
    </row>
    <row r="65" spans="1:80" s="298" customFormat="1" ht="26">
      <c r="A65" s="296" t="s">
        <v>131</v>
      </c>
      <c r="B65" s="287" t="s">
        <v>49</v>
      </c>
      <c r="C65" s="288">
        <f t="shared" si="62"/>
        <v>0</v>
      </c>
      <c r="D65" s="289">
        <f t="shared" si="61"/>
        <v>0</v>
      </c>
      <c r="E65" s="289">
        <f t="shared" si="8"/>
        <v>0</v>
      </c>
      <c r="F65" s="306"/>
      <c r="G65" s="286"/>
      <c r="H65" s="297"/>
      <c r="J65" s="288"/>
      <c r="K65" s="288"/>
      <c r="L65" s="288">
        <f>SUMIFS('MoDi Initiatives'!J:J,'MoDi Initiatives'!$E:$E,'Gap Analysis update'!$B65,'MoDi Initiatives'!$A:$A,'Gap Analysis update'!$A65,'MoDi Initiatives'!$B:$B,'Gap Analysis update'!L$2)-SUMIFS('MoDi Initiatives'!J:J,'MoDi Initiatives'!$E:$E,'Gap Analysis update'!$B65,'MoDi Initiatives'!$A:$A,'Gap Analysis update'!$A65,'MoDi Initiatives'!$C:$C,'Gap Analysis update'!$B$7,'MoDi Initiatives'!$B:$B,'Gap Analysis update'!L$2)</f>
        <v>0</v>
      </c>
      <c r="M65" s="288">
        <f>SUMIFS('MoDi Initiatives'!K:K,'MoDi Initiatives'!$E:$E,'Gap Analysis update'!$B65,'MoDi Initiatives'!$A:$A,'Gap Analysis update'!$A65,'MoDi Initiatives'!$B:$B,'Gap Analysis update'!M$2)-SUMIFS('MoDi Initiatives'!K:K,'MoDi Initiatives'!$E:$E,'Gap Analysis update'!$B65,'MoDi Initiatives'!$A:$A,'Gap Analysis update'!$A65,'MoDi Initiatives'!$C:$C,'Gap Analysis update'!$B$7,'MoDi Initiatives'!$B:$B,'Gap Analysis update'!M$2)</f>
        <v>0</v>
      </c>
      <c r="N65" s="288">
        <f>SUMIFS('MoDi Initiatives'!L:L,'MoDi Initiatives'!$E:$E,'Gap Analysis update'!$B65,'MoDi Initiatives'!$A:$A,'Gap Analysis update'!$A65,'MoDi Initiatives'!$B:$B,'Gap Analysis update'!N$2)-SUMIFS('MoDi Initiatives'!L:L,'MoDi Initiatives'!$E:$E,'Gap Analysis update'!$B65,'MoDi Initiatives'!$A:$A,'Gap Analysis update'!$A65,'MoDi Initiatives'!$C:$C,'Gap Analysis update'!$B$7,'MoDi Initiatives'!$B:$B,'Gap Analysis update'!N$2)</f>
        <v>0</v>
      </c>
      <c r="O65" s="288">
        <f>SUMIFS('MoDi Initiatives'!M:M,'MoDi Initiatives'!$E:$E,'Gap Analysis update'!$B65,'MoDi Initiatives'!$A:$A,'Gap Analysis update'!$A65,'MoDi Initiatives'!$B:$B,'Gap Analysis update'!O$2)-SUMIFS('MoDi Initiatives'!M:M,'MoDi Initiatives'!$E:$E,'Gap Analysis update'!$B65,'MoDi Initiatives'!$A:$A,'Gap Analysis update'!$A65,'MoDi Initiatives'!$C:$C,'Gap Analysis update'!$B$7,'MoDi Initiatives'!$B:$B,'Gap Analysis update'!O$2)</f>
        <v>0</v>
      </c>
      <c r="P65" s="288">
        <f>SUMIFS('MoDi Initiatives'!N:N,'MoDi Initiatives'!$E:$E,'Gap Analysis update'!$B65,'MoDi Initiatives'!$A:$A,'Gap Analysis update'!$A65,'MoDi Initiatives'!$B:$B,'Gap Analysis update'!P$2)-SUMIFS('MoDi Initiatives'!N:N,'MoDi Initiatives'!$E:$E,'Gap Analysis update'!$B65,'MoDi Initiatives'!$A:$A,'Gap Analysis update'!$A65,'MoDi Initiatives'!$C:$C,'Gap Analysis update'!$B$7,'MoDi Initiatives'!$B:$B,'Gap Analysis update'!P$2)</f>
        <v>0</v>
      </c>
      <c r="Q65" s="288">
        <f>SUMIFS('MoDi Initiatives'!O:O,'MoDi Initiatives'!$E:$E,'Gap Analysis update'!$B65,'MoDi Initiatives'!$A:$A,'Gap Analysis update'!$A65,'MoDi Initiatives'!$B:$B,'Gap Analysis update'!Q$2)-SUMIFS('MoDi Initiatives'!O:O,'MoDi Initiatives'!$E:$E,'Gap Analysis update'!$B65,'MoDi Initiatives'!$A:$A,'Gap Analysis update'!$A65,'MoDi Initiatives'!$C:$C,'Gap Analysis update'!$B$7,'MoDi Initiatives'!$B:$B,'Gap Analysis update'!Q$2)</f>
        <v>0</v>
      </c>
      <c r="R65" s="288">
        <f>SUMIFS('MoDi Initiatives'!P:P,'MoDi Initiatives'!$E:$E,'Gap Analysis update'!$B65,'MoDi Initiatives'!$A:$A,'Gap Analysis update'!$A65,'MoDi Initiatives'!$B:$B,'Gap Analysis update'!R$2)-SUMIFS('MoDi Initiatives'!P:P,'MoDi Initiatives'!$E:$E,'Gap Analysis update'!$B65,'MoDi Initiatives'!$A:$A,'Gap Analysis update'!$A65,'MoDi Initiatives'!$C:$C,'Gap Analysis update'!$B$7,'MoDi Initiatives'!$B:$B,'Gap Analysis update'!R$2)</f>
        <v>0</v>
      </c>
      <c r="S65" s="288">
        <f>SUMIFS('MoDi Initiatives'!Q:Q,'MoDi Initiatives'!$E:$E,'Gap Analysis update'!$B65,'MoDi Initiatives'!$A:$A,'Gap Analysis update'!$A65,'MoDi Initiatives'!$B:$B,'Gap Analysis update'!S$2)-SUMIFS('MoDi Initiatives'!Q:Q,'MoDi Initiatives'!$E:$E,'Gap Analysis update'!$B65,'MoDi Initiatives'!$A:$A,'Gap Analysis update'!$A65,'MoDi Initiatives'!$C:$C,'Gap Analysis update'!$B$7,'MoDi Initiatives'!$B:$B,'Gap Analysis update'!S$2)</f>
        <v>0</v>
      </c>
      <c r="T65" s="288">
        <f>SUMIFS('MoDi Initiatives'!R:R,'MoDi Initiatives'!$E:$E,'Gap Analysis update'!$B65,'MoDi Initiatives'!$A:$A,'Gap Analysis update'!$A65,'MoDi Initiatives'!$B:$B,'Gap Analysis update'!T$2)-SUMIFS('MoDi Initiatives'!R:R,'MoDi Initiatives'!$E:$E,'Gap Analysis update'!$B65,'MoDi Initiatives'!$A:$A,'Gap Analysis update'!$A65,'MoDi Initiatives'!$C:$C,'Gap Analysis update'!$B$7,'MoDi Initiatives'!$B:$B,'Gap Analysis update'!T$2)</f>
        <v>0</v>
      </c>
      <c r="U65" s="288">
        <f>SUMIFS('MoDi Initiatives'!S:S,'MoDi Initiatives'!$E:$E,'Gap Analysis update'!$B65,'MoDi Initiatives'!$A:$A,'Gap Analysis update'!$A65,'MoDi Initiatives'!$B:$B,'Gap Analysis update'!U$2)-SUMIFS('MoDi Initiatives'!S:S,'MoDi Initiatives'!$E:$E,'Gap Analysis update'!$B65,'MoDi Initiatives'!$A:$A,'Gap Analysis update'!$A65,'MoDi Initiatives'!$C:$C,'Gap Analysis update'!$B$7,'MoDi Initiatives'!$B:$B,'Gap Analysis update'!U$2)</f>
        <v>0</v>
      </c>
      <c r="V65" s="288">
        <f>SUMIFS('MoDi Initiatives'!T:T,'MoDi Initiatives'!$E:$E,'Gap Analysis update'!$B65,'MoDi Initiatives'!$A:$A,'Gap Analysis update'!$A65,'MoDi Initiatives'!$B:$B,'Gap Analysis update'!V$2)-SUMIFS('MoDi Initiatives'!T:T,'MoDi Initiatives'!$E:$E,'Gap Analysis update'!$B65,'MoDi Initiatives'!$A:$A,'Gap Analysis update'!$A65,'MoDi Initiatives'!$C:$C,'Gap Analysis update'!$B$7,'MoDi Initiatives'!$B:$B,'Gap Analysis update'!V$2)</f>
        <v>0</v>
      </c>
      <c r="W65" s="288">
        <f>SUMIFS('MoDi Initiatives'!U:U,'MoDi Initiatives'!$E:$E,'Gap Analysis update'!$B65,'MoDi Initiatives'!$A:$A,'Gap Analysis update'!$A65,'MoDi Initiatives'!$B:$B,'Gap Analysis update'!W$2)-SUMIFS('MoDi Initiatives'!U:U,'MoDi Initiatives'!$E:$E,'Gap Analysis update'!$B65,'MoDi Initiatives'!$A:$A,'Gap Analysis update'!$A65,'MoDi Initiatives'!$C:$C,'Gap Analysis update'!$B$7,'MoDi Initiatives'!$B:$B,'Gap Analysis update'!W$2)</f>
        <v>0</v>
      </c>
      <c r="X65" s="288">
        <f>SUMIFS('MoDi Initiatives'!V:V,'MoDi Initiatives'!$E:$E,'Gap Analysis update'!$B65,'MoDi Initiatives'!$A:$A,'Gap Analysis update'!$A65,'MoDi Initiatives'!$B:$B,'Gap Analysis update'!X$2)-SUMIFS('MoDi Initiatives'!V:V,'MoDi Initiatives'!$E:$E,'Gap Analysis update'!$B65,'MoDi Initiatives'!$A:$A,'Gap Analysis update'!$A65,'MoDi Initiatives'!$C:$C,'Gap Analysis update'!$B$7,'MoDi Initiatives'!$B:$B,'Gap Analysis update'!X$2)</f>
        <v>0</v>
      </c>
      <c r="Y65" s="288">
        <f>SUMIFS('MoDi Initiatives'!W:W,'MoDi Initiatives'!$E:$E,'Gap Analysis update'!$B65,'MoDi Initiatives'!$A:$A,'Gap Analysis update'!$A65,'MoDi Initiatives'!$B:$B,'Gap Analysis update'!Y$2)-SUMIFS('MoDi Initiatives'!W:W,'MoDi Initiatives'!$E:$E,'Gap Analysis update'!$B65,'MoDi Initiatives'!$A:$A,'Gap Analysis update'!$A65,'MoDi Initiatives'!$C:$C,'Gap Analysis update'!$B$7,'MoDi Initiatives'!$B:$B,'Gap Analysis update'!Y$2)</f>
        <v>0</v>
      </c>
      <c r="Z65" s="293"/>
      <c r="AB65" s="298">
        <f>SUMIFS('MoDi Initiatives'!H:H,'MoDi Initiatives'!$E:$E,'Gap Analysis update'!$B65,'MoDi Initiatives'!$A:$A,'Gap Analysis update'!$A65,'MoDi Initiatives'!$B:$B,'Gap Analysis update'!AB$2)-SUMIFS('MoDi Initiatives'!H:H,'MoDi Initiatives'!$E:$E,'Gap Analysis update'!$B65,'MoDi Initiatives'!$A:$A,'Gap Analysis update'!$A65,'MoDi Initiatives'!$B:$B,'Gap Analysis update'!AB$2,'MoDi Initiatives'!$C:$C,'Gap Analysis update'!$B$7)</f>
        <v>0</v>
      </c>
      <c r="AC65" s="298">
        <f>SUMIFS('MoDi Initiatives'!I:I,'MoDi Initiatives'!$E:$E,'Gap Analysis update'!$B65,'MoDi Initiatives'!$A:$A,'Gap Analysis update'!$A65,'MoDi Initiatives'!$B:$B,'Gap Analysis update'!AC$2)-SUMIFS('MoDi Initiatives'!I:I,'MoDi Initiatives'!$E:$E,'Gap Analysis update'!$B65,'MoDi Initiatives'!$A:$A,'Gap Analysis update'!$A65,'MoDi Initiatives'!$B:$B,'Gap Analysis update'!AC$2,'MoDi Initiatives'!$C:$C,'Gap Analysis update'!$B$7)</f>
        <v>0</v>
      </c>
      <c r="AD65" s="298">
        <f>SUMIFS('MoDi Initiatives'!J:J,'MoDi Initiatives'!$E:$E,'Gap Analysis update'!$B65,'MoDi Initiatives'!$A:$A,'Gap Analysis update'!$A65,'MoDi Initiatives'!$B:$B,'Gap Analysis update'!AD$2)-SUMIFS('MoDi Initiatives'!J:J,'MoDi Initiatives'!$E:$E,'Gap Analysis update'!$B65,'MoDi Initiatives'!$A:$A,'Gap Analysis update'!$A65,'MoDi Initiatives'!$B:$B,'Gap Analysis update'!AD$2,'MoDi Initiatives'!$C:$C,'Gap Analysis update'!$B$7)</f>
        <v>0</v>
      </c>
      <c r="AE65" s="298">
        <f>SUMIFS('MoDi Initiatives'!K:K,'MoDi Initiatives'!$E:$E,'Gap Analysis update'!$B65,'MoDi Initiatives'!$A:$A,'Gap Analysis update'!$A65,'MoDi Initiatives'!$B:$B,'Gap Analysis update'!AE$2)-SUMIFS('MoDi Initiatives'!K:K,'MoDi Initiatives'!$E:$E,'Gap Analysis update'!$B65,'MoDi Initiatives'!$A:$A,'Gap Analysis update'!$A65,'MoDi Initiatives'!$B:$B,'Gap Analysis update'!AE$2,'MoDi Initiatives'!$C:$C,'Gap Analysis update'!$B$7)</f>
        <v>0</v>
      </c>
      <c r="AF65" s="298">
        <f>SUMIFS('MoDi Initiatives'!L:L,'MoDi Initiatives'!$E:$E,'Gap Analysis update'!$B65,'MoDi Initiatives'!$A:$A,'Gap Analysis update'!$A65,'MoDi Initiatives'!$B:$B,'Gap Analysis update'!AF$2)-SUMIFS('MoDi Initiatives'!L:L,'MoDi Initiatives'!$E:$E,'Gap Analysis update'!$B65,'MoDi Initiatives'!$A:$A,'Gap Analysis update'!$A65,'MoDi Initiatives'!$B:$B,'Gap Analysis update'!AF$2,'MoDi Initiatives'!$C:$C,'Gap Analysis update'!$B$7)</f>
        <v>0</v>
      </c>
      <c r="AG65" s="298">
        <f>SUMIFS('MoDi Initiatives'!M:M,'MoDi Initiatives'!$E:$E,'Gap Analysis update'!$B65,'MoDi Initiatives'!$A:$A,'Gap Analysis update'!$A65,'MoDi Initiatives'!$B:$B,'Gap Analysis update'!AG$2)-SUMIFS('MoDi Initiatives'!M:M,'MoDi Initiatives'!$E:$E,'Gap Analysis update'!$B65,'MoDi Initiatives'!$A:$A,'Gap Analysis update'!$A65,'MoDi Initiatives'!$B:$B,'Gap Analysis update'!AG$2,'MoDi Initiatives'!$C:$C,'Gap Analysis update'!$B$7)</f>
        <v>0</v>
      </c>
      <c r="AH65" s="298">
        <f>SUMIFS('MoDi Initiatives'!N:N,'MoDi Initiatives'!$E:$E,'Gap Analysis update'!$B65,'MoDi Initiatives'!$A:$A,'Gap Analysis update'!$A65,'MoDi Initiatives'!$B:$B,'Gap Analysis update'!AH$2)-SUMIFS('MoDi Initiatives'!N:N,'MoDi Initiatives'!$E:$E,'Gap Analysis update'!$B65,'MoDi Initiatives'!$A:$A,'Gap Analysis update'!$A65,'MoDi Initiatives'!$B:$B,'Gap Analysis update'!AH$2,'MoDi Initiatives'!$C:$C,'Gap Analysis update'!$B$7)</f>
        <v>0</v>
      </c>
      <c r="AI65" s="298">
        <f>SUMIFS('MoDi Initiatives'!O:O,'MoDi Initiatives'!$E:$E,'Gap Analysis update'!$B65,'MoDi Initiatives'!$A:$A,'Gap Analysis update'!$A65,'MoDi Initiatives'!$B:$B,'Gap Analysis update'!AI$2)-SUMIFS('MoDi Initiatives'!O:O,'MoDi Initiatives'!$E:$E,'Gap Analysis update'!$B65,'MoDi Initiatives'!$A:$A,'Gap Analysis update'!$A65,'MoDi Initiatives'!$B:$B,'Gap Analysis update'!AI$2,'MoDi Initiatives'!$C:$C,'Gap Analysis update'!$B$7)</f>
        <v>0</v>
      </c>
      <c r="AJ65" s="298">
        <f>SUMIFS('MoDi Initiatives'!P:P,'MoDi Initiatives'!$E:$E,'Gap Analysis update'!$B65,'MoDi Initiatives'!$A:$A,'Gap Analysis update'!$A65,'MoDi Initiatives'!$B:$B,'Gap Analysis update'!AJ$2)-SUMIFS('MoDi Initiatives'!P:P,'MoDi Initiatives'!$E:$E,'Gap Analysis update'!$B65,'MoDi Initiatives'!$A:$A,'Gap Analysis update'!$A65,'MoDi Initiatives'!$B:$B,'Gap Analysis update'!AJ$2,'MoDi Initiatives'!$C:$C,'Gap Analysis update'!$B$7)</f>
        <v>0</v>
      </c>
      <c r="AK65" s="298">
        <f>SUMIFS('MoDi Initiatives'!Q:Q,'MoDi Initiatives'!$E:$E,'Gap Analysis update'!$B65,'MoDi Initiatives'!$A:$A,'Gap Analysis update'!$A65,'MoDi Initiatives'!$B:$B,'Gap Analysis update'!AK$2)-SUMIFS('MoDi Initiatives'!Q:Q,'MoDi Initiatives'!$E:$E,'Gap Analysis update'!$B65,'MoDi Initiatives'!$A:$A,'Gap Analysis update'!$A65,'MoDi Initiatives'!$B:$B,'Gap Analysis update'!AK$2,'MoDi Initiatives'!$C:$C,'Gap Analysis update'!$B$7)</f>
        <v>0</v>
      </c>
      <c r="AL65" s="298">
        <f>SUMIFS('MoDi Initiatives'!R:R,'MoDi Initiatives'!$E:$E,'Gap Analysis update'!$B65,'MoDi Initiatives'!$A:$A,'Gap Analysis update'!$A65,'MoDi Initiatives'!$B:$B,'Gap Analysis update'!AL$2)-SUMIFS('MoDi Initiatives'!R:R,'MoDi Initiatives'!$E:$E,'Gap Analysis update'!$B65,'MoDi Initiatives'!$A:$A,'Gap Analysis update'!$A65,'MoDi Initiatives'!$B:$B,'Gap Analysis update'!AL$2,'MoDi Initiatives'!$C:$C,'Gap Analysis update'!$B$7)</f>
        <v>0</v>
      </c>
      <c r="AM65" s="298">
        <f>SUMIFS('MoDi Initiatives'!S:S,'MoDi Initiatives'!$E:$E,'Gap Analysis update'!$B65,'MoDi Initiatives'!$A:$A,'Gap Analysis update'!$A65,'MoDi Initiatives'!$B:$B,'Gap Analysis update'!AM$2)-SUMIFS('MoDi Initiatives'!S:S,'MoDi Initiatives'!$E:$E,'Gap Analysis update'!$B65,'MoDi Initiatives'!$A:$A,'Gap Analysis update'!$A65,'MoDi Initiatives'!$B:$B,'Gap Analysis update'!AM$2,'MoDi Initiatives'!$C:$C,'Gap Analysis update'!$B$7)</f>
        <v>0</v>
      </c>
      <c r="AN65" s="298">
        <f>SUMIFS('MoDi Initiatives'!T:T,'MoDi Initiatives'!$E:$E,'Gap Analysis update'!$B65,'MoDi Initiatives'!$A:$A,'Gap Analysis update'!$A65,'MoDi Initiatives'!$B:$B,'Gap Analysis update'!AN$2)-SUMIFS('MoDi Initiatives'!T:T,'MoDi Initiatives'!$E:$E,'Gap Analysis update'!$B65,'MoDi Initiatives'!$A:$A,'Gap Analysis update'!$A65,'MoDi Initiatives'!$B:$B,'Gap Analysis update'!AN$2,'MoDi Initiatives'!$C:$C,'Gap Analysis update'!$B$7)</f>
        <v>0</v>
      </c>
      <c r="AO65" s="298">
        <f>SUMIFS('MoDi Initiatives'!U:U,'MoDi Initiatives'!$E:$E,'Gap Analysis update'!$B65,'MoDi Initiatives'!$A:$A,'Gap Analysis update'!$A65,'MoDi Initiatives'!$B:$B,'Gap Analysis update'!AO$2)-SUMIFS('MoDi Initiatives'!U:U,'MoDi Initiatives'!$E:$E,'Gap Analysis update'!$B65,'MoDi Initiatives'!$A:$A,'Gap Analysis update'!$A65,'MoDi Initiatives'!$B:$B,'Gap Analysis update'!AO$2,'MoDi Initiatives'!$C:$C,'Gap Analysis update'!$B$7)</f>
        <v>0</v>
      </c>
      <c r="AP65" s="298">
        <f>SUMIFS('MoDi Initiatives'!V:V,'MoDi Initiatives'!$E:$E,'Gap Analysis update'!$B65,'MoDi Initiatives'!$A:$A,'Gap Analysis update'!$A65,'MoDi Initiatives'!$B:$B,'Gap Analysis update'!AP$2)-SUMIFS('MoDi Initiatives'!V:V,'MoDi Initiatives'!$E:$E,'Gap Analysis update'!$B65,'MoDi Initiatives'!$A:$A,'Gap Analysis update'!$A65,'MoDi Initiatives'!$B:$B,'Gap Analysis update'!AP$2,'MoDi Initiatives'!$C:$C,'Gap Analysis update'!$B$7)</f>
        <v>0</v>
      </c>
      <c r="AQ65" s="298">
        <f>SUMIFS('MoDi Initiatives'!W:W,'MoDi Initiatives'!$E:$E,'Gap Analysis update'!$B65,'MoDi Initiatives'!$A:$A,'Gap Analysis update'!$A65,'MoDi Initiatives'!$B:$B,'Gap Analysis update'!AQ$2)-SUMIFS('MoDi Initiatives'!W:W,'MoDi Initiatives'!$E:$E,'Gap Analysis update'!$B65,'MoDi Initiatives'!$A:$A,'Gap Analysis update'!$A65,'MoDi Initiatives'!$B:$B,'Gap Analysis update'!AQ$2,'MoDi Initiatives'!$C:$C,'Gap Analysis update'!$B$7)</f>
        <v>0</v>
      </c>
      <c r="AR65" s="293"/>
      <c r="AS65" s="303"/>
      <c r="AT65" s="289">
        <f t="shared" si="60"/>
        <v>0</v>
      </c>
      <c r="AU65" s="303">
        <f t="shared" si="60"/>
        <v>0</v>
      </c>
      <c r="AV65" s="303">
        <f t="shared" si="60"/>
        <v>0</v>
      </c>
      <c r="AW65" s="303">
        <f t="shared" si="60"/>
        <v>0</v>
      </c>
      <c r="AX65" s="303">
        <f t="shared" si="60"/>
        <v>0</v>
      </c>
      <c r="AY65" s="303">
        <f t="shared" si="60"/>
        <v>0</v>
      </c>
      <c r="AZ65" s="303">
        <f t="shared" si="60"/>
        <v>0</v>
      </c>
      <c r="BA65" s="303">
        <f t="shared" si="60"/>
        <v>0</v>
      </c>
      <c r="BB65" s="303">
        <f t="shared" si="60"/>
        <v>0</v>
      </c>
      <c r="BC65" s="303">
        <f t="shared" si="60"/>
        <v>0</v>
      </c>
      <c r="BD65" s="303">
        <f t="shared" si="60"/>
        <v>0</v>
      </c>
      <c r="BE65" s="303">
        <f t="shared" si="60"/>
        <v>0</v>
      </c>
      <c r="BF65" s="303">
        <f t="shared" si="60"/>
        <v>0</v>
      </c>
      <c r="BG65" s="303">
        <f t="shared" si="60"/>
        <v>0</v>
      </c>
      <c r="BH65" s="303">
        <f t="shared" si="60"/>
        <v>0</v>
      </c>
      <c r="BI65" s="303">
        <f t="shared" si="60"/>
        <v>0</v>
      </c>
      <c r="BJ65" s="293"/>
      <c r="BK65" s="302"/>
      <c r="BL65" s="302"/>
      <c r="BM65" s="302"/>
      <c r="BN65" s="302" t="s">
        <v>51</v>
      </c>
      <c r="BO65" s="302"/>
      <c r="BP65" s="302" t="s">
        <v>22</v>
      </c>
      <c r="BQ65" s="302"/>
      <c r="BR65" s="302" t="s">
        <v>52</v>
      </c>
      <c r="BS65" s="302" t="s">
        <v>51</v>
      </c>
      <c r="BT65" s="302" t="s">
        <v>22</v>
      </c>
      <c r="BU65" s="302"/>
      <c r="BV65" s="302"/>
      <c r="BW65" s="302"/>
      <c r="BX65" s="302"/>
      <c r="BY65" s="302"/>
      <c r="BZ65" s="302"/>
      <c r="CA65" s="302"/>
    </row>
    <row r="66" spans="1:80" s="298" customFormat="1" ht="13">
      <c r="A66" s="296" t="s">
        <v>131</v>
      </c>
      <c r="B66" s="287" t="s">
        <v>53</v>
      </c>
      <c r="C66" s="288">
        <f t="shared" si="62"/>
        <v>5.3952383955208245E-5</v>
      </c>
      <c r="D66" s="289">
        <f t="shared" si="61"/>
        <v>0</v>
      </c>
      <c r="E66" s="289">
        <f t="shared" si="8"/>
        <v>5.3952383955208245E-5</v>
      </c>
      <c r="F66" s="306"/>
      <c r="G66" s="286"/>
      <c r="H66" s="297"/>
      <c r="J66" s="288"/>
      <c r="K66" s="288"/>
      <c r="L66" s="288">
        <f>SUMIFS('MoDi Initiatives'!J:J,'MoDi Initiatives'!$E:$E,'Gap Analysis update'!$B66,'MoDi Initiatives'!$A:$A,'Gap Analysis update'!$A66,'MoDi Initiatives'!$B:$B,'Gap Analysis update'!L$2)-SUMIFS('MoDi Initiatives'!J:J,'MoDi Initiatives'!$E:$E,'Gap Analysis update'!$B66,'MoDi Initiatives'!$A:$A,'Gap Analysis update'!$A66,'MoDi Initiatives'!$C:$C,'Gap Analysis update'!$B$7,'MoDi Initiatives'!$B:$B,'Gap Analysis update'!L$2)</f>
        <v>0</v>
      </c>
      <c r="M66" s="288">
        <f>SUMIFS('MoDi Initiatives'!K:K,'MoDi Initiatives'!$E:$E,'Gap Analysis update'!$B66,'MoDi Initiatives'!$A:$A,'Gap Analysis update'!$A66,'MoDi Initiatives'!$B:$B,'Gap Analysis update'!M$2)-SUMIFS('MoDi Initiatives'!K:K,'MoDi Initiatives'!$E:$E,'Gap Analysis update'!$B66,'MoDi Initiatives'!$A:$A,'Gap Analysis update'!$A66,'MoDi Initiatives'!$C:$C,'Gap Analysis update'!$B$7,'MoDi Initiatives'!$B:$B,'Gap Analysis update'!M$2)</f>
        <v>-7.664517588016187E-3</v>
      </c>
      <c r="N66" s="288">
        <f>SUMIFS('MoDi Initiatives'!L:L,'MoDi Initiatives'!$E:$E,'Gap Analysis update'!$B66,'MoDi Initiatives'!$A:$A,'Gap Analysis update'!$A66,'MoDi Initiatives'!$B:$B,'Gap Analysis update'!N$2)-SUMIFS('MoDi Initiatives'!L:L,'MoDi Initiatives'!$E:$E,'Gap Analysis update'!$B66,'MoDi Initiatives'!$A:$A,'Gap Analysis update'!$A66,'MoDi Initiatives'!$C:$C,'Gap Analysis update'!$B$7,'MoDi Initiatives'!$B:$B,'Gap Analysis update'!N$2)</f>
        <v>0</v>
      </c>
      <c r="O66" s="288">
        <f>SUMIFS('MoDi Initiatives'!M:M,'MoDi Initiatives'!$E:$E,'Gap Analysis update'!$B66,'MoDi Initiatives'!$A:$A,'Gap Analysis update'!$A66,'MoDi Initiatives'!$B:$B,'Gap Analysis update'!O$2)-SUMIFS('MoDi Initiatives'!M:M,'MoDi Initiatives'!$E:$E,'Gap Analysis update'!$B66,'MoDi Initiatives'!$A:$A,'Gap Analysis update'!$A66,'MoDi Initiatives'!$C:$C,'Gap Analysis update'!$B$7,'MoDi Initiatives'!$B:$B,'Gap Analysis update'!O$2)</f>
        <v>0</v>
      </c>
      <c r="P66" s="288">
        <f>SUMIFS('MoDi Initiatives'!N:N,'MoDi Initiatives'!$E:$E,'Gap Analysis update'!$B66,'MoDi Initiatives'!$A:$A,'Gap Analysis update'!$A66,'MoDi Initiatives'!$B:$B,'Gap Analysis update'!P$2)-SUMIFS('MoDi Initiatives'!N:N,'MoDi Initiatives'!$E:$E,'Gap Analysis update'!$B66,'MoDi Initiatives'!$A:$A,'Gap Analysis update'!$A66,'MoDi Initiatives'!$C:$C,'Gap Analysis update'!$B$7,'MoDi Initiatives'!$B:$B,'Gap Analysis update'!P$2)</f>
        <v>0</v>
      </c>
      <c r="Q66" s="288">
        <f>SUMIFS('MoDi Initiatives'!O:O,'MoDi Initiatives'!$E:$E,'Gap Analysis update'!$B66,'MoDi Initiatives'!$A:$A,'Gap Analysis update'!$A66,'MoDi Initiatives'!$B:$B,'Gap Analysis update'!Q$2)-SUMIFS('MoDi Initiatives'!O:O,'MoDi Initiatives'!$E:$E,'Gap Analysis update'!$B66,'MoDi Initiatives'!$A:$A,'Gap Analysis update'!$A66,'MoDi Initiatives'!$C:$C,'Gap Analysis update'!$B$7,'MoDi Initiatives'!$B:$B,'Gap Analysis update'!Q$2)</f>
        <v>0</v>
      </c>
      <c r="R66" s="288">
        <f>SUMIFS('MoDi Initiatives'!P:P,'MoDi Initiatives'!$E:$E,'Gap Analysis update'!$B66,'MoDi Initiatives'!$A:$A,'Gap Analysis update'!$A66,'MoDi Initiatives'!$B:$B,'Gap Analysis update'!R$2)-SUMIFS('MoDi Initiatives'!P:P,'MoDi Initiatives'!$E:$E,'Gap Analysis update'!$B66,'MoDi Initiatives'!$A:$A,'Gap Analysis update'!$A66,'MoDi Initiatives'!$C:$C,'Gap Analysis update'!$B$7,'MoDi Initiatives'!$B:$B,'Gap Analysis update'!R$2)</f>
        <v>0</v>
      </c>
      <c r="S66" s="288">
        <f>SUMIFS('MoDi Initiatives'!Q:Q,'MoDi Initiatives'!$E:$E,'Gap Analysis update'!$B66,'MoDi Initiatives'!$A:$A,'Gap Analysis update'!$A66,'MoDi Initiatives'!$B:$B,'Gap Analysis update'!S$2)-SUMIFS('MoDi Initiatives'!Q:Q,'MoDi Initiatives'!$E:$E,'Gap Analysis update'!$B66,'MoDi Initiatives'!$A:$A,'Gap Analysis update'!$A66,'MoDi Initiatives'!$C:$C,'Gap Analysis update'!$B$7,'MoDi Initiatives'!$B:$B,'Gap Analysis update'!S$2)</f>
        <v>0</v>
      </c>
      <c r="T66" s="288">
        <f>SUMIFS('MoDi Initiatives'!R:R,'MoDi Initiatives'!$E:$E,'Gap Analysis update'!$B66,'MoDi Initiatives'!$A:$A,'Gap Analysis update'!$A66,'MoDi Initiatives'!$B:$B,'Gap Analysis update'!T$2)-SUMIFS('MoDi Initiatives'!R:R,'MoDi Initiatives'!$E:$E,'Gap Analysis update'!$B66,'MoDi Initiatives'!$A:$A,'Gap Analysis update'!$A66,'MoDi Initiatives'!$C:$C,'Gap Analysis update'!$B$7,'MoDi Initiatives'!$B:$B,'Gap Analysis update'!T$2)</f>
        <v>-7.664517588016187E-3</v>
      </c>
      <c r="U66" s="288">
        <f>SUMIFS('MoDi Initiatives'!S:S,'MoDi Initiatives'!$E:$E,'Gap Analysis update'!$B66,'MoDi Initiatives'!$A:$A,'Gap Analysis update'!$A66,'MoDi Initiatives'!$B:$B,'Gap Analysis update'!U$2)-SUMIFS('MoDi Initiatives'!S:S,'MoDi Initiatives'!$E:$E,'Gap Analysis update'!$B66,'MoDi Initiatives'!$A:$A,'Gap Analysis update'!$A66,'MoDi Initiatives'!$C:$C,'Gap Analysis update'!$B$7,'MoDi Initiatives'!$B:$B,'Gap Analysis update'!U$2)</f>
        <v>0</v>
      </c>
      <c r="V66" s="288">
        <f>SUMIFS('MoDi Initiatives'!T:T,'MoDi Initiatives'!$E:$E,'Gap Analysis update'!$B66,'MoDi Initiatives'!$A:$A,'Gap Analysis update'!$A66,'MoDi Initiatives'!$B:$B,'Gap Analysis update'!V$2)-SUMIFS('MoDi Initiatives'!T:T,'MoDi Initiatives'!$E:$E,'Gap Analysis update'!$B66,'MoDi Initiatives'!$A:$A,'Gap Analysis update'!$A66,'MoDi Initiatives'!$C:$C,'Gap Analysis update'!$B$7,'MoDi Initiatives'!$B:$B,'Gap Analysis update'!V$2)</f>
        <v>0</v>
      </c>
      <c r="W66" s="288">
        <f>SUMIFS('MoDi Initiatives'!U:U,'MoDi Initiatives'!$E:$E,'Gap Analysis update'!$B66,'MoDi Initiatives'!$A:$A,'Gap Analysis update'!$A66,'MoDi Initiatives'!$B:$B,'Gap Analysis update'!W$2)-SUMIFS('MoDi Initiatives'!U:U,'MoDi Initiatives'!$E:$E,'Gap Analysis update'!$B66,'MoDi Initiatives'!$A:$A,'Gap Analysis update'!$A66,'MoDi Initiatives'!$C:$C,'Gap Analysis update'!$B$7,'MoDi Initiatives'!$B:$B,'Gap Analysis update'!W$2)</f>
        <v>0</v>
      </c>
      <c r="X66" s="288">
        <f>SUMIFS('MoDi Initiatives'!V:V,'MoDi Initiatives'!$E:$E,'Gap Analysis update'!$B66,'MoDi Initiatives'!$A:$A,'Gap Analysis update'!$A66,'MoDi Initiatives'!$B:$B,'Gap Analysis update'!X$2)-SUMIFS('MoDi Initiatives'!V:V,'MoDi Initiatives'!$E:$E,'Gap Analysis update'!$B66,'MoDi Initiatives'!$A:$A,'Gap Analysis update'!$A66,'MoDi Initiatives'!$C:$C,'Gap Analysis update'!$B$7,'MoDi Initiatives'!$B:$B,'Gap Analysis update'!X$2)</f>
        <v>0</v>
      </c>
      <c r="Y66" s="288">
        <f>SUMIFS('MoDi Initiatives'!W:W,'MoDi Initiatives'!$E:$E,'Gap Analysis update'!$B66,'MoDi Initiatives'!$A:$A,'Gap Analysis update'!$A66,'MoDi Initiatives'!$B:$B,'Gap Analysis update'!Y$2)-SUMIFS('MoDi Initiatives'!W:W,'MoDi Initiatives'!$E:$E,'Gap Analysis update'!$B66,'MoDi Initiatives'!$A:$A,'Gap Analysis update'!$A66,'MoDi Initiatives'!$C:$C,'Gap Analysis update'!$B$7,'MoDi Initiatives'!$B:$B,'Gap Analysis update'!Y$2)</f>
        <v>0</v>
      </c>
      <c r="Z66" s="293"/>
      <c r="AB66" s="298">
        <f>SUMIFS('MoDi Initiatives'!H:H,'MoDi Initiatives'!$E:$E,'Gap Analysis update'!$B66,'MoDi Initiatives'!$A:$A,'Gap Analysis update'!$A66,'MoDi Initiatives'!$B:$B,'Gap Analysis update'!AB$2)-SUMIFS('MoDi Initiatives'!H:H,'MoDi Initiatives'!$E:$E,'Gap Analysis update'!$B66,'MoDi Initiatives'!$A:$A,'Gap Analysis update'!$A66,'MoDi Initiatives'!$B:$B,'Gap Analysis update'!AB$2,'MoDi Initiatives'!$C:$C,'Gap Analysis update'!$B$7)</f>
        <v>0</v>
      </c>
      <c r="AC66" s="298">
        <f>SUMIFS('MoDi Initiatives'!I:I,'MoDi Initiatives'!$E:$E,'Gap Analysis update'!$B66,'MoDi Initiatives'!$A:$A,'Gap Analysis update'!$A66,'MoDi Initiatives'!$B:$B,'Gap Analysis update'!AC$2)-SUMIFS('MoDi Initiatives'!I:I,'MoDi Initiatives'!$E:$E,'Gap Analysis update'!$B66,'MoDi Initiatives'!$A:$A,'Gap Analysis update'!$A66,'MoDi Initiatives'!$B:$B,'Gap Analysis update'!AC$2,'MoDi Initiatives'!$C:$C,'Gap Analysis update'!$B$7)</f>
        <v>0</v>
      </c>
      <c r="AD66" s="299">
        <f>SUMIFS('MoDi Initiatives'!J:J,'MoDi Initiatives'!$E:$E,'Gap Analysis update'!$B66,'MoDi Initiatives'!$A:$A,'Gap Analysis update'!$A66,'MoDi Initiatives'!$B:$B,'Gap Analysis update'!AD$2)-SUMIFS('MoDi Initiatives'!J:J,'MoDi Initiatives'!$E:$E,'Gap Analysis update'!$B66,'MoDi Initiatives'!$A:$A,'Gap Analysis update'!$A66,'MoDi Initiatives'!$B:$B,'Gap Analysis update'!AD$2,'MoDi Initiatives'!$C:$C,'Gap Analysis update'!$B$7)</f>
        <v>-7.6105652040609787E-3</v>
      </c>
      <c r="AE66" s="298">
        <f>SUMIFS('MoDi Initiatives'!K:K,'MoDi Initiatives'!$E:$E,'Gap Analysis update'!$B66,'MoDi Initiatives'!$A:$A,'Gap Analysis update'!$A66,'MoDi Initiatives'!$B:$B,'Gap Analysis update'!AE$2)-SUMIFS('MoDi Initiatives'!K:K,'MoDi Initiatives'!$E:$E,'Gap Analysis update'!$B66,'MoDi Initiatives'!$A:$A,'Gap Analysis update'!$A66,'MoDi Initiatives'!$B:$B,'Gap Analysis update'!AE$2,'MoDi Initiatives'!$C:$C,'Gap Analysis update'!$B$7)</f>
        <v>0</v>
      </c>
      <c r="AF66" s="298">
        <f>SUMIFS('MoDi Initiatives'!L:L,'MoDi Initiatives'!$E:$E,'Gap Analysis update'!$B66,'MoDi Initiatives'!$A:$A,'Gap Analysis update'!$A66,'MoDi Initiatives'!$B:$B,'Gap Analysis update'!AF$2)-SUMIFS('MoDi Initiatives'!L:L,'MoDi Initiatives'!$E:$E,'Gap Analysis update'!$B66,'MoDi Initiatives'!$A:$A,'Gap Analysis update'!$A66,'MoDi Initiatives'!$B:$B,'Gap Analysis update'!AF$2,'MoDi Initiatives'!$C:$C,'Gap Analysis update'!$B$7)</f>
        <v>0</v>
      </c>
      <c r="AG66" s="298">
        <f>SUMIFS('MoDi Initiatives'!M:M,'MoDi Initiatives'!$E:$E,'Gap Analysis update'!$B66,'MoDi Initiatives'!$A:$A,'Gap Analysis update'!$A66,'MoDi Initiatives'!$B:$B,'Gap Analysis update'!AG$2)-SUMIFS('MoDi Initiatives'!M:M,'MoDi Initiatives'!$E:$E,'Gap Analysis update'!$B66,'MoDi Initiatives'!$A:$A,'Gap Analysis update'!$A66,'MoDi Initiatives'!$B:$B,'Gap Analysis update'!AG$2,'MoDi Initiatives'!$C:$C,'Gap Analysis update'!$B$7)</f>
        <v>0</v>
      </c>
      <c r="AH66" s="298">
        <f>SUMIFS('MoDi Initiatives'!N:N,'MoDi Initiatives'!$E:$E,'Gap Analysis update'!$B66,'MoDi Initiatives'!$A:$A,'Gap Analysis update'!$A66,'MoDi Initiatives'!$B:$B,'Gap Analysis update'!AH$2)-SUMIFS('MoDi Initiatives'!N:N,'MoDi Initiatives'!$E:$E,'Gap Analysis update'!$B66,'MoDi Initiatives'!$A:$A,'Gap Analysis update'!$A66,'MoDi Initiatives'!$B:$B,'Gap Analysis update'!AH$2,'MoDi Initiatives'!$C:$C,'Gap Analysis update'!$B$7)</f>
        <v>0</v>
      </c>
      <c r="AI66" s="298">
        <f>SUMIFS('MoDi Initiatives'!O:O,'MoDi Initiatives'!$E:$E,'Gap Analysis update'!$B66,'MoDi Initiatives'!$A:$A,'Gap Analysis update'!$A66,'MoDi Initiatives'!$B:$B,'Gap Analysis update'!AI$2)-SUMIFS('MoDi Initiatives'!O:O,'MoDi Initiatives'!$E:$E,'Gap Analysis update'!$B66,'MoDi Initiatives'!$A:$A,'Gap Analysis update'!$A66,'MoDi Initiatives'!$B:$B,'Gap Analysis update'!AI$2,'MoDi Initiatives'!$C:$C,'Gap Analysis update'!$B$7)</f>
        <v>0</v>
      </c>
      <c r="AJ66" s="298">
        <f>SUMIFS('MoDi Initiatives'!P:P,'MoDi Initiatives'!$E:$E,'Gap Analysis update'!$B66,'MoDi Initiatives'!$A:$A,'Gap Analysis update'!$A66,'MoDi Initiatives'!$B:$B,'Gap Analysis update'!AJ$2)-SUMIFS('MoDi Initiatives'!P:P,'MoDi Initiatives'!$E:$E,'Gap Analysis update'!$B66,'MoDi Initiatives'!$A:$A,'Gap Analysis update'!$A66,'MoDi Initiatives'!$B:$B,'Gap Analysis update'!AJ$2,'MoDi Initiatives'!$C:$C,'Gap Analysis update'!$B$7)</f>
        <v>0</v>
      </c>
      <c r="AK66" s="298">
        <f>SUMIFS('MoDi Initiatives'!Q:Q,'MoDi Initiatives'!$E:$E,'Gap Analysis update'!$B66,'MoDi Initiatives'!$A:$A,'Gap Analysis update'!$A66,'MoDi Initiatives'!$B:$B,'Gap Analysis update'!AK$2)-SUMIFS('MoDi Initiatives'!Q:Q,'MoDi Initiatives'!$E:$E,'Gap Analysis update'!$B66,'MoDi Initiatives'!$A:$A,'Gap Analysis update'!$A66,'MoDi Initiatives'!$B:$B,'Gap Analysis update'!AK$2,'MoDi Initiatives'!$C:$C,'Gap Analysis update'!$B$7)</f>
        <v>0</v>
      </c>
      <c r="AL66" s="298">
        <f>SUMIFS('MoDi Initiatives'!R:R,'MoDi Initiatives'!$E:$E,'Gap Analysis update'!$B66,'MoDi Initiatives'!$A:$A,'Gap Analysis update'!$A66,'MoDi Initiatives'!$B:$B,'Gap Analysis update'!AL$2)-SUMIFS('MoDi Initiatives'!R:R,'MoDi Initiatives'!$E:$E,'Gap Analysis update'!$B66,'MoDi Initiatives'!$A:$A,'Gap Analysis update'!$A66,'MoDi Initiatives'!$B:$B,'Gap Analysis update'!AL$2,'MoDi Initiatives'!$C:$C,'Gap Analysis update'!$B$7)</f>
        <v>-7.664517588016187E-3</v>
      </c>
      <c r="AM66" s="299">
        <f>SUMIFS('MoDi Initiatives'!S:S,'MoDi Initiatives'!$E:$E,'Gap Analysis update'!$B66,'MoDi Initiatives'!$A:$A,'Gap Analysis update'!$A66,'MoDi Initiatives'!$B:$B,'Gap Analysis update'!AM$2)-SUMIFS('MoDi Initiatives'!S:S,'MoDi Initiatives'!$E:$E,'Gap Analysis update'!$B66,'MoDi Initiatives'!$A:$A,'Gap Analysis update'!$A66,'MoDi Initiatives'!$B:$B,'Gap Analysis update'!AM$2,'MoDi Initiatives'!$C:$C,'Gap Analysis update'!$B$7)</f>
        <v>0</v>
      </c>
      <c r="AN66" s="298">
        <f>SUMIFS('MoDi Initiatives'!T:T,'MoDi Initiatives'!$E:$E,'Gap Analysis update'!$B66,'MoDi Initiatives'!$A:$A,'Gap Analysis update'!$A66,'MoDi Initiatives'!$B:$B,'Gap Analysis update'!AN$2)-SUMIFS('MoDi Initiatives'!T:T,'MoDi Initiatives'!$E:$E,'Gap Analysis update'!$B66,'MoDi Initiatives'!$A:$A,'Gap Analysis update'!$A66,'MoDi Initiatives'!$B:$B,'Gap Analysis update'!AN$2,'MoDi Initiatives'!$C:$C,'Gap Analysis update'!$B$7)</f>
        <v>0</v>
      </c>
      <c r="AO66" s="298">
        <f>SUMIFS('MoDi Initiatives'!U:U,'MoDi Initiatives'!$E:$E,'Gap Analysis update'!$B66,'MoDi Initiatives'!$A:$A,'Gap Analysis update'!$A66,'MoDi Initiatives'!$B:$B,'Gap Analysis update'!AO$2)-SUMIFS('MoDi Initiatives'!U:U,'MoDi Initiatives'!$E:$E,'Gap Analysis update'!$B66,'MoDi Initiatives'!$A:$A,'Gap Analysis update'!$A66,'MoDi Initiatives'!$B:$B,'Gap Analysis update'!AO$2,'MoDi Initiatives'!$C:$C,'Gap Analysis update'!$B$7)</f>
        <v>0</v>
      </c>
      <c r="AP66" s="298">
        <f>SUMIFS('MoDi Initiatives'!V:V,'MoDi Initiatives'!$E:$E,'Gap Analysis update'!$B66,'MoDi Initiatives'!$A:$A,'Gap Analysis update'!$A66,'MoDi Initiatives'!$B:$B,'Gap Analysis update'!AP$2)-SUMIFS('MoDi Initiatives'!V:V,'MoDi Initiatives'!$E:$E,'Gap Analysis update'!$B66,'MoDi Initiatives'!$A:$A,'Gap Analysis update'!$A66,'MoDi Initiatives'!$B:$B,'Gap Analysis update'!AP$2,'MoDi Initiatives'!$C:$C,'Gap Analysis update'!$B$7)</f>
        <v>0</v>
      </c>
      <c r="AQ66" s="298">
        <f>SUMIFS('MoDi Initiatives'!W:W,'MoDi Initiatives'!$E:$E,'Gap Analysis update'!$B66,'MoDi Initiatives'!$A:$A,'Gap Analysis update'!$A66,'MoDi Initiatives'!$B:$B,'Gap Analysis update'!AQ$2)-SUMIFS('MoDi Initiatives'!W:W,'MoDi Initiatives'!$E:$E,'Gap Analysis update'!$B66,'MoDi Initiatives'!$A:$A,'Gap Analysis update'!$A66,'MoDi Initiatives'!$B:$B,'Gap Analysis update'!AQ$2,'MoDi Initiatives'!$C:$C,'Gap Analysis update'!$B$7)</f>
        <v>0</v>
      </c>
      <c r="AR66" s="293"/>
      <c r="AS66" s="303"/>
      <c r="AT66" s="289">
        <f t="shared" si="60"/>
        <v>0</v>
      </c>
      <c r="AU66" s="303">
        <f t="shared" si="60"/>
        <v>0</v>
      </c>
      <c r="AV66" s="303">
        <f t="shared" si="60"/>
        <v>-7.6105652040609787E-3</v>
      </c>
      <c r="AW66" s="303">
        <f t="shared" si="60"/>
        <v>7.664517588016187E-3</v>
      </c>
      <c r="AX66" s="303">
        <f t="shared" si="60"/>
        <v>0</v>
      </c>
      <c r="AY66" s="303">
        <f t="shared" si="60"/>
        <v>0</v>
      </c>
      <c r="AZ66" s="303">
        <f t="shared" si="60"/>
        <v>0</v>
      </c>
      <c r="BA66" s="303">
        <f t="shared" si="60"/>
        <v>0</v>
      </c>
      <c r="BB66" s="303">
        <f t="shared" si="60"/>
        <v>0</v>
      </c>
      <c r="BC66" s="303">
        <f t="shared" si="60"/>
        <v>0</v>
      </c>
      <c r="BD66" s="303">
        <f t="shared" si="60"/>
        <v>0</v>
      </c>
      <c r="BE66" s="303">
        <f t="shared" si="60"/>
        <v>0</v>
      </c>
      <c r="BF66" s="303">
        <f t="shared" si="60"/>
        <v>0</v>
      </c>
      <c r="BG66" s="303">
        <f t="shared" si="60"/>
        <v>0</v>
      </c>
      <c r="BH66" s="303">
        <f t="shared" si="60"/>
        <v>0</v>
      </c>
      <c r="BI66" s="303">
        <f t="shared" si="60"/>
        <v>0</v>
      </c>
      <c r="BJ66" s="293"/>
      <c r="BK66" s="302"/>
      <c r="BL66" s="302"/>
      <c r="BM66" s="302"/>
      <c r="BN66" s="302"/>
      <c r="BO66" s="302"/>
      <c r="BP66" s="302"/>
      <c r="BQ66" s="302"/>
      <c r="BR66" s="302"/>
      <c r="BS66" s="302"/>
      <c r="BT66" s="302"/>
      <c r="BU66" s="302"/>
      <c r="BV66" s="302"/>
      <c r="BW66" s="302"/>
      <c r="BX66" s="302"/>
      <c r="BY66" s="302"/>
      <c r="BZ66" s="302"/>
      <c r="CA66" s="302"/>
    </row>
    <row r="67" spans="1:80" s="298" customFormat="1" ht="39">
      <c r="A67" s="296" t="s">
        <v>131</v>
      </c>
      <c r="B67" s="287" t="s">
        <v>58</v>
      </c>
      <c r="C67" s="288">
        <f t="shared" si="62"/>
        <v>-5.8288264951627974E-5</v>
      </c>
      <c r="D67" s="289">
        <f t="shared" si="61"/>
        <v>1.9303579620727658E-4</v>
      </c>
      <c r="E67" s="289">
        <f t="shared" si="8"/>
        <v>1.3474753125564861E-4</v>
      </c>
      <c r="F67" s="306"/>
      <c r="G67" s="286"/>
      <c r="H67" s="297"/>
      <c r="J67" s="288"/>
      <c r="K67" s="288"/>
      <c r="L67" s="288">
        <f>SUMIFS('MoDi Initiatives'!J:J,'MoDi Initiatives'!$E:$E,'Gap Analysis update'!$B67,'MoDi Initiatives'!$A:$A,'Gap Analysis update'!$A67,'MoDi Initiatives'!$B:$B,'Gap Analysis update'!L$2)-SUMIFS('MoDi Initiatives'!J:J,'MoDi Initiatives'!$E:$E,'Gap Analysis update'!$B67,'MoDi Initiatives'!$A:$A,'Gap Analysis update'!$A67,'MoDi Initiatives'!$C:$C,'Gap Analysis update'!$B$7,'MoDi Initiatives'!$B:$B,'Gap Analysis update'!L$2)</f>
        <v>0</v>
      </c>
      <c r="M67" s="288">
        <f>SUMIFS('MoDi Initiatives'!K:K,'MoDi Initiatives'!$E:$E,'Gap Analysis update'!$B67,'MoDi Initiatives'!$A:$A,'Gap Analysis update'!$A67,'MoDi Initiatives'!$B:$B,'Gap Analysis update'!M$2)-SUMIFS('MoDi Initiatives'!K:K,'MoDi Initiatives'!$E:$E,'Gap Analysis update'!$B67,'MoDi Initiatives'!$A:$A,'Gap Analysis update'!$A67,'MoDi Initiatives'!$C:$C,'Gap Analysis update'!$B$7,'MoDi Initiatives'!$B:$B,'Gap Analysis update'!M$2)</f>
        <v>0</v>
      </c>
      <c r="N67" s="288">
        <f>SUMIFS('MoDi Initiatives'!L:L,'MoDi Initiatives'!$E:$E,'Gap Analysis update'!$B67,'MoDi Initiatives'!$A:$A,'Gap Analysis update'!$A67,'MoDi Initiatives'!$B:$B,'Gap Analysis update'!N$2)-SUMIFS('MoDi Initiatives'!L:L,'MoDi Initiatives'!$E:$E,'Gap Analysis update'!$B67,'MoDi Initiatives'!$A:$A,'Gap Analysis update'!$A67,'MoDi Initiatives'!$C:$C,'Gap Analysis update'!$B$7,'MoDi Initiatives'!$B:$B,'Gap Analysis update'!N$2)</f>
        <v>0</v>
      </c>
      <c r="O67" s="288">
        <f>SUMIFS('MoDi Initiatives'!M:M,'MoDi Initiatives'!$E:$E,'Gap Analysis update'!$B67,'MoDi Initiatives'!$A:$A,'Gap Analysis update'!$A67,'MoDi Initiatives'!$B:$B,'Gap Analysis update'!O$2)-SUMIFS('MoDi Initiatives'!M:M,'MoDi Initiatives'!$E:$E,'Gap Analysis update'!$B67,'MoDi Initiatives'!$A:$A,'Gap Analysis update'!$A67,'MoDi Initiatives'!$C:$C,'Gap Analysis update'!$B$7,'MoDi Initiatives'!$B:$B,'Gap Analysis update'!O$2)</f>
        <v>0</v>
      </c>
      <c r="P67" s="288">
        <f>SUMIFS('MoDi Initiatives'!N:N,'MoDi Initiatives'!$E:$E,'Gap Analysis update'!$B67,'MoDi Initiatives'!$A:$A,'Gap Analysis update'!$A67,'MoDi Initiatives'!$B:$B,'Gap Analysis update'!P$2)-SUMIFS('MoDi Initiatives'!N:N,'MoDi Initiatives'!$E:$E,'Gap Analysis update'!$B67,'MoDi Initiatives'!$A:$A,'Gap Analysis update'!$A67,'MoDi Initiatives'!$C:$C,'Gap Analysis update'!$B$7,'MoDi Initiatives'!$B:$B,'Gap Analysis update'!P$2)</f>
        <v>-9.5806469850202337E-3</v>
      </c>
      <c r="Q67" s="288">
        <f>SUMIFS('MoDi Initiatives'!O:O,'MoDi Initiatives'!$E:$E,'Gap Analysis update'!$B67,'MoDi Initiatives'!$A:$A,'Gap Analysis update'!$A67,'MoDi Initiatives'!$B:$B,'Gap Analysis update'!Q$2)-SUMIFS('MoDi Initiatives'!O:O,'MoDi Initiatives'!$E:$E,'Gap Analysis update'!$B67,'MoDi Initiatives'!$A:$A,'Gap Analysis update'!$A67,'MoDi Initiatives'!$C:$C,'Gap Analysis update'!$B$7,'MoDi Initiatives'!$B:$B,'Gap Analysis update'!Q$2)</f>
        <v>0</v>
      </c>
      <c r="R67" s="288">
        <f>SUMIFS('MoDi Initiatives'!P:P,'MoDi Initiatives'!$E:$E,'Gap Analysis update'!$B67,'MoDi Initiatives'!$A:$A,'Gap Analysis update'!$A67,'MoDi Initiatives'!$B:$B,'Gap Analysis update'!R$2)-SUMIFS('MoDi Initiatives'!P:P,'MoDi Initiatives'!$E:$E,'Gap Analysis update'!$B67,'MoDi Initiatives'!$A:$A,'Gap Analysis update'!$A67,'MoDi Initiatives'!$C:$C,'Gap Analysis update'!$B$7,'MoDi Initiatives'!$B:$B,'Gap Analysis update'!R$2)</f>
        <v>0</v>
      </c>
      <c r="S67" s="288">
        <f>SUMIFS('MoDi Initiatives'!Q:Q,'MoDi Initiatives'!$E:$E,'Gap Analysis update'!$B67,'MoDi Initiatives'!$A:$A,'Gap Analysis update'!$A67,'MoDi Initiatives'!$B:$B,'Gap Analysis update'!S$2)-SUMIFS('MoDi Initiatives'!Q:Q,'MoDi Initiatives'!$E:$E,'Gap Analysis update'!$B67,'MoDi Initiatives'!$A:$A,'Gap Analysis update'!$A67,'MoDi Initiatives'!$C:$C,'Gap Analysis update'!$B$7,'MoDi Initiatives'!$B:$B,'Gap Analysis update'!S$2)</f>
        <v>0</v>
      </c>
      <c r="T67" s="288">
        <f>SUMIFS('MoDi Initiatives'!R:R,'MoDi Initiatives'!$E:$E,'Gap Analysis update'!$B67,'MoDi Initiatives'!$A:$A,'Gap Analysis update'!$A67,'MoDi Initiatives'!$B:$B,'Gap Analysis update'!T$2)-SUMIFS('MoDi Initiatives'!R:R,'MoDi Initiatives'!$E:$E,'Gap Analysis update'!$B67,'MoDi Initiatives'!$A:$A,'Gap Analysis update'!$A67,'MoDi Initiatives'!$C:$C,'Gap Analysis update'!$B$7,'MoDi Initiatives'!$B:$B,'Gap Analysis update'!T$2)</f>
        <v>0</v>
      </c>
      <c r="U67" s="288">
        <f>SUMIFS('MoDi Initiatives'!S:S,'MoDi Initiatives'!$E:$E,'Gap Analysis update'!$B67,'MoDi Initiatives'!$A:$A,'Gap Analysis update'!$A67,'MoDi Initiatives'!$B:$B,'Gap Analysis update'!U$2)-SUMIFS('MoDi Initiatives'!S:S,'MoDi Initiatives'!$E:$E,'Gap Analysis update'!$B67,'MoDi Initiatives'!$A:$A,'Gap Analysis update'!$A67,'MoDi Initiatives'!$C:$C,'Gap Analysis update'!$B$7,'MoDi Initiatives'!$B:$B,'Gap Analysis update'!U$2)</f>
        <v>0</v>
      </c>
      <c r="V67" s="288">
        <f>SUMIFS('MoDi Initiatives'!T:T,'MoDi Initiatives'!$E:$E,'Gap Analysis update'!$B67,'MoDi Initiatives'!$A:$A,'Gap Analysis update'!$A67,'MoDi Initiatives'!$B:$B,'Gap Analysis update'!V$2)-SUMIFS('MoDi Initiatives'!T:T,'MoDi Initiatives'!$E:$E,'Gap Analysis update'!$B67,'MoDi Initiatives'!$A:$A,'Gap Analysis update'!$A67,'MoDi Initiatives'!$C:$C,'Gap Analysis update'!$B$7,'MoDi Initiatives'!$B:$B,'Gap Analysis update'!V$2)</f>
        <v>0</v>
      </c>
      <c r="W67" s="288">
        <f>SUMIFS('MoDi Initiatives'!U:U,'MoDi Initiatives'!$E:$E,'Gap Analysis update'!$B67,'MoDi Initiatives'!$A:$A,'Gap Analysis update'!$A67,'MoDi Initiatives'!$B:$B,'Gap Analysis update'!W$2)-SUMIFS('MoDi Initiatives'!U:U,'MoDi Initiatives'!$E:$E,'Gap Analysis update'!$B67,'MoDi Initiatives'!$A:$A,'Gap Analysis update'!$A67,'MoDi Initiatives'!$C:$C,'Gap Analysis update'!$B$7,'MoDi Initiatives'!$B:$B,'Gap Analysis update'!W$2)</f>
        <v>0</v>
      </c>
      <c r="X67" s="288">
        <f>SUMIFS('MoDi Initiatives'!V:V,'MoDi Initiatives'!$E:$E,'Gap Analysis update'!$B67,'MoDi Initiatives'!$A:$A,'Gap Analysis update'!$A67,'MoDi Initiatives'!$B:$B,'Gap Analysis update'!X$2)-SUMIFS('MoDi Initiatives'!V:V,'MoDi Initiatives'!$E:$E,'Gap Analysis update'!$B67,'MoDi Initiatives'!$A:$A,'Gap Analysis update'!$A67,'MoDi Initiatives'!$C:$C,'Gap Analysis update'!$B$7,'MoDi Initiatives'!$B:$B,'Gap Analysis update'!X$2)</f>
        <v>0</v>
      </c>
      <c r="Y67" s="288">
        <f>SUMIFS('MoDi Initiatives'!W:W,'MoDi Initiatives'!$E:$E,'Gap Analysis update'!$B67,'MoDi Initiatives'!$A:$A,'Gap Analysis update'!$A67,'MoDi Initiatives'!$B:$B,'Gap Analysis update'!Y$2)-SUMIFS('MoDi Initiatives'!W:W,'MoDi Initiatives'!$E:$E,'Gap Analysis update'!$B67,'MoDi Initiatives'!$A:$A,'Gap Analysis update'!$A67,'MoDi Initiatives'!$C:$C,'Gap Analysis update'!$B$7,'MoDi Initiatives'!$B:$B,'Gap Analysis update'!Y$2)</f>
        <v>0</v>
      </c>
      <c r="Z67" s="293"/>
      <c r="AB67" s="298">
        <f>SUMIFS('MoDi Initiatives'!H:H,'MoDi Initiatives'!$E:$E,'Gap Analysis update'!$B67,'MoDi Initiatives'!$A:$A,'Gap Analysis update'!$A67,'MoDi Initiatives'!$B:$B,'Gap Analysis update'!AB$2)-SUMIFS('MoDi Initiatives'!H:H,'MoDi Initiatives'!$E:$E,'Gap Analysis update'!$B67,'MoDi Initiatives'!$A:$A,'Gap Analysis update'!$A67,'MoDi Initiatives'!$B:$B,'Gap Analysis update'!AB$2,'MoDi Initiatives'!$C:$C,'Gap Analysis update'!$B$7)</f>
        <v>0</v>
      </c>
      <c r="AC67" s="298">
        <f>SUMIFS('MoDi Initiatives'!I:I,'MoDi Initiatives'!$E:$E,'Gap Analysis update'!$B67,'MoDi Initiatives'!$A:$A,'Gap Analysis update'!$A67,'MoDi Initiatives'!$B:$B,'Gap Analysis update'!AC$2)-SUMIFS('MoDi Initiatives'!I:I,'MoDi Initiatives'!$E:$E,'Gap Analysis update'!$B67,'MoDi Initiatives'!$A:$A,'Gap Analysis update'!$A67,'MoDi Initiatives'!$B:$B,'Gap Analysis update'!AC$2,'MoDi Initiatives'!$C:$C,'Gap Analysis update'!$B$7)</f>
        <v>0</v>
      </c>
      <c r="AD67" s="298">
        <f>SUMIFS('MoDi Initiatives'!J:J,'MoDi Initiatives'!$E:$E,'Gap Analysis update'!$B67,'MoDi Initiatives'!$A:$A,'Gap Analysis update'!$A67,'MoDi Initiatives'!$B:$B,'Gap Analysis update'!AD$2)-SUMIFS('MoDi Initiatives'!J:J,'MoDi Initiatives'!$E:$E,'Gap Analysis update'!$B67,'MoDi Initiatives'!$A:$A,'Gap Analysis update'!$A67,'MoDi Initiatives'!$B:$B,'Gap Analysis update'!AD$2,'MoDi Initiatives'!$C:$C,'Gap Analysis update'!$B$7)</f>
        <v>-8.9206560543243318E-5</v>
      </c>
      <c r="AE67" s="298">
        <f>SUMIFS('MoDi Initiatives'!K:K,'MoDi Initiatives'!$E:$E,'Gap Analysis update'!$B67,'MoDi Initiatives'!$A:$A,'Gap Analysis update'!$A67,'MoDi Initiatives'!$B:$B,'Gap Analysis update'!AE$2)-SUMIFS('MoDi Initiatives'!K:K,'MoDi Initiatives'!$E:$E,'Gap Analysis update'!$B67,'MoDi Initiatives'!$A:$A,'Gap Analysis update'!$A67,'MoDi Initiatives'!$B:$B,'Gap Analysis update'!AE$2,'MoDi Initiatives'!$C:$C,'Gap Analysis update'!$B$7)</f>
        <v>0</v>
      </c>
      <c r="AF67" s="298">
        <f>SUMIFS('MoDi Initiatives'!L:L,'MoDi Initiatives'!$E:$E,'Gap Analysis update'!$B67,'MoDi Initiatives'!$A:$A,'Gap Analysis update'!$A67,'MoDi Initiatives'!$B:$B,'Gap Analysis update'!AF$2)-SUMIFS('MoDi Initiatives'!L:L,'MoDi Initiatives'!$E:$E,'Gap Analysis update'!$B67,'MoDi Initiatives'!$A:$A,'Gap Analysis update'!$A67,'MoDi Initiatives'!$B:$B,'Gap Analysis update'!AF$2,'MoDi Initiatives'!$C:$C,'Gap Analysis update'!$B$7)</f>
        <v>0</v>
      </c>
      <c r="AG67" s="298">
        <f>SUMIFS('MoDi Initiatives'!M:M,'MoDi Initiatives'!$E:$E,'Gap Analysis update'!$B67,'MoDi Initiatives'!$A:$A,'Gap Analysis update'!$A67,'MoDi Initiatives'!$B:$B,'Gap Analysis update'!AG$2)-SUMIFS('MoDi Initiatives'!M:M,'MoDi Initiatives'!$E:$E,'Gap Analysis update'!$B67,'MoDi Initiatives'!$A:$A,'Gap Analysis update'!$A67,'MoDi Initiatives'!$B:$B,'Gap Analysis update'!AG$2,'MoDi Initiatives'!$C:$C,'Gap Analysis update'!$B$7)</f>
        <v>-5.5424059056017223E-3</v>
      </c>
      <c r="AH67" s="298">
        <f>SUMIFS('MoDi Initiatives'!N:N,'MoDi Initiatives'!$E:$E,'Gap Analysis update'!$B67,'MoDi Initiatives'!$A:$A,'Gap Analysis update'!$A67,'MoDi Initiatives'!$B:$B,'Gap Analysis update'!AH$2)-SUMIFS('MoDi Initiatives'!N:N,'MoDi Initiatives'!$E:$E,'Gap Analysis update'!$B67,'MoDi Initiatives'!$A:$A,'Gap Analysis update'!$A67,'MoDi Initiatives'!$B:$B,'Gap Analysis update'!AH$2,'MoDi Initiatives'!$C:$C,'Gap Analysis update'!$B$7)</f>
        <v>-3.849791916340752E-3</v>
      </c>
      <c r="AI67" s="298">
        <f>SUMIFS('MoDi Initiatives'!O:O,'MoDi Initiatives'!$E:$E,'Gap Analysis update'!$B67,'MoDi Initiatives'!$A:$A,'Gap Analysis update'!$A67,'MoDi Initiatives'!$B:$B,'Gap Analysis update'!AI$2)-SUMIFS('MoDi Initiatives'!O:O,'MoDi Initiatives'!$E:$E,'Gap Analysis update'!$B67,'MoDi Initiatives'!$A:$A,'Gap Analysis update'!$A67,'MoDi Initiatives'!$B:$B,'Gap Analysis update'!AI$2,'MoDi Initiatives'!$C:$C,'Gap Analysis update'!$B$7)</f>
        <v>-1.5753086748614443E-4</v>
      </c>
      <c r="AJ67" s="292">
        <f>SUMIFS('MoDi Initiatives'!P:P,'MoDi Initiatives'!$E:$E,'Gap Analysis update'!$B67,'MoDi Initiatives'!$A:$A,'Gap Analysis update'!$A67,'MoDi Initiatives'!$B:$B,'Gap Analysis update'!AJ$2)-SUMIFS('MoDi Initiatives'!P:P,'MoDi Initiatives'!$E:$E,'Gap Analysis update'!$B67,'MoDi Initiatives'!$A:$A,'Gap Analysis update'!$A67,'MoDi Initiatives'!$B:$B,'Gap Analysis update'!AJ$2,'MoDi Initiatives'!$C:$C,'Gap Analysis update'!$B$7)</f>
        <v>1.9303579620727658E-4</v>
      </c>
      <c r="AK67" s="298">
        <f>SUMIFS('MoDi Initiatives'!Q:Q,'MoDi Initiatives'!$E:$E,'Gap Analysis update'!$B67,'MoDi Initiatives'!$A:$A,'Gap Analysis update'!$A67,'MoDi Initiatives'!$B:$B,'Gap Analysis update'!AK$2)-SUMIFS('MoDi Initiatives'!Q:Q,'MoDi Initiatives'!$E:$E,'Gap Analysis update'!$B67,'MoDi Initiatives'!$A:$A,'Gap Analysis update'!$A67,'MoDi Initiatives'!$B:$B,'Gap Analysis update'!AK$2,'MoDi Initiatives'!$C:$C,'Gap Analysis update'!$B$7)</f>
        <v>0</v>
      </c>
      <c r="AL67" s="298">
        <f>SUMIFS('MoDi Initiatives'!R:R,'MoDi Initiatives'!$E:$E,'Gap Analysis update'!$B67,'MoDi Initiatives'!$A:$A,'Gap Analysis update'!$A67,'MoDi Initiatives'!$B:$B,'Gap Analysis update'!AL$2)-SUMIFS('MoDi Initiatives'!R:R,'MoDi Initiatives'!$E:$E,'Gap Analysis update'!$B67,'MoDi Initiatives'!$A:$A,'Gap Analysis update'!$A67,'MoDi Initiatives'!$B:$B,'Gap Analysis update'!AL$2,'MoDi Initiatives'!$C:$C,'Gap Analysis update'!$B$7)</f>
        <v>0</v>
      </c>
      <c r="AM67" s="298">
        <f>SUMIFS('MoDi Initiatives'!S:S,'MoDi Initiatives'!$E:$E,'Gap Analysis update'!$B67,'MoDi Initiatives'!$A:$A,'Gap Analysis update'!$A67,'MoDi Initiatives'!$B:$B,'Gap Analysis update'!AM$2)-SUMIFS('MoDi Initiatives'!S:S,'MoDi Initiatives'!$E:$E,'Gap Analysis update'!$B67,'MoDi Initiatives'!$A:$A,'Gap Analysis update'!$A67,'MoDi Initiatives'!$B:$B,'Gap Analysis update'!AM$2,'MoDi Initiatives'!$C:$C,'Gap Analysis update'!$B$7)</f>
        <v>0</v>
      </c>
      <c r="AN67" s="298">
        <f>SUMIFS('MoDi Initiatives'!T:T,'MoDi Initiatives'!$E:$E,'Gap Analysis update'!$B67,'MoDi Initiatives'!$A:$A,'Gap Analysis update'!$A67,'MoDi Initiatives'!$B:$B,'Gap Analysis update'!AN$2)-SUMIFS('MoDi Initiatives'!T:T,'MoDi Initiatives'!$E:$E,'Gap Analysis update'!$B67,'MoDi Initiatives'!$A:$A,'Gap Analysis update'!$A67,'MoDi Initiatives'!$B:$B,'Gap Analysis update'!AN$2,'MoDi Initiatives'!$C:$C,'Gap Analysis update'!$B$7)</f>
        <v>0</v>
      </c>
      <c r="AO67" s="298">
        <f>SUMIFS('MoDi Initiatives'!U:U,'MoDi Initiatives'!$E:$E,'Gap Analysis update'!$B67,'MoDi Initiatives'!$A:$A,'Gap Analysis update'!$A67,'MoDi Initiatives'!$B:$B,'Gap Analysis update'!AO$2)-SUMIFS('MoDi Initiatives'!U:U,'MoDi Initiatives'!$E:$E,'Gap Analysis update'!$B67,'MoDi Initiatives'!$A:$A,'Gap Analysis update'!$A67,'MoDi Initiatives'!$B:$B,'Gap Analysis update'!AO$2,'MoDi Initiatives'!$C:$C,'Gap Analysis update'!$B$7)</f>
        <v>0</v>
      </c>
      <c r="AP67" s="298">
        <f>SUMIFS('MoDi Initiatives'!V:V,'MoDi Initiatives'!$E:$E,'Gap Analysis update'!$B67,'MoDi Initiatives'!$A:$A,'Gap Analysis update'!$A67,'MoDi Initiatives'!$B:$B,'Gap Analysis update'!AP$2)-SUMIFS('MoDi Initiatives'!V:V,'MoDi Initiatives'!$E:$E,'Gap Analysis update'!$B67,'MoDi Initiatives'!$A:$A,'Gap Analysis update'!$A67,'MoDi Initiatives'!$B:$B,'Gap Analysis update'!AP$2,'MoDi Initiatives'!$C:$C,'Gap Analysis update'!$B$7)</f>
        <v>0</v>
      </c>
      <c r="AQ67" s="298">
        <f>SUMIFS('MoDi Initiatives'!W:W,'MoDi Initiatives'!$E:$E,'Gap Analysis update'!$B67,'MoDi Initiatives'!$A:$A,'Gap Analysis update'!$A67,'MoDi Initiatives'!$B:$B,'Gap Analysis update'!AQ$2)-SUMIFS('MoDi Initiatives'!W:W,'MoDi Initiatives'!$E:$E,'Gap Analysis update'!$B67,'MoDi Initiatives'!$A:$A,'Gap Analysis update'!$A67,'MoDi Initiatives'!$B:$B,'Gap Analysis update'!AQ$2,'MoDi Initiatives'!$C:$C,'Gap Analysis update'!$B$7)</f>
        <v>0</v>
      </c>
      <c r="AR67" s="293"/>
      <c r="AS67" s="303"/>
      <c r="AT67" s="289">
        <f t="shared" si="60"/>
        <v>0</v>
      </c>
      <c r="AU67" s="303">
        <f t="shared" si="60"/>
        <v>0</v>
      </c>
      <c r="AV67" s="303">
        <f t="shared" si="60"/>
        <v>-8.9206560543243318E-5</v>
      </c>
      <c r="AW67" s="303">
        <f t="shared" si="60"/>
        <v>0</v>
      </c>
      <c r="AX67" s="303">
        <f t="shared" si="60"/>
        <v>0</v>
      </c>
      <c r="AY67" s="303">
        <f t="shared" si="60"/>
        <v>-5.5424059056017223E-3</v>
      </c>
      <c r="AZ67" s="303">
        <f t="shared" si="60"/>
        <v>5.7308550686794822E-3</v>
      </c>
      <c r="BA67" s="303">
        <f t="shared" si="60"/>
        <v>-1.5753086748614443E-4</v>
      </c>
      <c r="BB67" s="303">
        <f t="shared" si="60"/>
        <v>1.9303579620727658E-4</v>
      </c>
      <c r="BC67" s="303">
        <f t="shared" si="60"/>
        <v>0</v>
      </c>
      <c r="BD67" s="303">
        <f t="shared" si="60"/>
        <v>0</v>
      </c>
      <c r="BE67" s="303">
        <f t="shared" si="60"/>
        <v>0</v>
      </c>
      <c r="BF67" s="303">
        <f t="shared" si="60"/>
        <v>0</v>
      </c>
      <c r="BG67" s="303">
        <f t="shared" si="60"/>
        <v>0</v>
      </c>
      <c r="BH67" s="303">
        <f t="shared" si="60"/>
        <v>0</v>
      </c>
      <c r="BI67" s="303">
        <f t="shared" si="60"/>
        <v>0</v>
      </c>
      <c r="BJ67" s="293"/>
      <c r="BK67" s="302"/>
      <c r="BL67" s="302"/>
      <c r="BM67" s="302"/>
      <c r="BN67" s="302" t="s">
        <v>62</v>
      </c>
      <c r="BO67" s="302"/>
      <c r="BP67" s="302" t="s">
        <v>22</v>
      </c>
      <c r="BQ67" s="302" t="s">
        <v>119</v>
      </c>
      <c r="BR67" s="302" t="s">
        <v>134</v>
      </c>
      <c r="BS67" s="302" t="s">
        <v>62</v>
      </c>
      <c r="BT67" s="302" t="s">
        <v>81</v>
      </c>
      <c r="BU67" s="302"/>
      <c r="BV67" s="302"/>
      <c r="BW67" s="302"/>
      <c r="BX67" s="302"/>
      <c r="BY67" s="302"/>
      <c r="BZ67" s="302"/>
      <c r="CA67" s="302"/>
    </row>
    <row r="68" spans="1:80" s="288" customFormat="1" ht="13">
      <c r="A68" s="286"/>
      <c r="B68" s="287"/>
      <c r="D68" s="301"/>
      <c r="E68" s="301">
        <f t="shared" si="8"/>
        <v>0</v>
      </c>
      <c r="F68" s="306"/>
      <c r="G68" s="286"/>
      <c r="H68" s="290"/>
      <c r="AS68" s="289"/>
      <c r="AT68" s="289"/>
      <c r="AU68" s="289"/>
      <c r="AV68" s="289"/>
      <c r="AW68" s="289"/>
      <c r="AX68" s="289"/>
      <c r="AY68" s="289"/>
      <c r="AZ68" s="289"/>
      <c r="BA68" s="289"/>
      <c r="BB68" s="289"/>
      <c r="BC68" s="289"/>
      <c r="BD68" s="289"/>
      <c r="BE68" s="289"/>
      <c r="BF68" s="289"/>
      <c r="BG68" s="289"/>
      <c r="BH68" s="289"/>
      <c r="BI68" s="289"/>
    </row>
    <row r="69" spans="1:80" ht="27.75" customHeight="1">
      <c r="A69" s="259" t="s">
        <v>13</v>
      </c>
      <c r="B69" s="269"/>
      <c r="C69" s="259" t="s">
        <v>14</v>
      </c>
      <c r="D69" s="259" t="s">
        <v>135</v>
      </c>
      <c r="E69" s="259"/>
      <c r="F69" s="270" t="s">
        <v>17</v>
      </c>
      <c r="G69" s="269" t="s">
        <v>18</v>
      </c>
      <c r="H69" s="271"/>
      <c r="I69" s="271">
        <v>45444</v>
      </c>
      <c r="J69" s="271">
        <v>45474</v>
      </c>
      <c r="K69" s="271">
        <v>45505</v>
      </c>
      <c r="L69" s="271">
        <v>45536</v>
      </c>
      <c r="M69" s="271">
        <v>45566</v>
      </c>
      <c r="N69" s="272">
        <v>45597</v>
      </c>
      <c r="O69" s="272">
        <v>45627</v>
      </c>
      <c r="P69" s="272">
        <v>45658</v>
      </c>
      <c r="Q69" s="273">
        <v>45689</v>
      </c>
      <c r="R69" s="272">
        <v>45717</v>
      </c>
      <c r="S69" s="272">
        <v>45748</v>
      </c>
      <c r="T69" s="272">
        <v>45778</v>
      </c>
      <c r="U69" s="272">
        <v>45809</v>
      </c>
      <c r="V69" s="272">
        <v>45839</v>
      </c>
      <c r="W69" s="272">
        <v>45870</v>
      </c>
      <c r="X69" s="272">
        <v>45901</v>
      </c>
      <c r="Y69" s="272">
        <v>45931</v>
      </c>
      <c r="AA69" s="271">
        <v>45444</v>
      </c>
      <c r="AB69" s="271">
        <v>45474</v>
      </c>
      <c r="AC69" s="271">
        <v>45505</v>
      </c>
      <c r="AD69" s="271">
        <v>45536</v>
      </c>
      <c r="AE69" s="271">
        <v>45566</v>
      </c>
      <c r="AF69" s="272">
        <v>45597</v>
      </c>
      <c r="AG69" s="272">
        <v>45627</v>
      </c>
      <c r="AH69" s="272">
        <v>45658</v>
      </c>
      <c r="AI69" s="273">
        <v>45689</v>
      </c>
      <c r="AJ69" s="272">
        <v>45717</v>
      </c>
      <c r="AK69" s="272">
        <v>45748</v>
      </c>
      <c r="AL69" s="272">
        <v>45778</v>
      </c>
      <c r="AM69" s="272">
        <v>45809</v>
      </c>
      <c r="AN69" s="272">
        <v>45839</v>
      </c>
      <c r="AO69" s="272">
        <v>45870</v>
      </c>
      <c r="AP69" s="272">
        <v>45901</v>
      </c>
      <c r="AQ69" s="272">
        <v>45931</v>
      </c>
      <c r="AR69" s="242"/>
      <c r="AS69" s="271">
        <v>45444</v>
      </c>
      <c r="AT69" s="271">
        <v>45474</v>
      </c>
      <c r="AU69" s="271">
        <v>45505</v>
      </c>
      <c r="AV69" s="271">
        <v>45536</v>
      </c>
      <c r="AW69" s="271">
        <v>45566</v>
      </c>
      <c r="AX69" s="272">
        <v>45597</v>
      </c>
      <c r="AY69" s="272">
        <v>45627</v>
      </c>
      <c r="AZ69" s="272">
        <v>45658</v>
      </c>
      <c r="BA69" s="273">
        <v>45689</v>
      </c>
      <c r="BB69" s="272">
        <v>45717</v>
      </c>
      <c r="BC69" s="272">
        <v>45748</v>
      </c>
      <c r="BD69" s="272">
        <v>45778</v>
      </c>
      <c r="BE69" s="272">
        <v>45809</v>
      </c>
      <c r="BF69" s="272">
        <v>45839</v>
      </c>
      <c r="BG69" s="272">
        <v>45870</v>
      </c>
      <c r="BH69" s="272">
        <v>45901</v>
      </c>
      <c r="BI69" s="272">
        <v>45931</v>
      </c>
      <c r="BK69" s="271">
        <v>45444</v>
      </c>
      <c r="BL69" s="271">
        <v>45474</v>
      </c>
      <c r="BM69" s="271">
        <v>45505</v>
      </c>
      <c r="BN69" s="271">
        <v>45536</v>
      </c>
      <c r="BO69" s="271">
        <v>45566</v>
      </c>
      <c r="BP69" s="272">
        <v>45597</v>
      </c>
      <c r="BQ69" s="272">
        <v>45627</v>
      </c>
      <c r="BR69" s="272">
        <v>45658</v>
      </c>
      <c r="BS69" s="274">
        <v>45689</v>
      </c>
      <c r="BT69" s="272">
        <v>45717</v>
      </c>
      <c r="BU69" s="272">
        <v>45748</v>
      </c>
      <c r="BV69" s="272">
        <v>45778</v>
      </c>
      <c r="BW69" s="272">
        <v>45809</v>
      </c>
      <c r="BX69" s="272">
        <v>45839</v>
      </c>
      <c r="BY69" s="272">
        <v>45870</v>
      </c>
      <c r="BZ69" s="272">
        <v>45901</v>
      </c>
      <c r="CA69" s="272">
        <v>45931</v>
      </c>
    </row>
    <row r="70" spans="1:80" s="299" customFormat="1" ht="80.25" customHeight="1">
      <c r="A70" s="300" t="s">
        <v>136</v>
      </c>
      <c r="B70" s="275" t="s">
        <v>20</v>
      </c>
      <c r="C70" s="276">
        <f>AI70-Q70</f>
        <v>5.9426290363127077E-3</v>
      </c>
      <c r="D70" s="277">
        <f>AQ70-Y70-C70</f>
        <v>-1.2361292000997448E-3</v>
      </c>
      <c r="E70" s="277">
        <f>D70+C70</f>
        <v>4.7064998362129629E-3</v>
      </c>
      <c r="F70" s="300" t="s">
        <v>137</v>
      </c>
      <c r="G70" s="278"/>
      <c r="H70" s="285"/>
      <c r="I70" s="276"/>
      <c r="J70" s="280"/>
      <c r="K70" s="280">
        <v>0.60208658933233961</v>
      </c>
      <c r="L70" s="280">
        <f>+K70+L71+L72</f>
        <v>0.59026643997734252</v>
      </c>
      <c r="M70" s="280">
        <f t="shared" ref="M70:X70" si="63">+L70+M71+M72</f>
        <v>0.59026643997734252</v>
      </c>
      <c r="N70" s="280">
        <f t="shared" si="63"/>
        <v>0.59026643997734252</v>
      </c>
      <c r="O70" s="280">
        <f t="shared" si="63"/>
        <v>0.57585365298967106</v>
      </c>
      <c r="P70" s="280">
        <f t="shared" si="63"/>
        <v>0.56723107070315282</v>
      </c>
      <c r="Q70" s="280">
        <f t="shared" si="63"/>
        <v>0.56723107070315282</v>
      </c>
      <c r="R70" s="280">
        <f t="shared" si="63"/>
        <v>0.56723107070315282</v>
      </c>
      <c r="S70" s="280">
        <f t="shared" si="63"/>
        <v>0.56723107070315282</v>
      </c>
      <c r="T70" s="280">
        <f t="shared" si="63"/>
        <v>0.55962050549909181</v>
      </c>
      <c r="U70" s="280">
        <f t="shared" si="63"/>
        <v>0.55962050549909181</v>
      </c>
      <c r="V70" s="280">
        <f t="shared" si="63"/>
        <v>0.55962050549909181</v>
      </c>
      <c r="W70" s="280">
        <f t="shared" si="63"/>
        <v>0.55962050549909181</v>
      </c>
      <c r="X70" s="280">
        <f t="shared" si="63"/>
        <v>0.55962050549909181</v>
      </c>
      <c r="Y70" s="280">
        <f>+X70+Y71+Y72</f>
        <v>0.55962050549909181</v>
      </c>
      <c r="Z70" s="285"/>
      <c r="AA70" s="276"/>
      <c r="AB70" s="280"/>
      <c r="AC70" s="280">
        <v>0.58390181771409322</v>
      </c>
      <c r="AD70" s="280">
        <f t="shared" ref="AD70:AI70" si="64">+AC70+AD71+AD72</f>
        <v>0.57629125251003221</v>
      </c>
      <c r="AE70" s="280">
        <f t="shared" si="64"/>
        <v>0.57363933548454771</v>
      </c>
      <c r="AF70" s="280">
        <f t="shared" si="64"/>
        <v>0.57363933548454771</v>
      </c>
      <c r="AG70" s="280">
        <f t="shared" si="64"/>
        <v>0.57363933548454771</v>
      </c>
      <c r="AH70" s="280">
        <f t="shared" si="64"/>
        <v>0.57334130536437</v>
      </c>
      <c r="AI70" s="280">
        <f t="shared" si="64"/>
        <v>0.57317369973946553</v>
      </c>
      <c r="AJ70" s="280">
        <f>+AI70+AJ71+AJ72</f>
        <v>0.57288518110910769</v>
      </c>
      <c r="AK70" s="280">
        <f t="shared" ref="AK70:AS70" si="65">+AJ70+AK71+AK72</f>
        <v>0.57162229455301894</v>
      </c>
      <c r="AL70" s="280">
        <f t="shared" si="65"/>
        <v>0.56001172934895793</v>
      </c>
      <c r="AM70" s="280">
        <f t="shared" si="65"/>
        <v>0.56200541402877613</v>
      </c>
      <c r="AN70" s="280">
        <f t="shared" si="65"/>
        <v>0.56432700533530478</v>
      </c>
      <c r="AO70" s="280">
        <f t="shared" si="65"/>
        <v>0.56432700533530478</v>
      </c>
      <c r="AP70" s="280">
        <f t="shared" si="65"/>
        <v>0.56432700533530478</v>
      </c>
      <c r="AQ70" s="280">
        <f t="shared" si="65"/>
        <v>0.56432700533530478</v>
      </c>
      <c r="AR70" s="280" t="e">
        <f t="shared" si="65"/>
        <v>#VALUE!</v>
      </c>
      <c r="AS70" s="280" t="e">
        <f t="shared" si="65"/>
        <v>#VALUE!</v>
      </c>
      <c r="AT70" s="284">
        <f t="shared" si="60"/>
        <v>0</v>
      </c>
      <c r="AU70" s="284">
        <f t="shared" si="60"/>
        <v>-1.8184771618246387E-2</v>
      </c>
      <c r="AV70" s="284">
        <f t="shared" si="60"/>
        <v>-1.3975187467310302E-2</v>
      </c>
      <c r="AW70" s="284">
        <f t="shared" si="60"/>
        <v>-1.6627104492794809E-2</v>
      </c>
      <c r="AX70" s="284">
        <f t="shared" si="60"/>
        <v>-1.6627104492794809E-2</v>
      </c>
      <c r="AY70" s="284">
        <f t="shared" si="60"/>
        <v>-2.2143175051233532E-3</v>
      </c>
      <c r="AZ70" s="284">
        <f>AH70-P70</f>
        <v>6.1102346612171843E-3</v>
      </c>
      <c r="BA70" s="284">
        <f t="shared" si="60"/>
        <v>5.9426290363127077E-3</v>
      </c>
      <c r="BB70" s="284">
        <f>AJ70-R70</f>
        <v>5.6541104059548708E-3</v>
      </c>
      <c r="BC70" s="284">
        <f t="shared" si="60"/>
        <v>4.3912238498661216E-3</v>
      </c>
      <c r="BD70" s="284">
        <f t="shared" si="60"/>
        <v>3.9122384986611802E-4</v>
      </c>
      <c r="BE70" s="284">
        <f t="shared" si="60"/>
        <v>2.3849085296843153E-3</v>
      </c>
      <c r="BF70" s="284">
        <f t="shared" si="60"/>
        <v>4.7064998362129629E-3</v>
      </c>
      <c r="BG70" s="284">
        <f t="shared" si="60"/>
        <v>4.7064998362129629E-3</v>
      </c>
      <c r="BH70" s="284">
        <f t="shared" si="60"/>
        <v>4.7064998362129629E-3</v>
      </c>
      <c r="BI70" s="284">
        <f t="shared" si="60"/>
        <v>4.7064998362129629E-3</v>
      </c>
      <c r="BJ70" s="285"/>
      <c r="BK70" s="288"/>
      <c r="BL70" s="288"/>
      <c r="BM70" s="288"/>
      <c r="BN70" s="288"/>
      <c r="BO70" s="288"/>
      <c r="BP70" s="288"/>
      <c r="BQ70" s="288"/>
      <c r="BR70" s="288"/>
      <c r="BS70" s="288"/>
      <c r="BT70" s="288"/>
      <c r="BU70" s="288"/>
      <c r="BV70" s="288"/>
      <c r="BW70" s="288"/>
      <c r="BX70" s="288"/>
      <c r="BY70" s="288"/>
      <c r="BZ70" s="288"/>
      <c r="CA70" s="288"/>
      <c r="CB70" s="288"/>
    </row>
    <row r="71" spans="1:80" s="299" customFormat="1" ht="12" customHeight="1">
      <c r="A71" s="300" t="s">
        <v>136</v>
      </c>
      <c r="B71" s="275" t="s">
        <v>21</v>
      </c>
      <c r="C71" s="276">
        <f>SUM(AT71:BA71)</f>
        <v>3.4388353831270792E-2</v>
      </c>
      <c r="D71" s="277">
        <f>SUM(BB71:BI71)</f>
        <v>-5.5514051864466417E-3</v>
      </c>
      <c r="E71" s="277">
        <f t="shared" si="8"/>
        <v>2.883694864482415E-2</v>
      </c>
      <c r="F71" s="278"/>
      <c r="G71" s="278"/>
      <c r="H71" s="285"/>
      <c r="I71" s="280"/>
      <c r="J71" s="280"/>
      <c r="K71" s="280"/>
      <c r="L71" s="280">
        <f>SUBTOTAL(9,L73:L78)</f>
        <v>-2.2081102531708877E-2</v>
      </c>
      <c r="M71" s="280">
        <f t="shared" ref="M71:Y71" si="66">SUBTOTAL(9,M73:M78)</f>
        <v>0</v>
      </c>
      <c r="N71" s="280">
        <f t="shared" si="66"/>
        <v>0</v>
      </c>
      <c r="O71" s="280">
        <f t="shared" si="66"/>
        <v>-1.4412786987671428E-2</v>
      </c>
      <c r="P71" s="280">
        <f t="shared" si="66"/>
        <v>-8.6225822865182121E-3</v>
      </c>
      <c r="Q71" s="280">
        <f>SUBTOTAL(9,Q73:Q78)</f>
        <v>0</v>
      </c>
      <c r="R71" s="280">
        <f>SUBTOTAL(9,R73:R78)</f>
        <v>0</v>
      </c>
      <c r="S71" s="280">
        <f t="shared" si="66"/>
        <v>0</v>
      </c>
      <c r="T71" s="280">
        <f t="shared" si="66"/>
        <v>-7.6105652040609987E-3</v>
      </c>
      <c r="U71" s="280">
        <f t="shared" si="66"/>
        <v>0</v>
      </c>
      <c r="V71" s="280">
        <f t="shared" si="66"/>
        <v>0</v>
      </c>
      <c r="W71" s="280">
        <f t="shared" si="66"/>
        <v>0</v>
      </c>
      <c r="X71" s="280">
        <f t="shared" si="66"/>
        <v>0</v>
      </c>
      <c r="Y71" s="280">
        <f t="shared" si="66"/>
        <v>0</v>
      </c>
      <c r="Z71" s="285"/>
      <c r="AA71" s="285"/>
      <c r="AB71" s="280">
        <f>SUBTOTAL(9,AB73:AB78)</f>
        <v>0</v>
      </c>
      <c r="AC71" s="280">
        <f t="shared" ref="AC71:AM71" si="67">SUBTOTAL(9,AC73:AC78)</f>
        <v>0</v>
      </c>
      <c r="AD71" s="280">
        <f>SUBTOTAL(9,AD73:AD78)</f>
        <v>-7.6105652040609787E-3</v>
      </c>
      <c r="AE71" s="280">
        <f t="shared" si="67"/>
        <v>-2.6519170254845374E-3</v>
      </c>
      <c r="AF71" s="280">
        <f t="shared" si="67"/>
        <v>0</v>
      </c>
      <c r="AG71" s="280">
        <f t="shared" si="67"/>
        <v>0</v>
      </c>
      <c r="AH71" s="280">
        <f t="shared" si="67"/>
        <v>-2.9803012017773166E-4</v>
      </c>
      <c r="AI71" s="280">
        <f t="shared" si="67"/>
        <v>-1.6760562490447661E-4</v>
      </c>
      <c r="AJ71" s="280">
        <f>SUBTOTAL(9,AJ73:AJ78)</f>
        <v>-2.8851863035784272E-4</v>
      </c>
      <c r="AK71" s="280">
        <f t="shared" si="67"/>
        <v>-1.2628865560887987E-3</v>
      </c>
      <c r="AL71" s="280">
        <f t="shared" si="67"/>
        <v>-1.1610565204060999E-2</v>
      </c>
      <c r="AM71" s="280">
        <f t="shared" si="67"/>
        <v>0</v>
      </c>
      <c r="AN71" s="280">
        <f>SUBTOTAL(9,AN73:AN78)</f>
        <v>0</v>
      </c>
      <c r="AO71" s="280">
        <f t="shared" ref="AO71:AQ71" si="68">SUBTOTAL(9,AO73:AO78)</f>
        <v>0</v>
      </c>
      <c r="AP71" s="280">
        <f t="shared" si="68"/>
        <v>0</v>
      </c>
      <c r="AQ71" s="280">
        <f t="shared" si="68"/>
        <v>0</v>
      </c>
      <c r="AR71" s="285"/>
      <c r="AS71" s="284">
        <f>I71-AA71</f>
        <v>0</v>
      </c>
      <c r="AT71" s="284">
        <f>AB71-J71</f>
        <v>0</v>
      </c>
      <c r="AU71" s="284">
        <f t="shared" si="60"/>
        <v>0</v>
      </c>
      <c r="AV71" s="284">
        <f t="shared" si="60"/>
        <v>1.4470537327647897E-2</v>
      </c>
      <c r="AW71" s="284">
        <f t="shared" si="60"/>
        <v>-2.6519170254845374E-3</v>
      </c>
      <c r="AX71" s="284">
        <f t="shared" si="60"/>
        <v>0</v>
      </c>
      <c r="AY71" s="284">
        <f t="shared" si="60"/>
        <v>1.4412786987671428E-2</v>
      </c>
      <c r="AZ71" s="284">
        <f t="shared" si="60"/>
        <v>8.3245521663404803E-3</v>
      </c>
      <c r="BA71" s="284">
        <f t="shared" si="60"/>
        <v>-1.6760562490447661E-4</v>
      </c>
      <c r="BB71" s="284">
        <f t="shared" si="60"/>
        <v>-2.8851863035784272E-4</v>
      </c>
      <c r="BC71" s="284">
        <f t="shared" si="60"/>
        <v>-1.2628865560887987E-3</v>
      </c>
      <c r="BD71" s="284">
        <f t="shared" si="60"/>
        <v>-4.0000000000000001E-3</v>
      </c>
      <c r="BE71" s="284">
        <f t="shared" si="60"/>
        <v>0</v>
      </c>
      <c r="BF71" s="284">
        <f t="shared" si="60"/>
        <v>0</v>
      </c>
      <c r="BG71" s="284">
        <f t="shared" si="60"/>
        <v>0</v>
      </c>
      <c r="BH71" s="284">
        <f t="shared" si="60"/>
        <v>0</v>
      </c>
      <c r="BI71" s="284">
        <f t="shared" si="60"/>
        <v>0</v>
      </c>
      <c r="BJ71" s="285"/>
      <c r="BK71" s="301"/>
      <c r="BL71" s="301"/>
      <c r="BM71" s="301"/>
      <c r="BN71" s="301"/>
      <c r="BO71" s="301"/>
      <c r="BP71" s="301"/>
      <c r="BQ71" s="301"/>
      <c r="BR71" s="301"/>
      <c r="BS71" s="301"/>
      <c r="BT71" s="301"/>
      <c r="BU71" s="301"/>
      <c r="BV71" s="301"/>
      <c r="BW71" s="301"/>
      <c r="BX71" s="301"/>
      <c r="BY71" s="301"/>
      <c r="BZ71" s="301"/>
      <c r="CA71" s="301"/>
      <c r="CB71" s="288"/>
    </row>
    <row r="72" spans="1:80" s="299" customFormat="1" ht="13">
      <c r="A72" s="300" t="s">
        <v>136</v>
      </c>
      <c r="B72" s="275" t="s">
        <v>22</v>
      </c>
      <c r="C72" s="276">
        <f>SUM(AT72:BA72)</f>
        <v>-1.0260953176711838E-2</v>
      </c>
      <c r="D72" s="277">
        <f>SUM(BB72:BI72)</f>
        <v>4.3152759863468223E-3</v>
      </c>
      <c r="E72" s="394">
        <f>D72+C72</f>
        <v>-5.9456771903650153E-3</v>
      </c>
      <c r="F72" s="278"/>
      <c r="G72" s="275"/>
      <c r="H72" s="285"/>
      <c r="I72" s="280"/>
      <c r="J72" s="280"/>
      <c r="K72" s="280"/>
      <c r="L72" s="280">
        <f>SUMIFS('RCS Initiatives'!G:G,'RCS Initiatives'!$A:$A,'Gap Analysis update'!$A72,'RCS Initiatives'!$C:$C,'Gap Analysis update'!$B72,'RCS Initiatives'!$B:$B,'Gap Analysis update'!L$2)</f>
        <v>1.0260953176711838E-2</v>
      </c>
      <c r="M72" s="280">
        <f>SUMIFS('RCS Initiatives'!H:H,'RCS Initiatives'!$A:$A,'Gap Analysis update'!$A72,'RCS Initiatives'!$C:$C,'Gap Analysis update'!$B72,'RCS Initiatives'!$B:$B,'Gap Analysis update'!M$2)</f>
        <v>0</v>
      </c>
      <c r="N72" s="280">
        <f>SUMIFS('RCS Initiatives'!I:I,'RCS Initiatives'!$A:$A,'Gap Analysis update'!$A72,'RCS Initiatives'!$C:$C,'Gap Analysis update'!$B72,'RCS Initiatives'!$B:$B,'Gap Analysis update'!N$2)</f>
        <v>0</v>
      </c>
      <c r="O72" s="280">
        <f>SUMIFS('RCS Initiatives'!J:J,'RCS Initiatives'!$A:$A,'Gap Analysis update'!$A72,'RCS Initiatives'!$C:$C,'Gap Analysis update'!$B72,'RCS Initiatives'!$B:$B,'Gap Analysis update'!O$2)</f>
        <v>0</v>
      </c>
      <c r="P72" s="280">
        <f>SUMIFS('RCS Initiatives'!K:K,'RCS Initiatives'!$A:$A,'Gap Analysis update'!$A72,'RCS Initiatives'!$C:$C,'Gap Analysis update'!$B72,'RCS Initiatives'!$B:$B,'Gap Analysis update'!P$2)</f>
        <v>0</v>
      </c>
      <c r="Q72" s="280">
        <f>SUMIFS('RCS Initiatives'!L:L,'RCS Initiatives'!$A:$A,'Gap Analysis update'!$A72,'RCS Initiatives'!$C:$C,'Gap Analysis update'!$B72,'RCS Initiatives'!$B:$B,'Gap Analysis update'!Q$2)</f>
        <v>0</v>
      </c>
      <c r="R72" s="280">
        <f>SUMIFS('RCS Initiatives'!M:M,'RCS Initiatives'!$A:$A,'Gap Analysis update'!$A72,'RCS Initiatives'!$C:$C,'Gap Analysis update'!$B72,'RCS Initiatives'!$B:$B,'Gap Analysis update'!R$2)</f>
        <v>0</v>
      </c>
      <c r="S72" s="280">
        <f>SUMIFS('RCS Initiatives'!N:N,'RCS Initiatives'!$A:$A,'Gap Analysis update'!$A72,'RCS Initiatives'!$C:$C,'Gap Analysis update'!$B72,'RCS Initiatives'!$B:$B,'Gap Analysis update'!S$2)</f>
        <v>0</v>
      </c>
      <c r="T72" s="280">
        <f>SUMIFS('RCS Initiatives'!O:O,'RCS Initiatives'!$A:$A,'Gap Analysis update'!$A72,'RCS Initiatives'!$C:$C,'Gap Analysis update'!$B72,'RCS Initiatives'!$B:$B,'Gap Analysis update'!T$2)</f>
        <v>0</v>
      </c>
      <c r="U72" s="280">
        <f>SUMIFS('RCS Initiatives'!P:P,'RCS Initiatives'!$A:$A,'Gap Analysis update'!$A72,'RCS Initiatives'!$C:$C,'Gap Analysis update'!$B72,'RCS Initiatives'!$B:$B,'Gap Analysis update'!U$2)</f>
        <v>0</v>
      </c>
      <c r="V72" s="280">
        <f>SUMIFS('RCS Initiatives'!Q:Q,'RCS Initiatives'!$A:$A,'Gap Analysis update'!$A72,'RCS Initiatives'!$C:$C,'Gap Analysis update'!$B72,'RCS Initiatives'!$B:$B,'Gap Analysis update'!V$2)</f>
        <v>0</v>
      </c>
      <c r="W72" s="280">
        <f>SUMIFS('RCS Initiatives'!R:R,'RCS Initiatives'!$A:$A,'Gap Analysis update'!$A72,'RCS Initiatives'!$C:$C,'Gap Analysis update'!$B72,'RCS Initiatives'!$B:$B,'Gap Analysis update'!W$2)</f>
        <v>0</v>
      </c>
      <c r="X72" s="280"/>
      <c r="Y72" s="280"/>
      <c r="Z72" s="285"/>
      <c r="AA72" s="280"/>
      <c r="AB72" s="280"/>
      <c r="AC72" s="280"/>
      <c r="AD72" s="280">
        <f>SUMIFS('RCS Initiatives'!G:G,'RCS Initiatives'!$A:$A,'Gap Analysis update'!$A72,'RCS Initiatives'!$C:$C,'Gap Analysis update'!$B72,'RCS Initiatives'!$B:$B,'Gap Analysis update'!AD$2)</f>
        <v>0</v>
      </c>
      <c r="AE72" s="280">
        <f>SUMIFS('RCS Initiatives'!H:H,'RCS Initiatives'!$A:$A,'Gap Analysis update'!$A72,'RCS Initiatives'!$C:$C,'Gap Analysis update'!$B72,'RCS Initiatives'!$B:$B,'Gap Analysis update'!AE$2)</f>
        <v>0</v>
      </c>
      <c r="AF72" s="280">
        <f>SUMIFS('RCS Initiatives'!I:I,'RCS Initiatives'!$A:$A,'Gap Analysis update'!$A72,'RCS Initiatives'!$C:$C,'Gap Analysis update'!$B72,'RCS Initiatives'!$B:$B,'Gap Analysis update'!AF$2)</f>
        <v>0</v>
      </c>
      <c r="AG72" s="280">
        <f>SUMIFS('RCS Initiatives'!J:J,'RCS Initiatives'!$A:$A,'Gap Analysis update'!$A72,'RCS Initiatives'!$C:$C,'Gap Analysis update'!$B72,'RCS Initiatives'!$B:$B,'Gap Analysis update'!AG$2)</f>
        <v>0</v>
      </c>
      <c r="AH72" s="280">
        <f>SUMIFS('RCS Initiatives'!K:K,'RCS Initiatives'!$A:$A,'Gap Analysis update'!$A72,'RCS Initiatives'!$C:$C,'Gap Analysis update'!$B72,'RCS Initiatives'!$B:$B,'Gap Analysis update'!AH$2)</f>
        <v>0</v>
      </c>
      <c r="AI72" s="280">
        <f>SUMIFS('RCS Initiatives'!L:L,'RCS Initiatives'!$A:$A,'Gap Analysis update'!$A72,'RCS Initiatives'!$C:$C,'Gap Analysis update'!$B72,'RCS Initiatives'!$B:$B,'Gap Analysis update'!AI$2)</f>
        <v>0</v>
      </c>
      <c r="AJ72" s="280">
        <f>SUMIFS('RCS Initiatives'!M:M,'RCS Initiatives'!$A:$A,'Gap Analysis update'!$A72,'RCS Initiatives'!$C:$C,'Gap Analysis update'!$B72,'RCS Initiatives'!$B:$B,'Gap Analysis update'!AJ$2)</f>
        <v>0</v>
      </c>
      <c r="AK72" s="280">
        <f>SUMIFS('RCS Initiatives'!N:N,'RCS Initiatives'!$A:$A,'Gap Analysis update'!$A72,'RCS Initiatives'!$C:$C,'Gap Analysis update'!$B72,'RCS Initiatives'!$B:$B,'Gap Analysis update'!AK$2)</f>
        <v>0</v>
      </c>
      <c r="AL72" s="280">
        <f>SUMIFS('RCS Initiatives'!O:O,'RCS Initiatives'!$A:$A,'Gap Analysis update'!$A72,'RCS Initiatives'!$C:$C,'Gap Analysis update'!$B72,'RCS Initiatives'!$B:$B,'Gap Analysis update'!AL$2)</f>
        <v>0</v>
      </c>
      <c r="AM72" s="280">
        <f>SUMIFS('RCS Initiatives'!P:P,'RCS Initiatives'!$A:$A,'Gap Analysis update'!$A72,'RCS Initiatives'!$C:$C,'Gap Analysis update'!$B72,'RCS Initiatives'!$B:$B,'Gap Analysis update'!AM$2)</f>
        <v>1.9936846798181483E-3</v>
      </c>
      <c r="AN72" s="280">
        <f>SUMIFS('RCS Initiatives'!Q:Q,'RCS Initiatives'!$A:$A,'Gap Analysis update'!$A72,'RCS Initiatives'!$C:$C,'Gap Analysis update'!$B72,'RCS Initiatives'!$B:$B,'Gap Analysis update'!AN$2)</f>
        <v>2.3215913065286744E-3</v>
      </c>
      <c r="AO72" s="280">
        <f>SUMIFS('RCS Initiatives'!R:R,'RCS Initiatives'!$A:$A,'Gap Analysis update'!$A72,'RCS Initiatives'!$C:$C,'Gap Analysis update'!$B72,'RCS Initiatives'!$B:$B,'Gap Analysis update'!AO$2)</f>
        <v>0</v>
      </c>
      <c r="AP72" s="280"/>
      <c r="AQ72" s="280"/>
      <c r="AR72" s="280" t="e">
        <f>SUMIFS('[2]RCS Initiatives'!T:T,'[2]RCS Initiatives'!$A:$A,'Gap Analysis update'!$A72,'[2]RCS Initiatives'!$C:$C,'Gap Analysis update'!$B72,'[2]RCS Initiatives'!$B:$B,'Gap Analysis update'!AR$2)</f>
        <v>#VALUE!</v>
      </c>
      <c r="AS72" s="280" t="e">
        <f>SUMIFS('[2]RCS Initiatives'!U:U,'[2]RCS Initiatives'!$A:$A,'Gap Analysis update'!$A72,'[2]RCS Initiatives'!$C:$C,'Gap Analysis update'!$B72,'[2]RCS Initiatives'!$B:$B,'Gap Analysis update'!AS$2)</f>
        <v>#VALUE!</v>
      </c>
      <c r="AT72" s="284">
        <f t="shared" ref="AT72:BI85" si="69">AB72-J72</f>
        <v>0</v>
      </c>
      <c r="AU72" s="284">
        <f t="shared" si="60"/>
        <v>0</v>
      </c>
      <c r="AV72" s="284">
        <f t="shared" si="60"/>
        <v>-1.0260953176711838E-2</v>
      </c>
      <c r="AW72" s="284">
        <f t="shared" si="60"/>
        <v>0</v>
      </c>
      <c r="AX72" s="284">
        <f>AF72-N72</f>
        <v>0</v>
      </c>
      <c r="AY72" s="284">
        <f t="shared" si="60"/>
        <v>0</v>
      </c>
      <c r="AZ72" s="284">
        <f>AH72-P72</f>
        <v>0</v>
      </c>
      <c r="BA72" s="284">
        <f t="shared" si="60"/>
        <v>0</v>
      </c>
      <c r="BB72" s="284">
        <f>AJ72-R72</f>
        <v>0</v>
      </c>
      <c r="BC72" s="284">
        <f t="shared" si="60"/>
        <v>0</v>
      </c>
      <c r="BD72" s="284">
        <f t="shared" si="60"/>
        <v>0</v>
      </c>
      <c r="BE72" s="284">
        <f t="shared" si="60"/>
        <v>1.9936846798181483E-3</v>
      </c>
      <c r="BF72" s="284">
        <f t="shared" si="60"/>
        <v>2.3215913065286744E-3</v>
      </c>
      <c r="BG72" s="284">
        <f>AO72-W72</f>
        <v>0</v>
      </c>
      <c r="BH72" s="284">
        <f t="shared" si="60"/>
        <v>0</v>
      </c>
      <c r="BI72" s="284">
        <f t="shared" si="60"/>
        <v>0</v>
      </c>
      <c r="BJ72" s="285"/>
      <c r="BK72" s="301"/>
      <c r="BL72" s="301"/>
      <c r="BM72" s="301"/>
      <c r="BN72" s="301"/>
      <c r="BO72" s="301"/>
      <c r="BP72" s="301"/>
      <c r="BQ72" s="301"/>
      <c r="BR72" s="301"/>
      <c r="BS72" s="301"/>
      <c r="BT72" s="301"/>
      <c r="BU72" s="301"/>
      <c r="BV72" s="301"/>
      <c r="BW72" s="301"/>
      <c r="BX72" s="301"/>
      <c r="BY72" s="301"/>
      <c r="BZ72" s="301"/>
      <c r="CA72" s="301"/>
      <c r="CB72" s="288"/>
    </row>
    <row r="73" spans="1:80" s="298" customFormat="1" ht="216" customHeight="1">
      <c r="A73" s="296" t="s">
        <v>136</v>
      </c>
      <c r="B73" s="287" t="s">
        <v>24</v>
      </c>
      <c r="C73" s="288">
        <f>SUM(AS73:BA73)</f>
        <v>0</v>
      </c>
      <c r="D73" s="289">
        <f>SUM(BB73:BG73)</f>
        <v>0</v>
      </c>
      <c r="E73" s="289">
        <f>D73+C73</f>
        <v>0</v>
      </c>
      <c r="F73" s="286" t="s">
        <v>138</v>
      </c>
      <c r="G73" s="286" t="s">
        <v>139</v>
      </c>
      <c r="H73" s="297"/>
      <c r="L73" s="298">
        <f>SUMIFS('RCS Initiatives'!G:G,'RCS Initiatives'!$E:$E,'Gap Analysis update'!$B73,'RCS Initiatives'!$A:$A,'Gap Analysis update'!$A73,'RCS Initiatives'!$B:$B,'Gap Analysis update'!L$2)-SUMIFS('RCS Initiatives'!G:G,'RCS Initiatives'!$E:$E,'Gap Analysis update'!$B73,'RCS Initiatives'!$A:$A,'Gap Analysis update'!$A73,'RCS Initiatives'!$B:$B,'Gap Analysis update'!L$2,'RCS Initiatives'!$C:$C,'Gap Analysis update'!$B$72)</f>
        <v>0</v>
      </c>
      <c r="M73" s="298">
        <f>SUMIFS('RCS Initiatives'!H:H,'RCS Initiatives'!$E:$E,'Gap Analysis update'!$B73,'RCS Initiatives'!$A:$A,'Gap Analysis update'!$A73,'RCS Initiatives'!$B:$B,'Gap Analysis update'!M$2)-SUMIFS('RCS Initiatives'!H:H,'RCS Initiatives'!$E:$E,'Gap Analysis update'!$B73,'RCS Initiatives'!$A:$A,'Gap Analysis update'!$A73,'RCS Initiatives'!$B:$B,'Gap Analysis update'!M$2,'RCS Initiatives'!$C:$C,'Gap Analysis update'!$B$72)</f>
        <v>0</v>
      </c>
      <c r="N73" s="298">
        <f>SUMIFS('RCS Initiatives'!I:I,'RCS Initiatives'!$E:$E,'Gap Analysis update'!$B73,'RCS Initiatives'!$A:$A,'Gap Analysis update'!$A73,'RCS Initiatives'!$B:$B,'Gap Analysis update'!N$2)-SUMIFS('RCS Initiatives'!I:I,'RCS Initiatives'!$E:$E,'Gap Analysis update'!$B73,'RCS Initiatives'!$A:$A,'Gap Analysis update'!$A73,'RCS Initiatives'!$B:$B,'Gap Analysis update'!N$2,'RCS Initiatives'!$C:$C,'Gap Analysis update'!$B$72)</f>
        <v>0</v>
      </c>
      <c r="O73" s="298">
        <f>SUMIFS('RCS Initiatives'!J:J,'RCS Initiatives'!$E:$E,'Gap Analysis update'!$B73,'RCS Initiatives'!$A:$A,'Gap Analysis update'!$A73,'RCS Initiatives'!$B:$B,'Gap Analysis update'!O$2)-SUMIFS('RCS Initiatives'!J:J,'RCS Initiatives'!$E:$E,'Gap Analysis update'!$B73,'RCS Initiatives'!$A:$A,'Gap Analysis update'!$A73,'RCS Initiatives'!$B:$B,'Gap Analysis update'!O$2,'RCS Initiatives'!$C:$C,'Gap Analysis update'!$B$72)</f>
        <v>0</v>
      </c>
      <c r="P73" s="298">
        <f>SUMIFS('RCS Initiatives'!K:K,'RCS Initiatives'!$E:$E,'Gap Analysis update'!$B73,'RCS Initiatives'!$A:$A,'Gap Analysis update'!$A73,'RCS Initiatives'!$B:$B,'Gap Analysis update'!P$2)-SUMIFS('RCS Initiatives'!K:K,'RCS Initiatives'!$E:$E,'Gap Analysis update'!$B73,'RCS Initiatives'!$A:$A,'Gap Analysis update'!$A73,'RCS Initiatives'!$B:$B,'Gap Analysis update'!P$2,'RCS Initiatives'!$C:$C,'Gap Analysis update'!$B$72)</f>
        <v>0</v>
      </c>
      <c r="Q73" s="298">
        <f>SUMIFS('RCS Initiatives'!L:L,'RCS Initiatives'!$E:$E,'Gap Analysis update'!$B73,'RCS Initiatives'!$A:$A,'Gap Analysis update'!$A73,'RCS Initiatives'!$B:$B,'Gap Analysis update'!Q$2)-SUMIFS('RCS Initiatives'!L:L,'RCS Initiatives'!$E:$E,'Gap Analysis update'!$B73,'RCS Initiatives'!$A:$A,'Gap Analysis update'!$A73,'RCS Initiatives'!$B:$B,'Gap Analysis update'!Q$2,'RCS Initiatives'!$C:$C,'Gap Analysis update'!$B$72)</f>
        <v>0</v>
      </c>
      <c r="R73" s="298">
        <f>SUMIFS('RCS Initiatives'!M:M,'RCS Initiatives'!$E:$E,'Gap Analysis update'!$B73,'RCS Initiatives'!$A:$A,'Gap Analysis update'!$A73,'RCS Initiatives'!$B:$B,'Gap Analysis update'!R$2)-SUMIFS('RCS Initiatives'!M:M,'RCS Initiatives'!$E:$E,'Gap Analysis update'!$B73,'RCS Initiatives'!$A:$A,'Gap Analysis update'!$A73,'RCS Initiatives'!$B:$B,'Gap Analysis update'!R$2,'RCS Initiatives'!$C:$C,'Gap Analysis update'!$B$72)</f>
        <v>0</v>
      </c>
      <c r="S73" s="298">
        <f>SUMIFS('RCS Initiatives'!N:N,'RCS Initiatives'!$E:$E,'Gap Analysis update'!$B73,'RCS Initiatives'!$A:$A,'Gap Analysis update'!$A73,'RCS Initiatives'!$B:$B,'Gap Analysis update'!S$2)-SUMIFS('RCS Initiatives'!N:N,'RCS Initiatives'!$E:$E,'Gap Analysis update'!$B73,'RCS Initiatives'!$A:$A,'Gap Analysis update'!$A73,'RCS Initiatives'!$B:$B,'Gap Analysis update'!S$2,'RCS Initiatives'!$C:$C,'Gap Analysis update'!$B$72)</f>
        <v>0</v>
      </c>
      <c r="T73" s="298">
        <f>SUMIFS('RCS Initiatives'!O:O,'RCS Initiatives'!$E:$E,'Gap Analysis update'!$B73,'RCS Initiatives'!$A:$A,'Gap Analysis update'!$A73,'RCS Initiatives'!$B:$B,'Gap Analysis update'!T$2)-SUMIFS('RCS Initiatives'!O:O,'RCS Initiatives'!$E:$E,'Gap Analysis update'!$B73,'RCS Initiatives'!$A:$A,'Gap Analysis update'!$A73,'RCS Initiatives'!$B:$B,'Gap Analysis update'!T$2,'RCS Initiatives'!$C:$C,'Gap Analysis update'!$B$72)</f>
        <v>0</v>
      </c>
      <c r="U73" s="298">
        <f>SUMIFS('RCS Initiatives'!P:P,'RCS Initiatives'!$E:$E,'Gap Analysis update'!$B73,'RCS Initiatives'!$A:$A,'Gap Analysis update'!$A73,'RCS Initiatives'!$B:$B,'Gap Analysis update'!U$2)-SUMIFS('RCS Initiatives'!P:P,'RCS Initiatives'!$E:$E,'Gap Analysis update'!$B73,'RCS Initiatives'!$A:$A,'Gap Analysis update'!$A73,'RCS Initiatives'!$B:$B,'Gap Analysis update'!U$2,'RCS Initiatives'!$C:$C,'Gap Analysis update'!$B$72)</f>
        <v>0</v>
      </c>
      <c r="V73" s="298">
        <f>SUMIFS('RCS Initiatives'!Q:Q,'RCS Initiatives'!$E:$E,'Gap Analysis update'!$B73,'RCS Initiatives'!$A:$A,'Gap Analysis update'!$A73,'RCS Initiatives'!$B:$B,'Gap Analysis update'!V$2)-SUMIFS('RCS Initiatives'!Q:Q,'RCS Initiatives'!$E:$E,'Gap Analysis update'!$B73,'RCS Initiatives'!$A:$A,'Gap Analysis update'!$A73,'RCS Initiatives'!$B:$B,'Gap Analysis update'!V$2,'RCS Initiatives'!$C:$C,'Gap Analysis update'!$B$72)</f>
        <v>0</v>
      </c>
      <c r="W73" s="298">
        <f>SUMIFS('RCS Initiatives'!R:R,'RCS Initiatives'!$E:$E,'Gap Analysis update'!$B73,'RCS Initiatives'!$A:$A,'Gap Analysis update'!$A73,'RCS Initiatives'!$B:$B,'Gap Analysis update'!W$2)-SUMIFS('RCS Initiatives'!R:R,'RCS Initiatives'!$E:$E,'Gap Analysis update'!$B73,'RCS Initiatives'!$A:$A,'Gap Analysis update'!$A73,'RCS Initiatives'!$B:$B,'Gap Analysis update'!W$2,'RCS Initiatives'!$C:$C,'Gap Analysis update'!$B$72)</f>
        <v>0</v>
      </c>
      <c r="Z73" s="293"/>
      <c r="AD73" s="298">
        <f>SUMIFS('RCS Initiatives'!G:G,'RCS Initiatives'!$E:$E,'Gap Analysis update'!$B73,'RCS Initiatives'!$A:$A,'Gap Analysis update'!$A73,'RCS Initiatives'!$B:$B,'Gap Analysis update'!AD$2)-SUMIFS('RCS Initiatives'!G:G,'RCS Initiatives'!$E:$E,'Gap Analysis update'!$B73,'RCS Initiatives'!$A:$A,'Gap Analysis update'!$A73,'RCS Initiatives'!$B:$B,'Gap Analysis update'!AD$2,'RCS Initiatives'!$C:$C,'Gap Analysis update'!$B$72)</f>
        <v>0</v>
      </c>
      <c r="AE73" s="298">
        <f>SUMIFS('RCS Initiatives'!H:H,'RCS Initiatives'!$E:$E,'Gap Analysis update'!$B73,'RCS Initiatives'!$A:$A,'Gap Analysis update'!$A73,'RCS Initiatives'!$B:$B,'Gap Analysis update'!AE$2)-SUMIFS('RCS Initiatives'!H:H,'RCS Initiatives'!$E:$E,'Gap Analysis update'!$B73,'RCS Initiatives'!$A:$A,'Gap Analysis update'!$A73,'RCS Initiatives'!$B:$B,'Gap Analysis update'!AE$2,'RCS Initiatives'!$C:$C,'Gap Analysis update'!$B$72)</f>
        <v>0</v>
      </c>
      <c r="AF73" s="298">
        <f>SUMIFS('RCS Initiatives'!I:I,'RCS Initiatives'!$E:$E,'Gap Analysis update'!$B73,'RCS Initiatives'!$A:$A,'Gap Analysis update'!$A73,'RCS Initiatives'!$B:$B,'Gap Analysis update'!AF$2)-SUMIFS('RCS Initiatives'!I:I,'RCS Initiatives'!$E:$E,'Gap Analysis update'!$B73,'RCS Initiatives'!$A:$A,'Gap Analysis update'!$A73,'RCS Initiatives'!$B:$B,'Gap Analysis update'!AF$2,'RCS Initiatives'!$C:$C,'Gap Analysis update'!$B$72)</f>
        <v>0</v>
      </c>
      <c r="AG73" s="298">
        <f>SUMIFS('RCS Initiatives'!J:J,'RCS Initiatives'!$E:$E,'Gap Analysis update'!$B73,'RCS Initiatives'!$A:$A,'Gap Analysis update'!$A73,'RCS Initiatives'!$B:$B,'Gap Analysis update'!AG$2)-SUMIFS('RCS Initiatives'!J:J,'RCS Initiatives'!$E:$E,'Gap Analysis update'!$B73,'RCS Initiatives'!$A:$A,'Gap Analysis update'!$A73,'RCS Initiatives'!$B:$B,'Gap Analysis update'!AG$2,'RCS Initiatives'!$C:$C,'Gap Analysis update'!$B$72)</f>
        <v>0</v>
      </c>
      <c r="AH73" s="298">
        <f>SUMIFS('RCS Initiatives'!K:K,'RCS Initiatives'!$E:$E,'Gap Analysis update'!$B73,'RCS Initiatives'!$A:$A,'Gap Analysis update'!$A73,'RCS Initiatives'!$B:$B,'Gap Analysis update'!AH$2)-SUMIFS('RCS Initiatives'!K:K,'RCS Initiatives'!$E:$E,'Gap Analysis update'!$B73,'RCS Initiatives'!$A:$A,'Gap Analysis update'!$A73,'RCS Initiatives'!$B:$B,'Gap Analysis update'!AH$2,'RCS Initiatives'!$C:$C,'Gap Analysis update'!$B$72)</f>
        <v>0</v>
      </c>
      <c r="AI73" s="298">
        <f>SUMIFS('RCS Initiatives'!L:L,'RCS Initiatives'!$E:$E,'Gap Analysis update'!$B73,'RCS Initiatives'!$A:$A,'Gap Analysis update'!$A73,'RCS Initiatives'!$B:$B,'Gap Analysis update'!AI$2)-SUMIFS('RCS Initiatives'!L:L,'RCS Initiatives'!$E:$E,'Gap Analysis update'!$B73,'RCS Initiatives'!$A:$A,'Gap Analysis update'!$A73,'RCS Initiatives'!$B:$B,'Gap Analysis update'!AI$2,'RCS Initiatives'!$C:$C,'Gap Analysis update'!$B$72)</f>
        <v>0</v>
      </c>
      <c r="AJ73" s="298">
        <f>SUMIFS('RCS Initiatives'!M:M,'RCS Initiatives'!$E:$E,'Gap Analysis update'!$B73,'RCS Initiatives'!$A:$A,'Gap Analysis update'!$A73,'RCS Initiatives'!$B:$B,'Gap Analysis update'!AJ$2)-SUMIFS('RCS Initiatives'!M:M,'RCS Initiatives'!$E:$E,'Gap Analysis update'!$B73,'RCS Initiatives'!$A:$A,'Gap Analysis update'!$A73,'RCS Initiatives'!$B:$B,'Gap Analysis update'!AJ$2,'RCS Initiatives'!$C:$C,'Gap Analysis update'!$B$72)</f>
        <v>0</v>
      </c>
      <c r="AK73" s="298">
        <f>SUMIFS('RCS Initiatives'!N:N,'RCS Initiatives'!$E:$E,'Gap Analysis update'!$B73,'RCS Initiatives'!$A:$A,'Gap Analysis update'!$A73,'RCS Initiatives'!$B:$B,'Gap Analysis update'!AK$2)-SUMIFS('RCS Initiatives'!N:N,'RCS Initiatives'!$E:$E,'Gap Analysis update'!$B73,'RCS Initiatives'!$A:$A,'Gap Analysis update'!$A73,'RCS Initiatives'!$B:$B,'Gap Analysis update'!AK$2,'RCS Initiatives'!$C:$C,'Gap Analysis update'!$B$72)</f>
        <v>0</v>
      </c>
      <c r="AL73" s="298">
        <f>SUMIFS('RCS Initiatives'!O:O,'RCS Initiatives'!$E:$E,'Gap Analysis update'!$B73,'RCS Initiatives'!$A:$A,'Gap Analysis update'!$A73,'RCS Initiatives'!$B:$B,'Gap Analysis update'!AL$2)-SUMIFS('RCS Initiatives'!O:O,'RCS Initiatives'!$E:$E,'Gap Analysis update'!$B73,'RCS Initiatives'!$A:$A,'Gap Analysis update'!$A73,'RCS Initiatives'!$B:$B,'Gap Analysis update'!AL$2,'RCS Initiatives'!$C:$C,'Gap Analysis update'!$B$72)</f>
        <v>0</v>
      </c>
      <c r="AM73" s="298">
        <f>SUMIFS('RCS Initiatives'!P:P,'RCS Initiatives'!$E:$E,'Gap Analysis update'!$B73,'RCS Initiatives'!$A:$A,'Gap Analysis update'!$A73,'RCS Initiatives'!$B:$B,'Gap Analysis update'!AM$2)-SUMIFS('RCS Initiatives'!P:P,'RCS Initiatives'!$E:$E,'Gap Analysis update'!$B73,'RCS Initiatives'!$A:$A,'Gap Analysis update'!$A73,'RCS Initiatives'!$B:$B,'Gap Analysis update'!AM$2,'RCS Initiatives'!$C:$C,'Gap Analysis update'!$B$72)</f>
        <v>0</v>
      </c>
      <c r="AN73" s="298">
        <f>SUMIFS('RCS Initiatives'!Q:Q,'RCS Initiatives'!$E:$E,'Gap Analysis update'!$B73,'RCS Initiatives'!$A:$A,'Gap Analysis update'!$A73,'RCS Initiatives'!$B:$B,'Gap Analysis update'!AN$2)-SUMIFS('RCS Initiatives'!Q:Q,'RCS Initiatives'!$E:$E,'Gap Analysis update'!$B73,'RCS Initiatives'!$A:$A,'Gap Analysis update'!$A73,'RCS Initiatives'!$B:$B,'Gap Analysis update'!AN$2,'RCS Initiatives'!$C:$C,'Gap Analysis update'!$B$72)</f>
        <v>0</v>
      </c>
      <c r="AO73" s="298">
        <f>SUMIFS('RCS Initiatives'!R:R,'RCS Initiatives'!$E:$E,'Gap Analysis update'!$B73,'RCS Initiatives'!$A:$A,'Gap Analysis update'!$A73,'RCS Initiatives'!$B:$B,'Gap Analysis update'!AO$2)-SUMIFS('RCS Initiatives'!R:R,'RCS Initiatives'!$E:$E,'Gap Analysis update'!$B73,'RCS Initiatives'!$A:$A,'Gap Analysis update'!$A73,'RCS Initiatives'!$B:$B,'Gap Analysis update'!AO$2,'RCS Initiatives'!$C:$C,'Gap Analysis update'!$B$72)</f>
        <v>0</v>
      </c>
      <c r="AR73" s="293"/>
      <c r="AS73" s="303"/>
      <c r="AT73" s="289">
        <f t="shared" ref="AT73:AW75" si="70">AB73-J73</f>
        <v>0</v>
      </c>
      <c r="AU73" s="303">
        <f t="shared" si="70"/>
        <v>0</v>
      </c>
      <c r="AV73" s="303">
        <f t="shared" si="70"/>
        <v>0</v>
      </c>
      <c r="AW73" s="303">
        <f t="shared" si="70"/>
        <v>0</v>
      </c>
      <c r="AX73" s="303">
        <f>AF73-N73</f>
        <v>0</v>
      </c>
      <c r="AY73" s="303">
        <f>AG73-O73</f>
        <v>0</v>
      </c>
      <c r="AZ73" s="303">
        <f>AH73-P73</f>
        <v>0</v>
      </c>
      <c r="BA73" s="303">
        <f>AI73-Q73</f>
        <v>0</v>
      </c>
      <c r="BB73" s="303">
        <f>AJ73-R73</f>
        <v>0</v>
      </c>
      <c r="BC73" s="303">
        <f t="shared" si="60"/>
        <v>0</v>
      </c>
      <c r="BD73" s="303">
        <f t="shared" si="60"/>
        <v>0</v>
      </c>
      <c r="BE73" s="303">
        <f t="shared" si="60"/>
        <v>0</v>
      </c>
      <c r="BF73" s="303">
        <f t="shared" si="60"/>
        <v>0</v>
      </c>
      <c r="BG73" s="303">
        <f t="shared" si="60"/>
        <v>0</v>
      </c>
      <c r="BH73" s="303">
        <f t="shared" si="60"/>
        <v>0</v>
      </c>
      <c r="BI73" s="303">
        <f t="shared" si="60"/>
        <v>0</v>
      </c>
      <c r="BJ73" s="293"/>
      <c r="BK73" s="288"/>
      <c r="BL73" s="288"/>
      <c r="BM73" s="288"/>
      <c r="BN73" s="288"/>
      <c r="BO73" s="288"/>
      <c r="BP73" s="288"/>
      <c r="BQ73" s="288"/>
      <c r="BR73" s="288"/>
      <c r="BS73" s="288"/>
      <c r="BT73" s="288"/>
      <c r="BU73" s="288"/>
      <c r="BV73" s="288"/>
      <c r="BW73" s="288"/>
      <c r="BX73" s="288"/>
      <c r="BY73" s="288"/>
      <c r="BZ73" s="288"/>
      <c r="CA73" s="288"/>
      <c r="CB73" s="288"/>
    </row>
    <row r="74" spans="1:80" s="298" customFormat="1" ht="13">
      <c r="A74" s="296" t="s">
        <v>136</v>
      </c>
      <c r="B74" s="287" t="s">
        <v>33</v>
      </c>
      <c r="C74" s="288">
        <f t="shared" ref="C74:C78" si="71">SUM(AS74:BA74)</f>
        <v>0</v>
      </c>
      <c r="D74" s="289">
        <f t="shared" ref="D74:D78" si="72">SUM(BB74:BG74)</f>
        <v>0</v>
      </c>
      <c r="E74" s="289">
        <f t="shared" si="8"/>
        <v>0</v>
      </c>
      <c r="F74" s="286"/>
      <c r="G74" s="286"/>
      <c r="H74" s="297"/>
      <c r="K74" s="288"/>
      <c r="L74" s="298">
        <f>SUMIFS('RCS Initiatives'!G:G,'RCS Initiatives'!$E:$E,'Gap Analysis update'!$B74,'RCS Initiatives'!$A:$A,'Gap Analysis update'!$A74,'RCS Initiatives'!$B:$B,'Gap Analysis update'!L$2)-SUMIFS('RCS Initiatives'!G:G,'RCS Initiatives'!$E:$E,'Gap Analysis update'!$B74,'RCS Initiatives'!$A:$A,'Gap Analysis update'!$A74,'RCS Initiatives'!$B:$B,'Gap Analysis update'!L$2,'RCS Initiatives'!$C:$C,'Gap Analysis update'!$B$72)</f>
        <v>0</v>
      </c>
      <c r="M74" s="298">
        <f>SUMIFS('RCS Initiatives'!H:H,'RCS Initiatives'!$E:$E,'Gap Analysis update'!$B74,'RCS Initiatives'!$A:$A,'Gap Analysis update'!$A74,'RCS Initiatives'!$B:$B,'Gap Analysis update'!M$2)-SUMIFS('RCS Initiatives'!H:H,'RCS Initiatives'!$E:$E,'Gap Analysis update'!$B74,'RCS Initiatives'!$A:$A,'Gap Analysis update'!$A74,'RCS Initiatives'!$B:$B,'Gap Analysis update'!M$2,'RCS Initiatives'!$C:$C,'Gap Analysis update'!$B$72)</f>
        <v>0</v>
      </c>
      <c r="N74" s="298">
        <f>SUMIFS('RCS Initiatives'!I:I,'RCS Initiatives'!$E:$E,'Gap Analysis update'!$B74,'RCS Initiatives'!$A:$A,'Gap Analysis update'!$A74,'RCS Initiatives'!$B:$B,'Gap Analysis update'!N$2)-SUMIFS('RCS Initiatives'!I:I,'RCS Initiatives'!$E:$E,'Gap Analysis update'!$B74,'RCS Initiatives'!$A:$A,'Gap Analysis update'!$A74,'RCS Initiatives'!$B:$B,'Gap Analysis update'!N$2,'RCS Initiatives'!$C:$C,'Gap Analysis update'!$B$72)</f>
        <v>0</v>
      </c>
      <c r="O74" s="298">
        <f>SUMIFS('RCS Initiatives'!J:J,'RCS Initiatives'!$E:$E,'Gap Analysis update'!$B74,'RCS Initiatives'!$A:$A,'Gap Analysis update'!$A74,'RCS Initiatives'!$B:$B,'Gap Analysis update'!O$2)-SUMIFS('RCS Initiatives'!J:J,'RCS Initiatives'!$E:$E,'Gap Analysis update'!$B74,'RCS Initiatives'!$A:$A,'Gap Analysis update'!$A74,'RCS Initiatives'!$B:$B,'Gap Analysis update'!O$2,'RCS Initiatives'!$C:$C,'Gap Analysis update'!$B$72)</f>
        <v>0</v>
      </c>
      <c r="P74" s="298">
        <f>SUMIFS('RCS Initiatives'!K:K,'RCS Initiatives'!$E:$E,'Gap Analysis update'!$B74,'RCS Initiatives'!$A:$A,'Gap Analysis update'!$A74,'RCS Initiatives'!$B:$B,'Gap Analysis update'!P$2)-SUMIFS('RCS Initiatives'!K:K,'RCS Initiatives'!$E:$E,'Gap Analysis update'!$B74,'RCS Initiatives'!$A:$A,'Gap Analysis update'!$A74,'RCS Initiatives'!$B:$B,'Gap Analysis update'!P$2,'RCS Initiatives'!$C:$C,'Gap Analysis update'!$B$72)</f>
        <v>0</v>
      </c>
      <c r="Q74" s="298">
        <f>SUMIFS('RCS Initiatives'!L:L,'RCS Initiatives'!$E:$E,'Gap Analysis update'!$B74,'RCS Initiatives'!$A:$A,'Gap Analysis update'!$A74,'RCS Initiatives'!$B:$B,'Gap Analysis update'!Q$2)-SUMIFS('RCS Initiatives'!L:L,'RCS Initiatives'!$E:$E,'Gap Analysis update'!$B74,'RCS Initiatives'!$A:$A,'Gap Analysis update'!$A74,'RCS Initiatives'!$B:$B,'Gap Analysis update'!Q$2,'RCS Initiatives'!$C:$C,'Gap Analysis update'!$B$72)</f>
        <v>0</v>
      </c>
      <c r="R74" s="298">
        <f>SUMIFS('RCS Initiatives'!M:M,'RCS Initiatives'!$E:$E,'Gap Analysis update'!$B74,'RCS Initiatives'!$A:$A,'Gap Analysis update'!$A74,'RCS Initiatives'!$B:$B,'Gap Analysis update'!R$2)-SUMIFS('RCS Initiatives'!M:M,'RCS Initiatives'!$E:$E,'Gap Analysis update'!$B74,'RCS Initiatives'!$A:$A,'Gap Analysis update'!$A74,'RCS Initiatives'!$B:$B,'Gap Analysis update'!R$2,'RCS Initiatives'!$C:$C,'Gap Analysis update'!$B$72)</f>
        <v>0</v>
      </c>
      <c r="S74" s="298">
        <f>SUMIFS('RCS Initiatives'!N:N,'RCS Initiatives'!$E:$E,'Gap Analysis update'!$B74,'RCS Initiatives'!$A:$A,'Gap Analysis update'!$A74,'RCS Initiatives'!$B:$B,'Gap Analysis update'!S$2)-SUMIFS('RCS Initiatives'!N:N,'RCS Initiatives'!$E:$E,'Gap Analysis update'!$B74,'RCS Initiatives'!$A:$A,'Gap Analysis update'!$A74,'RCS Initiatives'!$B:$B,'Gap Analysis update'!S$2,'RCS Initiatives'!$C:$C,'Gap Analysis update'!$B$72)</f>
        <v>0</v>
      </c>
      <c r="T74" s="298">
        <f>SUMIFS('RCS Initiatives'!O:O,'RCS Initiatives'!$E:$E,'Gap Analysis update'!$B74,'RCS Initiatives'!$A:$A,'Gap Analysis update'!$A74,'RCS Initiatives'!$B:$B,'Gap Analysis update'!T$2)-SUMIFS('RCS Initiatives'!O:O,'RCS Initiatives'!$E:$E,'Gap Analysis update'!$B74,'RCS Initiatives'!$A:$A,'Gap Analysis update'!$A74,'RCS Initiatives'!$B:$B,'Gap Analysis update'!T$2,'RCS Initiatives'!$C:$C,'Gap Analysis update'!$B$72)</f>
        <v>0</v>
      </c>
      <c r="U74" s="298">
        <f>SUMIFS('RCS Initiatives'!P:P,'RCS Initiatives'!$E:$E,'Gap Analysis update'!$B74,'RCS Initiatives'!$A:$A,'Gap Analysis update'!$A74,'RCS Initiatives'!$B:$B,'Gap Analysis update'!U$2)-SUMIFS('RCS Initiatives'!P:P,'RCS Initiatives'!$E:$E,'Gap Analysis update'!$B74,'RCS Initiatives'!$A:$A,'Gap Analysis update'!$A74,'RCS Initiatives'!$B:$B,'Gap Analysis update'!U$2,'RCS Initiatives'!$C:$C,'Gap Analysis update'!$B$72)</f>
        <v>0</v>
      </c>
      <c r="V74" s="298">
        <f>SUMIFS('RCS Initiatives'!Q:Q,'RCS Initiatives'!$E:$E,'Gap Analysis update'!$B74,'RCS Initiatives'!$A:$A,'Gap Analysis update'!$A74,'RCS Initiatives'!$B:$B,'Gap Analysis update'!V$2)-SUMIFS('RCS Initiatives'!Q:Q,'RCS Initiatives'!$E:$E,'Gap Analysis update'!$B74,'RCS Initiatives'!$A:$A,'Gap Analysis update'!$A74,'RCS Initiatives'!$B:$B,'Gap Analysis update'!V$2,'RCS Initiatives'!$C:$C,'Gap Analysis update'!$B$72)</f>
        <v>0</v>
      </c>
      <c r="W74" s="298">
        <f>SUMIFS('RCS Initiatives'!R:R,'RCS Initiatives'!$E:$E,'Gap Analysis update'!$B74,'RCS Initiatives'!$A:$A,'Gap Analysis update'!$A74,'RCS Initiatives'!$B:$B,'Gap Analysis update'!W$2)-SUMIFS('RCS Initiatives'!R:R,'RCS Initiatives'!$E:$E,'Gap Analysis update'!$B74,'RCS Initiatives'!$A:$A,'Gap Analysis update'!$A74,'RCS Initiatives'!$B:$B,'Gap Analysis update'!W$2,'RCS Initiatives'!$C:$C,'Gap Analysis update'!$B$72)</f>
        <v>0</v>
      </c>
      <c r="Z74" s="293"/>
      <c r="AD74" s="298">
        <f>SUMIFS('RCS Initiatives'!G:G,'RCS Initiatives'!$E:$E,'Gap Analysis update'!$B74,'RCS Initiatives'!$A:$A,'Gap Analysis update'!$A74,'RCS Initiatives'!$B:$B,'Gap Analysis update'!AD$2)-SUMIFS('RCS Initiatives'!G:G,'RCS Initiatives'!$E:$E,'Gap Analysis update'!$B74,'RCS Initiatives'!$A:$A,'Gap Analysis update'!$A74,'RCS Initiatives'!$B:$B,'Gap Analysis update'!AD$2,'RCS Initiatives'!$C:$C,'Gap Analysis update'!$B$72)</f>
        <v>0</v>
      </c>
      <c r="AE74" s="298">
        <f>SUMIFS('RCS Initiatives'!H:H,'RCS Initiatives'!$E:$E,'Gap Analysis update'!$B74,'RCS Initiatives'!$A:$A,'Gap Analysis update'!$A74,'RCS Initiatives'!$B:$B,'Gap Analysis update'!AE$2)-SUMIFS('RCS Initiatives'!H:H,'RCS Initiatives'!$E:$E,'Gap Analysis update'!$B74,'RCS Initiatives'!$A:$A,'Gap Analysis update'!$A74,'RCS Initiatives'!$B:$B,'Gap Analysis update'!AE$2,'RCS Initiatives'!$C:$C,'Gap Analysis update'!$B$72)</f>
        <v>0</v>
      </c>
      <c r="AF74" s="298">
        <f>SUMIFS('RCS Initiatives'!I:I,'RCS Initiatives'!$E:$E,'Gap Analysis update'!$B74,'RCS Initiatives'!$A:$A,'Gap Analysis update'!$A74,'RCS Initiatives'!$B:$B,'Gap Analysis update'!AF$2)-SUMIFS('RCS Initiatives'!I:I,'RCS Initiatives'!$E:$E,'Gap Analysis update'!$B74,'RCS Initiatives'!$A:$A,'Gap Analysis update'!$A74,'RCS Initiatives'!$B:$B,'Gap Analysis update'!AF$2,'RCS Initiatives'!$C:$C,'Gap Analysis update'!$B$72)</f>
        <v>0</v>
      </c>
      <c r="AG74" s="298">
        <f>SUMIFS('RCS Initiatives'!J:J,'RCS Initiatives'!$E:$E,'Gap Analysis update'!$B74,'RCS Initiatives'!$A:$A,'Gap Analysis update'!$A74,'RCS Initiatives'!$B:$B,'Gap Analysis update'!AG$2)-SUMIFS('RCS Initiatives'!J:J,'RCS Initiatives'!$E:$E,'Gap Analysis update'!$B74,'RCS Initiatives'!$A:$A,'Gap Analysis update'!$A74,'RCS Initiatives'!$B:$B,'Gap Analysis update'!AG$2,'RCS Initiatives'!$C:$C,'Gap Analysis update'!$B$72)</f>
        <v>0</v>
      </c>
      <c r="AH74" s="298">
        <f>SUMIFS('RCS Initiatives'!K:K,'RCS Initiatives'!$E:$E,'Gap Analysis update'!$B74,'RCS Initiatives'!$A:$A,'Gap Analysis update'!$A74,'RCS Initiatives'!$B:$B,'Gap Analysis update'!AH$2)-SUMIFS('RCS Initiatives'!K:K,'RCS Initiatives'!$E:$E,'Gap Analysis update'!$B74,'RCS Initiatives'!$A:$A,'Gap Analysis update'!$A74,'RCS Initiatives'!$B:$B,'Gap Analysis update'!AH$2,'RCS Initiatives'!$C:$C,'Gap Analysis update'!$B$72)</f>
        <v>0</v>
      </c>
      <c r="AI74" s="298">
        <f>SUMIFS('RCS Initiatives'!L:L,'RCS Initiatives'!$E:$E,'Gap Analysis update'!$B74,'RCS Initiatives'!$A:$A,'Gap Analysis update'!$A74,'RCS Initiatives'!$B:$B,'Gap Analysis update'!AI$2)-SUMIFS('RCS Initiatives'!L:L,'RCS Initiatives'!$E:$E,'Gap Analysis update'!$B74,'RCS Initiatives'!$A:$A,'Gap Analysis update'!$A74,'RCS Initiatives'!$B:$B,'Gap Analysis update'!AI$2,'RCS Initiatives'!$C:$C,'Gap Analysis update'!$B$72)</f>
        <v>0</v>
      </c>
      <c r="AJ74" s="298">
        <f>SUMIFS('RCS Initiatives'!M:M,'RCS Initiatives'!$E:$E,'Gap Analysis update'!$B74,'RCS Initiatives'!$A:$A,'Gap Analysis update'!$A74,'RCS Initiatives'!$B:$B,'Gap Analysis update'!AJ$2)-SUMIFS('RCS Initiatives'!M:M,'RCS Initiatives'!$E:$E,'Gap Analysis update'!$B74,'RCS Initiatives'!$A:$A,'Gap Analysis update'!$A74,'RCS Initiatives'!$B:$B,'Gap Analysis update'!AJ$2,'RCS Initiatives'!$C:$C,'Gap Analysis update'!$B$72)</f>
        <v>0</v>
      </c>
      <c r="AK74" s="298">
        <f>SUMIFS('RCS Initiatives'!N:N,'RCS Initiatives'!$E:$E,'Gap Analysis update'!$B74,'RCS Initiatives'!$A:$A,'Gap Analysis update'!$A74,'RCS Initiatives'!$B:$B,'Gap Analysis update'!AK$2)-SUMIFS('RCS Initiatives'!N:N,'RCS Initiatives'!$E:$E,'Gap Analysis update'!$B74,'RCS Initiatives'!$A:$A,'Gap Analysis update'!$A74,'RCS Initiatives'!$B:$B,'Gap Analysis update'!AK$2,'RCS Initiatives'!$C:$C,'Gap Analysis update'!$B$72)</f>
        <v>0</v>
      </c>
      <c r="AL74" s="298">
        <f>SUMIFS('RCS Initiatives'!O:O,'RCS Initiatives'!$E:$E,'Gap Analysis update'!$B74,'RCS Initiatives'!$A:$A,'Gap Analysis update'!$A74,'RCS Initiatives'!$B:$B,'Gap Analysis update'!AL$2)-SUMIFS('RCS Initiatives'!O:O,'RCS Initiatives'!$E:$E,'Gap Analysis update'!$B74,'RCS Initiatives'!$A:$A,'Gap Analysis update'!$A74,'RCS Initiatives'!$B:$B,'Gap Analysis update'!AL$2,'RCS Initiatives'!$C:$C,'Gap Analysis update'!$B$72)</f>
        <v>0</v>
      </c>
      <c r="AM74" s="298">
        <f>SUMIFS('RCS Initiatives'!P:P,'RCS Initiatives'!$E:$E,'Gap Analysis update'!$B74,'RCS Initiatives'!$A:$A,'Gap Analysis update'!$A74,'RCS Initiatives'!$B:$B,'Gap Analysis update'!AM$2)-SUMIFS('RCS Initiatives'!P:P,'RCS Initiatives'!$E:$E,'Gap Analysis update'!$B74,'RCS Initiatives'!$A:$A,'Gap Analysis update'!$A74,'RCS Initiatives'!$B:$B,'Gap Analysis update'!AM$2,'RCS Initiatives'!$C:$C,'Gap Analysis update'!$B$72)</f>
        <v>0</v>
      </c>
      <c r="AN74" s="298">
        <f>SUMIFS('RCS Initiatives'!Q:Q,'RCS Initiatives'!$E:$E,'Gap Analysis update'!$B74,'RCS Initiatives'!$A:$A,'Gap Analysis update'!$A74,'RCS Initiatives'!$B:$B,'Gap Analysis update'!AN$2)-SUMIFS('RCS Initiatives'!Q:Q,'RCS Initiatives'!$E:$E,'Gap Analysis update'!$B74,'RCS Initiatives'!$A:$A,'Gap Analysis update'!$A74,'RCS Initiatives'!$B:$B,'Gap Analysis update'!AN$2,'RCS Initiatives'!$C:$C,'Gap Analysis update'!$B$72)</f>
        <v>0</v>
      </c>
      <c r="AO74" s="298">
        <f>SUMIFS('RCS Initiatives'!R:R,'RCS Initiatives'!$E:$E,'Gap Analysis update'!$B74,'RCS Initiatives'!$A:$A,'Gap Analysis update'!$A74,'RCS Initiatives'!$B:$B,'Gap Analysis update'!AO$2)-SUMIFS('RCS Initiatives'!R:R,'RCS Initiatives'!$E:$E,'Gap Analysis update'!$B74,'RCS Initiatives'!$A:$A,'Gap Analysis update'!$A74,'RCS Initiatives'!$B:$B,'Gap Analysis update'!AO$2,'RCS Initiatives'!$C:$C,'Gap Analysis update'!$B$72)</f>
        <v>0</v>
      </c>
      <c r="AR74" s="293"/>
      <c r="AS74" s="303"/>
      <c r="AT74" s="289">
        <f t="shared" si="70"/>
        <v>0</v>
      </c>
      <c r="AU74" s="303">
        <f t="shared" si="70"/>
        <v>0</v>
      </c>
      <c r="AV74" s="303">
        <f t="shared" si="70"/>
        <v>0</v>
      </c>
      <c r="AW74" s="303">
        <f t="shared" si="70"/>
        <v>0</v>
      </c>
      <c r="AX74" s="303">
        <f>AF74-N74</f>
        <v>0</v>
      </c>
      <c r="AY74" s="303">
        <f>AG74-O74</f>
        <v>0</v>
      </c>
      <c r="AZ74" s="303">
        <f>AH74-P74</f>
        <v>0</v>
      </c>
      <c r="BA74" s="303">
        <f>AI74-Q74</f>
        <v>0</v>
      </c>
      <c r="BB74" s="303">
        <f>AJ74-R74</f>
        <v>0</v>
      </c>
      <c r="BC74" s="303">
        <f t="shared" si="60"/>
        <v>0</v>
      </c>
      <c r="BD74" s="303">
        <f t="shared" si="60"/>
        <v>0</v>
      </c>
      <c r="BE74" s="303">
        <f t="shared" si="60"/>
        <v>0</v>
      </c>
      <c r="BF74" s="303">
        <f t="shared" si="60"/>
        <v>0</v>
      </c>
      <c r="BG74" s="303">
        <f t="shared" si="60"/>
        <v>0</v>
      </c>
      <c r="BH74" s="303">
        <f t="shared" si="60"/>
        <v>0</v>
      </c>
      <c r="BI74" s="303">
        <f t="shared" si="60"/>
        <v>0</v>
      </c>
      <c r="BJ74" s="293"/>
      <c r="BK74" s="288"/>
      <c r="BL74" s="288"/>
      <c r="BM74" s="288"/>
      <c r="BN74" s="288"/>
      <c r="BO74" s="288"/>
      <c r="BP74" s="288"/>
      <c r="BQ74" s="288"/>
      <c r="BR74" s="288"/>
      <c r="BS74" s="288"/>
      <c r="BT74" s="288"/>
      <c r="BU74" s="288"/>
      <c r="BV74" s="288"/>
      <c r="BW74" s="288"/>
      <c r="BX74" s="288"/>
      <c r="BY74" s="288"/>
      <c r="BZ74" s="288"/>
      <c r="CA74" s="288"/>
      <c r="CB74" s="288"/>
    </row>
    <row r="75" spans="1:80" s="298" customFormat="1" ht="98.25" customHeight="1">
      <c r="A75" s="296" t="s">
        <v>136</v>
      </c>
      <c r="B75" s="287" t="s">
        <v>140</v>
      </c>
      <c r="C75" s="288">
        <f t="shared" si="71"/>
        <v>5.4503580708344093E-3</v>
      </c>
      <c r="D75" s="289">
        <f t="shared" si="72"/>
        <v>-1.9066850630562987E-4</v>
      </c>
      <c r="E75" s="289">
        <f t="shared" si="8"/>
        <v>5.2596895645287793E-3</v>
      </c>
      <c r="F75" s="286" t="s">
        <v>141</v>
      </c>
      <c r="G75" s="286"/>
      <c r="H75" s="297"/>
      <c r="K75" s="288"/>
      <c r="L75" s="298">
        <f>SUMIFS('RCS Initiatives'!G:G,'RCS Initiatives'!$E:$E,'Gap Analysis update'!$B75,'RCS Initiatives'!$A:$A,'Gap Analysis update'!$A75,'RCS Initiatives'!$B:$B,'Gap Analysis update'!L$2)-SUMIFS('RCS Initiatives'!G:G,'RCS Initiatives'!$E:$E,'Gap Analysis update'!$B75,'RCS Initiatives'!$A:$A,'Gap Analysis update'!$A75,'RCS Initiatives'!$B:$B,'Gap Analysis update'!L$2,'RCS Initiatives'!$C:$C,'Gap Analysis update'!$B$72)</f>
        <v>0</v>
      </c>
      <c r="M75" s="298">
        <f>SUMIFS('RCS Initiatives'!H:H,'RCS Initiatives'!$E:$E,'Gap Analysis update'!$B75,'RCS Initiatives'!$A:$A,'Gap Analysis update'!$A75,'RCS Initiatives'!$B:$B,'Gap Analysis update'!M$2)-SUMIFS('RCS Initiatives'!H:H,'RCS Initiatives'!$E:$E,'Gap Analysis update'!$B75,'RCS Initiatives'!$A:$A,'Gap Analysis update'!$A75,'RCS Initiatives'!$B:$B,'Gap Analysis update'!M$2,'RCS Initiatives'!$C:$C,'Gap Analysis update'!$B$72)</f>
        <v>0</v>
      </c>
      <c r="N75" s="298">
        <f>SUMIFS('RCS Initiatives'!I:I,'RCS Initiatives'!$E:$E,'Gap Analysis update'!$B75,'RCS Initiatives'!$A:$A,'Gap Analysis update'!$A75,'RCS Initiatives'!$B:$B,'Gap Analysis update'!N$2)-SUMIFS('RCS Initiatives'!I:I,'RCS Initiatives'!$E:$E,'Gap Analysis update'!$B75,'RCS Initiatives'!$A:$A,'Gap Analysis update'!$A75,'RCS Initiatives'!$B:$B,'Gap Analysis update'!N$2,'RCS Initiatives'!$C:$C,'Gap Analysis update'!$B$72)</f>
        <v>0</v>
      </c>
      <c r="O75" s="298">
        <f>SUMIFS('RCS Initiatives'!J:J,'RCS Initiatives'!$E:$E,'Gap Analysis update'!$B75,'RCS Initiatives'!$A:$A,'Gap Analysis update'!$A75,'RCS Initiatives'!$B:$B,'Gap Analysis update'!O$2)-SUMIFS('RCS Initiatives'!J:J,'RCS Initiatives'!$E:$E,'Gap Analysis update'!$B75,'RCS Initiatives'!$A:$A,'Gap Analysis update'!$A75,'RCS Initiatives'!$B:$B,'Gap Analysis update'!O$2,'RCS Initiatives'!$C:$C,'Gap Analysis update'!$B$72)</f>
        <v>0</v>
      </c>
      <c r="P75" s="298">
        <f>SUMIFS('RCS Initiatives'!K:K,'RCS Initiatives'!$E:$E,'Gap Analysis update'!$B75,'RCS Initiatives'!$A:$A,'Gap Analysis update'!$A75,'RCS Initiatives'!$B:$B,'Gap Analysis update'!P$2)-SUMIFS('RCS Initiatives'!K:K,'RCS Initiatives'!$E:$E,'Gap Analysis update'!$B75,'RCS Initiatives'!$A:$A,'Gap Analysis update'!$A75,'RCS Initiatives'!$B:$B,'Gap Analysis update'!P$2,'RCS Initiatives'!$C:$C,'Gap Analysis update'!$B$72)</f>
        <v>-5.7483881910121411E-3</v>
      </c>
      <c r="Q75" s="298">
        <f>SUMIFS('RCS Initiatives'!L:L,'RCS Initiatives'!$E:$E,'Gap Analysis update'!$B75,'RCS Initiatives'!$A:$A,'Gap Analysis update'!$A75,'RCS Initiatives'!$B:$B,'Gap Analysis update'!Q$2)-SUMIFS('RCS Initiatives'!L:L,'RCS Initiatives'!$E:$E,'Gap Analysis update'!$B75,'RCS Initiatives'!$A:$A,'Gap Analysis update'!$A75,'RCS Initiatives'!$B:$B,'Gap Analysis update'!Q$2,'RCS Initiatives'!$C:$C,'Gap Analysis update'!$B$72)</f>
        <v>0</v>
      </c>
      <c r="R75" s="298">
        <f>SUMIFS('RCS Initiatives'!M:M,'RCS Initiatives'!$E:$E,'Gap Analysis update'!$B75,'RCS Initiatives'!$A:$A,'Gap Analysis update'!$A75,'RCS Initiatives'!$B:$B,'Gap Analysis update'!R$2)-SUMIFS('RCS Initiatives'!M:M,'RCS Initiatives'!$E:$E,'Gap Analysis update'!$B75,'RCS Initiatives'!$A:$A,'Gap Analysis update'!$A75,'RCS Initiatives'!$B:$B,'Gap Analysis update'!R$2,'RCS Initiatives'!$C:$C,'Gap Analysis update'!$B$72)</f>
        <v>0</v>
      </c>
      <c r="S75" s="298">
        <f>SUMIFS('RCS Initiatives'!N:N,'RCS Initiatives'!$E:$E,'Gap Analysis update'!$B75,'RCS Initiatives'!$A:$A,'Gap Analysis update'!$A75,'RCS Initiatives'!$B:$B,'Gap Analysis update'!S$2)-SUMIFS('RCS Initiatives'!N:N,'RCS Initiatives'!$E:$E,'Gap Analysis update'!$B75,'RCS Initiatives'!$A:$A,'Gap Analysis update'!$A75,'RCS Initiatives'!$B:$B,'Gap Analysis update'!S$2,'RCS Initiatives'!$C:$C,'Gap Analysis update'!$B$72)</f>
        <v>0</v>
      </c>
      <c r="T75" s="298">
        <f>SUMIFS('RCS Initiatives'!O:O,'RCS Initiatives'!$E:$E,'Gap Analysis update'!$B75,'RCS Initiatives'!$A:$A,'Gap Analysis update'!$A75,'RCS Initiatives'!$B:$B,'Gap Analysis update'!T$2)-SUMIFS('RCS Initiatives'!O:O,'RCS Initiatives'!$E:$E,'Gap Analysis update'!$B75,'RCS Initiatives'!$A:$A,'Gap Analysis update'!$A75,'RCS Initiatives'!$B:$B,'Gap Analysis update'!T$2,'RCS Initiatives'!$C:$C,'Gap Analysis update'!$B$72)</f>
        <v>0</v>
      </c>
      <c r="U75" s="298">
        <f>SUMIFS('RCS Initiatives'!P:P,'RCS Initiatives'!$E:$E,'Gap Analysis update'!$B75,'RCS Initiatives'!$A:$A,'Gap Analysis update'!$A75,'RCS Initiatives'!$B:$B,'Gap Analysis update'!U$2)-SUMIFS('RCS Initiatives'!P:P,'RCS Initiatives'!$E:$E,'Gap Analysis update'!$B75,'RCS Initiatives'!$A:$A,'Gap Analysis update'!$A75,'RCS Initiatives'!$B:$B,'Gap Analysis update'!U$2,'RCS Initiatives'!$C:$C,'Gap Analysis update'!$B$72)</f>
        <v>0</v>
      </c>
      <c r="V75" s="298">
        <f>SUMIFS('RCS Initiatives'!Q:Q,'RCS Initiatives'!$E:$E,'Gap Analysis update'!$B75,'RCS Initiatives'!$A:$A,'Gap Analysis update'!$A75,'RCS Initiatives'!$B:$B,'Gap Analysis update'!V$2)-SUMIFS('RCS Initiatives'!Q:Q,'RCS Initiatives'!$E:$E,'Gap Analysis update'!$B75,'RCS Initiatives'!$A:$A,'Gap Analysis update'!$A75,'RCS Initiatives'!$B:$B,'Gap Analysis update'!V$2,'RCS Initiatives'!$C:$C,'Gap Analysis update'!$B$72)</f>
        <v>0</v>
      </c>
      <c r="W75" s="298">
        <f>SUMIFS('RCS Initiatives'!R:R,'RCS Initiatives'!$E:$E,'Gap Analysis update'!$B75,'RCS Initiatives'!$A:$A,'Gap Analysis update'!$A75,'RCS Initiatives'!$B:$B,'Gap Analysis update'!W$2)-SUMIFS('RCS Initiatives'!R:R,'RCS Initiatives'!$E:$E,'Gap Analysis update'!$B75,'RCS Initiatives'!$A:$A,'Gap Analysis update'!$A75,'RCS Initiatives'!$B:$B,'Gap Analysis update'!W$2,'RCS Initiatives'!$C:$C,'Gap Analysis update'!$B$72)</f>
        <v>0</v>
      </c>
      <c r="Z75" s="293"/>
      <c r="AD75" s="298">
        <f>SUMIFS('RCS Initiatives'!G:G,'RCS Initiatives'!$E:$E,'Gap Analysis update'!$B75,'RCS Initiatives'!$A:$A,'Gap Analysis update'!$A75,'RCS Initiatives'!$B:$B,'Gap Analysis update'!AD$2)-SUMIFS('RCS Initiatives'!G:G,'RCS Initiatives'!$E:$E,'Gap Analysis update'!$B75,'RCS Initiatives'!$A:$A,'Gap Analysis update'!$A75,'RCS Initiatives'!$B:$B,'Gap Analysis update'!AD$2,'RCS Initiatives'!$C:$C,'Gap Analysis update'!$B$72)</f>
        <v>0</v>
      </c>
      <c r="AE75" s="298">
        <f>SUMIFS('RCS Initiatives'!H:H,'RCS Initiatives'!$E:$E,'Gap Analysis update'!$B75,'RCS Initiatives'!$A:$A,'Gap Analysis update'!$A75,'RCS Initiatives'!$B:$B,'Gap Analysis update'!AE$2)-SUMIFS('RCS Initiatives'!H:H,'RCS Initiatives'!$E:$E,'Gap Analysis update'!$B75,'RCS Initiatives'!$A:$A,'Gap Analysis update'!$A75,'RCS Initiatives'!$B:$B,'Gap Analysis update'!AE$2,'RCS Initiatives'!$C:$C,'Gap Analysis update'!$B$72)</f>
        <v>0</v>
      </c>
      <c r="AF75" s="298">
        <f>SUMIFS('RCS Initiatives'!I:I,'RCS Initiatives'!$E:$E,'Gap Analysis update'!$B75,'RCS Initiatives'!$A:$A,'Gap Analysis update'!$A75,'RCS Initiatives'!$B:$B,'Gap Analysis update'!AF$2)-SUMIFS('RCS Initiatives'!I:I,'RCS Initiatives'!$E:$E,'Gap Analysis update'!$B75,'RCS Initiatives'!$A:$A,'Gap Analysis update'!$A75,'RCS Initiatives'!$B:$B,'Gap Analysis update'!AF$2,'RCS Initiatives'!$C:$C,'Gap Analysis update'!$B$72)</f>
        <v>0</v>
      </c>
      <c r="AG75" s="298">
        <f>SUMIFS('RCS Initiatives'!J:J,'RCS Initiatives'!$E:$E,'Gap Analysis update'!$B75,'RCS Initiatives'!$A:$A,'Gap Analysis update'!$A75,'RCS Initiatives'!$B:$B,'Gap Analysis update'!AG$2)-SUMIFS('RCS Initiatives'!J:J,'RCS Initiatives'!$E:$E,'Gap Analysis update'!$B75,'RCS Initiatives'!$A:$A,'Gap Analysis update'!$A75,'RCS Initiatives'!$B:$B,'Gap Analysis update'!AG$2,'RCS Initiatives'!$C:$C,'Gap Analysis update'!$B$72)</f>
        <v>0</v>
      </c>
      <c r="AH75" s="298">
        <f>SUMIFS('RCS Initiatives'!K:K,'RCS Initiatives'!$E:$E,'Gap Analysis update'!$B75,'RCS Initiatives'!$A:$A,'Gap Analysis update'!$A75,'RCS Initiatives'!$B:$B,'Gap Analysis update'!AH$2)-SUMIFS('RCS Initiatives'!K:K,'RCS Initiatives'!$E:$E,'Gap Analysis update'!$B75,'RCS Initiatives'!$A:$A,'Gap Analysis update'!$A75,'RCS Initiatives'!$B:$B,'Gap Analysis update'!AH$2,'RCS Initiatives'!$C:$C,'Gap Analysis update'!$B$72)</f>
        <v>-2.9803012017773166E-4</v>
      </c>
      <c r="AI75" s="298">
        <f>SUMIFS('RCS Initiatives'!L:L,'RCS Initiatives'!$E:$E,'Gap Analysis update'!$B75,'RCS Initiatives'!$A:$A,'Gap Analysis update'!$A75,'RCS Initiatives'!$B:$B,'Gap Analysis update'!AI$2)-SUMIFS('RCS Initiatives'!L:L,'RCS Initiatives'!$E:$E,'Gap Analysis update'!$B75,'RCS Initiatives'!$A:$A,'Gap Analysis update'!$A75,'RCS Initiatives'!$B:$B,'Gap Analysis update'!AI$2,'RCS Initiatives'!$C:$C,'Gap Analysis update'!$B$72)</f>
        <v>0</v>
      </c>
      <c r="AJ75" s="298">
        <f>SUMIFS('RCS Initiatives'!M:M,'RCS Initiatives'!$E:$E,'Gap Analysis update'!$B75,'RCS Initiatives'!$A:$A,'Gap Analysis update'!$A75,'RCS Initiatives'!$B:$B,'Gap Analysis update'!AJ$2)-SUMIFS('RCS Initiatives'!M:M,'RCS Initiatives'!$E:$E,'Gap Analysis update'!$B75,'RCS Initiatives'!$A:$A,'Gap Analysis update'!$A75,'RCS Initiatives'!$B:$B,'Gap Analysis update'!AJ$2,'RCS Initiatives'!$C:$C,'Gap Analysis update'!$B$72)</f>
        <v>1.8985975389742004E-4</v>
      </c>
      <c r="AK75" s="298">
        <f>SUMIFS('RCS Initiatives'!N:N,'RCS Initiatives'!$E:$E,'Gap Analysis update'!$B75,'RCS Initiatives'!$A:$A,'Gap Analysis update'!$A75,'RCS Initiatives'!$B:$B,'Gap Analysis update'!AK$2)-SUMIFS('RCS Initiatives'!N:N,'RCS Initiatives'!$E:$E,'Gap Analysis update'!$B75,'RCS Initiatives'!$A:$A,'Gap Analysis update'!$A75,'RCS Initiatives'!$B:$B,'Gap Analysis update'!AK$2,'RCS Initiatives'!$C:$C,'Gap Analysis update'!$B$72)</f>
        <v>-3.805282602030499E-4</v>
      </c>
      <c r="AL75" s="298">
        <f>SUMIFS('RCS Initiatives'!O:O,'RCS Initiatives'!$E:$E,'Gap Analysis update'!$B75,'RCS Initiatives'!$A:$A,'Gap Analysis update'!$A75,'RCS Initiatives'!$B:$B,'Gap Analysis update'!AL$2)-SUMIFS('RCS Initiatives'!O:O,'RCS Initiatives'!$E:$E,'Gap Analysis update'!$B75,'RCS Initiatives'!$A:$A,'Gap Analysis update'!$A75,'RCS Initiatives'!$B:$B,'Gap Analysis update'!AL$2,'RCS Initiatives'!$C:$C,'Gap Analysis update'!$B$72)</f>
        <v>0</v>
      </c>
      <c r="AM75" s="298">
        <f>SUMIFS('RCS Initiatives'!P:P,'RCS Initiatives'!$E:$E,'Gap Analysis update'!$B75,'RCS Initiatives'!$A:$A,'Gap Analysis update'!$A75,'RCS Initiatives'!$B:$B,'Gap Analysis update'!AM$2)-SUMIFS('RCS Initiatives'!P:P,'RCS Initiatives'!$E:$E,'Gap Analysis update'!$B75,'RCS Initiatives'!$A:$A,'Gap Analysis update'!$A75,'RCS Initiatives'!$B:$B,'Gap Analysis update'!AM$2,'RCS Initiatives'!$C:$C,'Gap Analysis update'!$B$72)</f>
        <v>0</v>
      </c>
      <c r="AN75" s="298">
        <f>SUMIFS('RCS Initiatives'!Q:Q,'RCS Initiatives'!$E:$E,'Gap Analysis update'!$B75,'RCS Initiatives'!$A:$A,'Gap Analysis update'!$A75,'RCS Initiatives'!$B:$B,'Gap Analysis update'!AN$2)-SUMIFS('RCS Initiatives'!Q:Q,'RCS Initiatives'!$E:$E,'Gap Analysis update'!$B75,'RCS Initiatives'!$A:$A,'Gap Analysis update'!$A75,'RCS Initiatives'!$B:$B,'Gap Analysis update'!AN$2,'RCS Initiatives'!$C:$C,'Gap Analysis update'!$B$72)</f>
        <v>0</v>
      </c>
      <c r="AO75" s="298">
        <f>SUMIFS('RCS Initiatives'!R:R,'RCS Initiatives'!$E:$E,'Gap Analysis update'!$B75,'RCS Initiatives'!$A:$A,'Gap Analysis update'!$A75,'RCS Initiatives'!$B:$B,'Gap Analysis update'!AO$2)-SUMIFS('RCS Initiatives'!R:R,'RCS Initiatives'!$E:$E,'Gap Analysis update'!$B75,'RCS Initiatives'!$A:$A,'Gap Analysis update'!$A75,'RCS Initiatives'!$B:$B,'Gap Analysis update'!AO$2,'RCS Initiatives'!$C:$C,'Gap Analysis update'!$B$72)</f>
        <v>0</v>
      </c>
      <c r="AR75" s="293"/>
      <c r="AS75" s="303"/>
      <c r="AT75" s="289">
        <f t="shared" si="70"/>
        <v>0</v>
      </c>
      <c r="AU75" s="303">
        <f t="shared" si="70"/>
        <v>0</v>
      </c>
      <c r="AV75" s="303">
        <f t="shared" si="70"/>
        <v>0</v>
      </c>
      <c r="AW75" s="303">
        <f t="shared" si="70"/>
        <v>0</v>
      </c>
      <c r="AX75" s="303">
        <f>AF75-N75</f>
        <v>0</v>
      </c>
      <c r="AY75" s="303">
        <f>AG75-O75</f>
        <v>0</v>
      </c>
      <c r="AZ75" s="303">
        <f>AH75-P75</f>
        <v>5.4503580708344093E-3</v>
      </c>
      <c r="BA75" s="303">
        <f>AI75-Q75</f>
        <v>0</v>
      </c>
      <c r="BB75" s="303">
        <f>AJ75-R75</f>
        <v>1.8985975389742004E-4</v>
      </c>
      <c r="BC75" s="303">
        <f t="shared" si="60"/>
        <v>-3.805282602030499E-4</v>
      </c>
      <c r="BD75" s="303">
        <f t="shared" si="60"/>
        <v>0</v>
      </c>
      <c r="BE75" s="303">
        <f t="shared" si="60"/>
        <v>0</v>
      </c>
      <c r="BF75" s="303">
        <f t="shared" si="60"/>
        <v>0</v>
      </c>
      <c r="BG75" s="303">
        <f t="shared" si="60"/>
        <v>0</v>
      </c>
      <c r="BH75" s="303">
        <f t="shared" si="60"/>
        <v>0</v>
      </c>
      <c r="BI75" s="303">
        <f t="shared" si="60"/>
        <v>0</v>
      </c>
      <c r="BJ75" s="293"/>
      <c r="BK75" s="288"/>
      <c r="BL75" s="288"/>
      <c r="BM75" s="288"/>
      <c r="BN75" s="288"/>
      <c r="BO75" s="288"/>
      <c r="BP75" s="288"/>
      <c r="BQ75" s="288"/>
      <c r="BR75" s="288"/>
      <c r="BS75" s="288"/>
      <c r="BT75" s="288"/>
      <c r="BU75" s="288"/>
      <c r="BV75" s="288"/>
      <c r="BW75" s="288"/>
      <c r="BX75" s="288"/>
      <c r="BY75" s="288"/>
      <c r="BZ75" s="288"/>
      <c r="CA75" s="288"/>
      <c r="CB75" s="288"/>
    </row>
    <row r="76" spans="1:80" s="298" customFormat="1" ht="204.75" customHeight="1">
      <c r="A76" s="296" t="s">
        <v>136</v>
      </c>
      <c r="B76" s="287" t="s">
        <v>142</v>
      </c>
      <c r="C76" s="288">
        <f t="shared" si="71"/>
        <v>2.8884043376481174E-2</v>
      </c>
      <c r="D76" s="289">
        <f t="shared" si="72"/>
        <v>-5.3607366801410117E-3</v>
      </c>
      <c r="E76" s="289">
        <f t="shared" ref="E76:E78" si="73">D76+C76</f>
        <v>2.3523306696340163E-2</v>
      </c>
      <c r="F76" s="286" t="s">
        <v>143</v>
      </c>
      <c r="G76" s="308" t="s">
        <v>144</v>
      </c>
      <c r="H76" s="297"/>
      <c r="K76" s="288"/>
      <c r="L76" s="298">
        <f>SUMIFS('RCS Initiatives'!G:G,'RCS Initiatives'!$E:$E,'Gap Analysis update'!$B76,'RCS Initiatives'!$A:$A,'Gap Analysis update'!$A76,'RCS Initiatives'!$B:$B,'Gap Analysis update'!L$2)-SUMIFS('RCS Initiatives'!G:G,'RCS Initiatives'!$E:$E,'Gap Analysis update'!$B76,'RCS Initiatives'!$A:$A,'Gap Analysis update'!$A76,'RCS Initiatives'!$B:$B,'Gap Analysis update'!L$2,'RCS Initiatives'!$C:$C,'Gap Analysis update'!$B$72)</f>
        <v>-1.441658494369269E-2</v>
      </c>
      <c r="M76" s="298">
        <f>SUMIFS('RCS Initiatives'!H:H,'RCS Initiatives'!$E:$E,'Gap Analysis update'!$B76,'RCS Initiatives'!$A:$A,'Gap Analysis update'!$A76,'RCS Initiatives'!$B:$B,'Gap Analysis update'!M$2)-SUMIFS('RCS Initiatives'!H:H,'RCS Initiatives'!$E:$E,'Gap Analysis update'!$B76,'RCS Initiatives'!$A:$A,'Gap Analysis update'!$A76,'RCS Initiatives'!$B:$B,'Gap Analysis update'!M$2,'RCS Initiatives'!$C:$C,'Gap Analysis update'!$B$72)</f>
        <v>0</v>
      </c>
      <c r="N76" s="298">
        <f>SUMIFS('RCS Initiatives'!I:I,'RCS Initiatives'!$E:$E,'Gap Analysis update'!$B76,'RCS Initiatives'!$A:$A,'Gap Analysis update'!$A76,'RCS Initiatives'!$B:$B,'Gap Analysis update'!N$2)-SUMIFS('RCS Initiatives'!I:I,'RCS Initiatives'!$E:$E,'Gap Analysis update'!$B76,'RCS Initiatives'!$A:$A,'Gap Analysis update'!$A76,'RCS Initiatives'!$B:$B,'Gap Analysis update'!N$2,'RCS Initiatives'!$C:$C,'Gap Analysis update'!$B$72)</f>
        <v>0</v>
      </c>
      <c r="O76" s="298">
        <f>SUMIFS('RCS Initiatives'!J:J,'RCS Initiatives'!$E:$E,'Gap Analysis update'!$B76,'RCS Initiatives'!$A:$A,'Gap Analysis update'!$A76,'RCS Initiatives'!$B:$B,'Gap Analysis update'!O$2)-SUMIFS('RCS Initiatives'!J:J,'RCS Initiatives'!$E:$E,'Gap Analysis update'!$B76,'RCS Initiatives'!$A:$A,'Gap Analysis update'!$A76,'RCS Initiatives'!$B:$B,'Gap Analysis update'!O$2,'RCS Initiatives'!$C:$C,'Gap Analysis update'!$B$72)</f>
        <v>-1.4412786987671428E-2</v>
      </c>
      <c r="P76" s="298">
        <f>SUMIFS('RCS Initiatives'!K:K,'RCS Initiatives'!$E:$E,'Gap Analysis update'!$B76,'RCS Initiatives'!$A:$A,'Gap Analysis update'!$A76,'RCS Initiatives'!$B:$B,'Gap Analysis update'!P$2)-SUMIFS('RCS Initiatives'!K:K,'RCS Initiatives'!$E:$E,'Gap Analysis update'!$B76,'RCS Initiatives'!$A:$A,'Gap Analysis update'!$A76,'RCS Initiatives'!$B:$B,'Gap Analysis update'!P$2,'RCS Initiatives'!$C:$C,'Gap Analysis update'!$B$72)</f>
        <v>-2.8741940955060706E-3</v>
      </c>
      <c r="Q76" s="298">
        <f>SUMIFS('RCS Initiatives'!L:L,'RCS Initiatives'!$E:$E,'Gap Analysis update'!$B76,'RCS Initiatives'!$A:$A,'Gap Analysis update'!$A76,'RCS Initiatives'!$B:$B,'Gap Analysis update'!Q$2)-SUMIFS('RCS Initiatives'!L:L,'RCS Initiatives'!$E:$E,'Gap Analysis update'!$B76,'RCS Initiatives'!$A:$A,'Gap Analysis update'!$A76,'RCS Initiatives'!$B:$B,'Gap Analysis update'!Q$2,'RCS Initiatives'!$C:$C,'Gap Analysis update'!$B$72)</f>
        <v>0</v>
      </c>
      <c r="R76" s="298">
        <f>SUMIFS('RCS Initiatives'!M:M,'RCS Initiatives'!$E:$E,'Gap Analysis update'!$B76,'RCS Initiatives'!$A:$A,'Gap Analysis update'!$A76,'RCS Initiatives'!$B:$B,'Gap Analysis update'!R$2)-SUMIFS('RCS Initiatives'!M:M,'RCS Initiatives'!$E:$E,'Gap Analysis update'!$B76,'RCS Initiatives'!$A:$A,'Gap Analysis update'!$A76,'RCS Initiatives'!$B:$B,'Gap Analysis update'!R$2,'RCS Initiatives'!$C:$C,'Gap Analysis update'!$B$72)</f>
        <v>0</v>
      </c>
      <c r="S76" s="298">
        <f>SUMIFS('RCS Initiatives'!N:N,'RCS Initiatives'!$E:$E,'Gap Analysis update'!$B76,'RCS Initiatives'!$A:$A,'Gap Analysis update'!$A76,'RCS Initiatives'!$B:$B,'Gap Analysis update'!S$2)-SUMIFS('RCS Initiatives'!N:N,'RCS Initiatives'!$E:$E,'Gap Analysis update'!$B76,'RCS Initiatives'!$A:$A,'Gap Analysis update'!$A76,'RCS Initiatives'!$B:$B,'Gap Analysis update'!S$2,'RCS Initiatives'!$C:$C,'Gap Analysis update'!$B$72)</f>
        <v>0</v>
      </c>
      <c r="T76" s="298">
        <f>SUMIFS('RCS Initiatives'!O:O,'RCS Initiatives'!$E:$E,'Gap Analysis update'!$B76,'RCS Initiatives'!$A:$A,'Gap Analysis update'!$A76,'RCS Initiatives'!$B:$B,'Gap Analysis update'!T$2)-SUMIFS('RCS Initiatives'!O:O,'RCS Initiatives'!$E:$E,'Gap Analysis update'!$B76,'RCS Initiatives'!$A:$A,'Gap Analysis update'!$A76,'RCS Initiatives'!$B:$B,'Gap Analysis update'!T$2,'RCS Initiatives'!$C:$C,'Gap Analysis update'!$B$72)</f>
        <v>0</v>
      </c>
      <c r="U76" s="298">
        <f>SUMIFS('RCS Initiatives'!P:P,'RCS Initiatives'!$E:$E,'Gap Analysis update'!$B76,'RCS Initiatives'!$A:$A,'Gap Analysis update'!$A76,'RCS Initiatives'!$B:$B,'Gap Analysis update'!U$2)-SUMIFS('RCS Initiatives'!P:P,'RCS Initiatives'!$E:$E,'Gap Analysis update'!$B76,'RCS Initiatives'!$A:$A,'Gap Analysis update'!$A76,'RCS Initiatives'!$B:$B,'Gap Analysis update'!U$2,'RCS Initiatives'!$C:$C,'Gap Analysis update'!$B$72)</f>
        <v>0</v>
      </c>
      <c r="V76" s="298">
        <f>SUMIFS('RCS Initiatives'!Q:Q,'RCS Initiatives'!$E:$E,'Gap Analysis update'!$B76,'RCS Initiatives'!$A:$A,'Gap Analysis update'!$A76,'RCS Initiatives'!$B:$B,'Gap Analysis update'!V$2)-SUMIFS('RCS Initiatives'!Q:Q,'RCS Initiatives'!$E:$E,'Gap Analysis update'!$B76,'RCS Initiatives'!$A:$A,'Gap Analysis update'!$A76,'RCS Initiatives'!$B:$B,'Gap Analysis update'!V$2,'RCS Initiatives'!$C:$C,'Gap Analysis update'!$B$72)</f>
        <v>0</v>
      </c>
      <c r="W76" s="298">
        <f>SUMIFS('RCS Initiatives'!R:R,'RCS Initiatives'!$E:$E,'Gap Analysis update'!$B76,'RCS Initiatives'!$A:$A,'Gap Analysis update'!$A76,'RCS Initiatives'!$B:$B,'Gap Analysis update'!W$2)-SUMIFS('RCS Initiatives'!R:R,'RCS Initiatives'!$E:$E,'Gap Analysis update'!$B76,'RCS Initiatives'!$A:$A,'Gap Analysis update'!$A76,'RCS Initiatives'!$B:$B,'Gap Analysis update'!W$2,'RCS Initiatives'!$C:$C,'Gap Analysis update'!$B$72)</f>
        <v>0</v>
      </c>
      <c r="Z76" s="293"/>
      <c r="AD76" s="298">
        <f>SUMIFS('RCS Initiatives'!G:G,'RCS Initiatives'!$E:$E,'Gap Analysis update'!$B76,'RCS Initiatives'!$A:$A,'Gap Analysis update'!$A76,'RCS Initiatives'!$B:$B,'Gap Analysis update'!AD$2)-SUMIFS('RCS Initiatives'!G:G,'RCS Initiatives'!$E:$E,'Gap Analysis update'!$B76,'RCS Initiatives'!$A:$A,'Gap Analysis update'!$A76,'RCS Initiatives'!$B:$B,'Gap Analysis update'!AD$2,'RCS Initiatives'!$C:$C,'Gap Analysis update'!$B$72)</f>
        <v>0</v>
      </c>
      <c r="AE76" s="298">
        <f>SUMIFS('RCS Initiatives'!H:H,'RCS Initiatives'!$E:$E,'Gap Analysis update'!$B76,'RCS Initiatives'!$A:$A,'Gap Analysis update'!$A76,'RCS Initiatives'!$B:$B,'Gap Analysis update'!AE$2)-SUMIFS('RCS Initiatives'!H:H,'RCS Initiatives'!$E:$E,'Gap Analysis update'!$B76,'RCS Initiatives'!$A:$A,'Gap Analysis update'!$A76,'RCS Initiatives'!$B:$B,'Gap Analysis update'!AE$2,'RCS Initiatives'!$C:$C,'Gap Analysis update'!$B$72)</f>
        <v>-2.6519170254845374E-3</v>
      </c>
      <c r="AF76" s="298">
        <f>SUMIFS('RCS Initiatives'!I:I,'RCS Initiatives'!$E:$E,'Gap Analysis update'!$B76,'RCS Initiatives'!$A:$A,'Gap Analysis update'!$A76,'RCS Initiatives'!$B:$B,'Gap Analysis update'!AF$2)-SUMIFS('RCS Initiatives'!I:I,'RCS Initiatives'!$E:$E,'Gap Analysis update'!$B76,'RCS Initiatives'!$A:$A,'Gap Analysis update'!$A76,'RCS Initiatives'!$B:$B,'Gap Analysis update'!AF$2,'RCS Initiatives'!$C:$C,'Gap Analysis update'!$B$72)</f>
        <v>0</v>
      </c>
      <c r="AG76" s="298">
        <f>SUMIFS('RCS Initiatives'!J:J,'RCS Initiatives'!$E:$E,'Gap Analysis update'!$B76,'RCS Initiatives'!$A:$A,'Gap Analysis update'!$A76,'RCS Initiatives'!$B:$B,'Gap Analysis update'!AG$2)-SUMIFS('RCS Initiatives'!J:J,'RCS Initiatives'!$E:$E,'Gap Analysis update'!$B76,'RCS Initiatives'!$A:$A,'Gap Analysis update'!$A76,'RCS Initiatives'!$B:$B,'Gap Analysis update'!AG$2,'RCS Initiatives'!$C:$C,'Gap Analysis update'!$B$72)</f>
        <v>0</v>
      </c>
      <c r="AH76" s="298">
        <f>SUMIFS('RCS Initiatives'!K:K,'RCS Initiatives'!$E:$E,'Gap Analysis update'!$B76,'RCS Initiatives'!$A:$A,'Gap Analysis update'!$A76,'RCS Initiatives'!$B:$B,'Gap Analysis update'!AH$2)-SUMIFS('RCS Initiatives'!K:K,'RCS Initiatives'!$E:$E,'Gap Analysis update'!$B76,'RCS Initiatives'!$A:$A,'Gap Analysis update'!$A76,'RCS Initiatives'!$B:$B,'Gap Analysis update'!AH$2,'RCS Initiatives'!$C:$C,'Gap Analysis update'!$B$72)</f>
        <v>0</v>
      </c>
      <c r="AI76" s="298">
        <f>SUMIFS('RCS Initiatives'!L:L,'RCS Initiatives'!$E:$E,'Gap Analysis update'!$B76,'RCS Initiatives'!$A:$A,'Gap Analysis update'!$A76,'RCS Initiatives'!$B:$B,'Gap Analysis update'!AI$2)-SUMIFS('RCS Initiatives'!L:L,'RCS Initiatives'!$E:$E,'Gap Analysis update'!$B76,'RCS Initiatives'!$A:$A,'Gap Analysis update'!$A76,'RCS Initiatives'!$B:$B,'Gap Analysis update'!AI$2,'RCS Initiatives'!$C:$C,'Gap Analysis update'!$B$72)</f>
        <v>-1.6760562490447661E-4</v>
      </c>
      <c r="AJ76" s="298">
        <f>SUMIFS('RCS Initiatives'!M:M,'RCS Initiatives'!$E:$E,'Gap Analysis update'!$B76,'RCS Initiatives'!$A:$A,'Gap Analysis update'!$A76,'RCS Initiatives'!$B:$B,'Gap Analysis update'!AJ$2)-SUMIFS('RCS Initiatives'!M:M,'RCS Initiatives'!$E:$E,'Gap Analysis update'!$B76,'RCS Initiatives'!$A:$A,'Gap Analysis update'!$A76,'RCS Initiatives'!$B:$B,'Gap Analysis update'!AJ$2,'RCS Initiatives'!$C:$C,'Gap Analysis update'!$B$72)</f>
        <v>-4.7837838425526276E-4</v>
      </c>
      <c r="AK76" s="298">
        <f>SUMIFS('RCS Initiatives'!N:N,'RCS Initiatives'!$E:$E,'Gap Analysis update'!$B76,'RCS Initiatives'!$A:$A,'Gap Analysis update'!$A76,'RCS Initiatives'!$B:$B,'Gap Analysis update'!AK$2)-SUMIFS('RCS Initiatives'!N:N,'RCS Initiatives'!$E:$E,'Gap Analysis update'!$B76,'RCS Initiatives'!$A:$A,'Gap Analysis update'!$A76,'RCS Initiatives'!$B:$B,'Gap Analysis update'!AK$2,'RCS Initiatives'!$C:$C,'Gap Analysis update'!$B$72)</f>
        <v>-8.8235829588574882E-4</v>
      </c>
      <c r="AL76" s="298">
        <f>SUMIFS('RCS Initiatives'!O:O,'RCS Initiatives'!$E:$E,'Gap Analysis update'!$B76,'RCS Initiatives'!$A:$A,'Gap Analysis update'!$A76,'RCS Initiatives'!$B:$B,'Gap Analysis update'!AL$2)-SUMIFS('RCS Initiatives'!O:O,'RCS Initiatives'!$E:$E,'Gap Analysis update'!$B76,'RCS Initiatives'!$A:$A,'Gap Analysis update'!$A76,'RCS Initiatives'!$B:$B,'Gap Analysis update'!AL$2,'RCS Initiatives'!$C:$C,'Gap Analysis update'!$B$72)</f>
        <v>-4.0000000000000001E-3</v>
      </c>
      <c r="AM76" s="298">
        <f>SUMIFS('RCS Initiatives'!P:P,'RCS Initiatives'!$E:$E,'Gap Analysis update'!$B76,'RCS Initiatives'!$A:$A,'Gap Analysis update'!$A76,'RCS Initiatives'!$B:$B,'Gap Analysis update'!AM$2)-SUMIFS('RCS Initiatives'!P:P,'RCS Initiatives'!$E:$E,'Gap Analysis update'!$B76,'RCS Initiatives'!$A:$A,'Gap Analysis update'!$A76,'RCS Initiatives'!$B:$B,'Gap Analysis update'!AM$2,'RCS Initiatives'!$C:$C,'Gap Analysis update'!$B$72)</f>
        <v>0</v>
      </c>
      <c r="AN76" s="298">
        <f>SUMIFS('RCS Initiatives'!Q:Q,'RCS Initiatives'!$E:$E,'Gap Analysis update'!$B76,'RCS Initiatives'!$A:$A,'Gap Analysis update'!$A76,'RCS Initiatives'!$B:$B,'Gap Analysis update'!AN$2)-SUMIFS('RCS Initiatives'!Q:Q,'RCS Initiatives'!$E:$E,'Gap Analysis update'!$B76,'RCS Initiatives'!$A:$A,'Gap Analysis update'!$A76,'RCS Initiatives'!$B:$B,'Gap Analysis update'!AN$2,'RCS Initiatives'!$C:$C,'Gap Analysis update'!$B$72)</f>
        <v>0</v>
      </c>
      <c r="AO76" s="298">
        <f>SUMIFS('RCS Initiatives'!R:R,'RCS Initiatives'!$E:$E,'Gap Analysis update'!$B76,'RCS Initiatives'!$A:$A,'Gap Analysis update'!$A76,'RCS Initiatives'!$B:$B,'Gap Analysis update'!AO$2)-SUMIFS('RCS Initiatives'!R:R,'RCS Initiatives'!$E:$E,'Gap Analysis update'!$B76,'RCS Initiatives'!$A:$A,'Gap Analysis update'!$A76,'RCS Initiatives'!$B:$B,'Gap Analysis update'!AO$2,'RCS Initiatives'!$C:$C,'Gap Analysis update'!$B$72)</f>
        <v>0</v>
      </c>
      <c r="AR76" s="293"/>
      <c r="AS76" s="303"/>
      <c r="AT76" s="289">
        <f t="shared" si="69"/>
        <v>0</v>
      </c>
      <c r="AU76" s="303">
        <f t="shared" si="60"/>
        <v>0</v>
      </c>
      <c r="AV76" s="303">
        <f t="shared" si="60"/>
        <v>1.441658494369269E-2</v>
      </c>
      <c r="AW76" s="303">
        <f t="shared" si="60"/>
        <v>-2.6519170254845374E-3</v>
      </c>
      <c r="AX76" s="303">
        <f t="shared" si="60"/>
        <v>0</v>
      </c>
      <c r="AY76" s="303">
        <f t="shared" si="60"/>
        <v>1.4412786987671428E-2</v>
      </c>
      <c r="AZ76" s="303">
        <f t="shared" si="60"/>
        <v>2.8741940955060706E-3</v>
      </c>
      <c r="BA76" s="303">
        <f t="shared" si="60"/>
        <v>-1.6760562490447661E-4</v>
      </c>
      <c r="BB76" s="303">
        <f t="shared" si="60"/>
        <v>-4.7837838425526276E-4</v>
      </c>
      <c r="BC76" s="303">
        <f t="shared" si="60"/>
        <v>-8.8235829588574882E-4</v>
      </c>
      <c r="BD76" s="303">
        <f t="shared" si="60"/>
        <v>-4.0000000000000001E-3</v>
      </c>
      <c r="BE76" s="303">
        <f t="shared" si="60"/>
        <v>0</v>
      </c>
      <c r="BF76" s="303">
        <f t="shared" si="60"/>
        <v>0</v>
      </c>
      <c r="BG76" s="303">
        <f t="shared" si="60"/>
        <v>0</v>
      </c>
      <c r="BH76" s="303">
        <f t="shared" si="60"/>
        <v>0</v>
      </c>
      <c r="BI76" s="303">
        <f t="shared" si="60"/>
        <v>0</v>
      </c>
      <c r="BJ76" s="293"/>
      <c r="BK76" s="288"/>
      <c r="BL76" s="288"/>
      <c r="BM76" s="288"/>
      <c r="BN76" s="288"/>
      <c r="BO76" s="288"/>
      <c r="BP76" s="288"/>
      <c r="BQ76" s="288"/>
      <c r="BR76" s="288"/>
      <c r="BS76" s="288"/>
      <c r="BT76" s="288"/>
      <c r="BU76" s="288"/>
      <c r="BV76" s="288"/>
      <c r="BW76" s="288"/>
      <c r="BX76" s="288"/>
      <c r="BY76" s="288"/>
      <c r="BZ76" s="288"/>
      <c r="CA76" s="288"/>
      <c r="CB76" s="288"/>
    </row>
    <row r="77" spans="1:80" s="298" customFormat="1" ht="39">
      <c r="A77" s="296" t="s">
        <v>136</v>
      </c>
      <c r="B77" s="287" t="s">
        <v>145</v>
      </c>
      <c r="C77" s="288">
        <f t="shared" si="71"/>
        <v>5.3952383955208245E-5</v>
      </c>
      <c r="D77" s="289">
        <f t="shared" si="72"/>
        <v>0</v>
      </c>
      <c r="E77" s="289">
        <f t="shared" si="73"/>
        <v>5.3952383955208245E-5</v>
      </c>
      <c r="F77" s="286" t="s">
        <v>54</v>
      </c>
      <c r="G77" s="286" t="s">
        <v>55</v>
      </c>
      <c r="H77" s="297"/>
      <c r="K77" s="288"/>
      <c r="L77" s="298">
        <f>SUMIFS('RCS Initiatives'!G:G,'RCS Initiatives'!$E:$E,'Gap Analysis update'!$B77,'RCS Initiatives'!$A:$A,'Gap Analysis update'!$A77,'RCS Initiatives'!$B:$B,'Gap Analysis update'!L$2)-SUMIFS('RCS Initiatives'!G:G,'RCS Initiatives'!$E:$E,'Gap Analysis update'!$B77,'RCS Initiatives'!$A:$A,'Gap Analysis update'!$A77,'RCS Initiatives'!$B:$B,'Gap Analysis update'!L$2,'RCS Initiatives'!$C:$C,'Gap Analysis update'!$B$72)</f>
        <v>-7.664517588016187E-3</v>
      </c>
      <c r="M77" s="298">
        <f>SUMIFS('RCS Initiatives'!H:H,'RCS Initiatives'!$E:$E,'Gap Analysis update'!$B77,'RCS Initiatives'!$A:$A,'Gap Analysis update'!$A77,'RCS Initiatives'!$B:$B,'Gap Analysis update'!M$2)-SUMIFS('RCS Initiatives'!H:H,'RCS Initiatives'!$E:$E,'Gap Analysis update'!$B77,'RCS Initiatives'!$A:$A,'Gap Analysis update'!$A77,'RCS Initiatives'!$B:$B,'Gap Analysis update'!M$2,'RCS Initiatives'!$C:$C,'Gap Analysis update'!$B$72)</f>
        <v>0</v>
      </c>
      <c r="N77" s="298">
        <f>SUMIFS('RCS Initiatives'!I:I,'RCS Initiatives'!$E:$E,'Gap Analysis update'!$B77,'RCS Initiatives'!$A:$A,'Gap Analysis update'!$A77,'RCS Initiatives'!$B:$B,'Gap Analysis update'!N$2)-SUMIFS('RCS Initiatives'!I:I,'RCS Initiatives'!$E:$E,'Gap Analysis update'!$B77,'RCS Initiatives'!$A:$A,'Gap Analysis update'!$A77,'RCS Initiatives'!$B:$B,'Gap Analysis update'!N$2,'RCS Initiatives'!$C:$C,'Gap Analysis update'!$B$72)</f>
        <v>0</v>
      </c>
      <c r="O77" s="298">
        <f>SUMIFS('RCS Initiatives'!J:J,'RCS Initiatives'!$E:$E,'Gap Analysis update'!$B77,'RCS Initiatives'!$A:$A,'Gap Analysis update'!$A77,'RCS Initiatives'!$B:$B,'Gap Analysis update'!O$2)-SUMIFS('RCS Initiatives'!J:J,'RCS Initiatives'!$E:$E,'Gap Analysis update'!$B77,'RCS Initiatives'!$A:$A,'Gap Analysis update'!$A77,'RCS Initiatives'!$B:$B,'Gap Analysis update'!O$2,'RCS Initiatives'!$C:$C,'Gap Analysis update'!$B$72)</f>
        <v>0</v>
      </c>
      <c r="P77" s="298">
        <f>SUMIFS('RCS Initiatives'!K:K,'RCS Initiatives'!$E:$E,'Gap Analysis update'!$B77,'RCS Initiatives'!$A:$A,'Gap Analysis update'!$A77,'RCS Initiatives'!$B:$B,'Gap Analysis update'!P$2)-SUMIFS('RCS Initiatives'!K:K,'RCS Initiatives'!$E:$E,'Gap Analysis update'!$B77,'RCS Initiatives'!$A:$A,'Gap Analysis update'!$A77,'RCS Initiatives'!$B:$B,'Gap Analysis update'!P$2,'RCS Initiatives'!$C:$C,'Gap Analysis update'!$B$72)</f>
        <v>0</v>
      </c>
      <c r="Q77" s="298">
        <f>SUMIFS('RCS Initiatives'!L:L,'RCS Initiatives'!$E:$E,'Gap Analysis update'!$B77,'RCS Initiatives'!$A:$A,'Gap Analysis update'!$A77,'RCS Initiatives'!$B:$B,'Gap Analysis update'!Q$2)-SUMIFS('RCS Initiatives'!L:L,'RCS Initiatives'!$E:$E,'Gap Analysis update'!$B77,'RCS Initiatives'!$A:$A,'Gap Analysis update'!$A77,'RCS Initiatives'!$B:$B,'Gap Analysis update'!Q$2,'RCS Initiatives'!$C:$C,'Gap Analysis update'!$B$72)</f>
        <v>0</v>
      </c>
      <c r="R77" s="298">
        <f>SUMIFS('RCS Initiatives'!M:M,'RCS Initiatives'!$E:$E,'Gap Analysis update'!$B77,'RCS Initiatives'!$A:$A,'Gap Analysis update'!$A77,'RCS Initiatives'!$B:$B,'Gap Analysis update'!R$2)-SUMIFS('RCS Initiatives'!M:M,'RCS Initiatives'!$E:$E,'Gap Analysis update'!$B77,'RCS Initiatives'!$A:$A,'Gap Analysis update'!$A77,'RCS Initiatives'!$B:$B,'Gap Analysis update'!R$2,'RCS Initiatives'!$C:$C,'Gap Analysis update'!$B$72)</f>
        <v>0</v>
      </c>
      <c r="S77" s="298">
        <f>SUMIFS('RCS Initiatives'!N:N,'RCS Initiatives'!$E:$E,'Gap Analysis update'!$B77,'RCS Initiatives'!$A:$A,'Gap Analysis update'!$A77,'RCS Initiatives'!$B:$B,'Gap Analysis update'!S$2)-SUMIFS('RCS Initiatives'!N:N,'RCS Initiatives'!$E:$E,'Gap Analysis update'!$B77,'RCS Initiatives'!$A:$A,'Gap Analysis update'!$A77,'RCS Initiatives'!$B:$B,'Gap Analysis update'!S$2,'RCS Initiatives'!$C:$C,'Gap Analysis update'!$B$72)</f>
        <v>0</v>
      </c>
      <c r="T77" s="298">
        <f>SUMIFS('RCS Initiatives'!O:O,'RCS Initiatives'!$E:$E,'Gap Analysis update'!$B77,'RCS Initiatives'!$A:$A,'Gap Analysis update'!$A77,'RCS Initiatives'!$B:$B,'Gap Analysis update'!T$2)-SUMIFS('RCS Initiatives'!O:O,'RCS Initiatives'!$E:$E,'Gap Analysis update'!$B77,'RCS Initiatives'!$A:$A,'Gap Analysis update'!$A77,'RCS Initiatives'!$B:$B,'Gap Analysis update'!T$2,'RCS Initiatives'!$C:$C,'Gap Analysis update'!$B$72)</f>
        <v>-7.6105652040609987E-3</v>
      </c>
      <c r="U77" s="298">
        <f>SUMIFS('RCS Initiatives'!P:P,'RCS Initiatives'!$E:$E,'Gap Analysis update'!$B77,'RCS Initiatives'!$A:$A,'Gap Analysis update'!$A77,'RCS Initiatives'!$B:$B,'Gap Analysis update'!U$2)-SUMIFS('RCS Initiatives'!P:P,'RCS Initiatives'!$E:$E,'Gap Analysis update'!$B77,'RCS Initiatives'!$A:$A,'Gap Analysis update'!$A77,'RCS Initiatives'!$B:$B,'Gap Analysis update'!U$2,'RCS Initiatives'!$C:$C,'Gap Analysis update'!$B$72)</f>
        <v>0</v>
      </c>
      <c r="V77" s="298">
        <f>SUMIFS('RCS Initiatives'!Q:Q,'RCS Initiatives'!$E:$E,'Gap Analysis update'!$B77,'RCS Initiatives'!$A:$A,'Gap Analysis update'!$A77,'RCS Initiatives'!$B:$B,'Gap Analysis update'!V$2)-SUMIFS('RCS Initiatives'!Q:Q,'RCS Initiatives'!$E:$E,'Gap Analysis update'!$B77,'RCS Initiatives'!$A:$A,'Gap Analysis update'!$A77,'RCS Initiatives'!$B:$B,'Gap Analysis update'!V$2,'RCS Initiatives'!$C:$C,'Gap Analysis update'!$B$72)</f>
        <v>0</v>
      </c>
      <c r="W77" s="298">
        <f>SUMIFS('RCS Initiatives'!R:R,'RCS Initiatives'!$E:$E,'Gap Analysis update'!$B77,'RCS Initiatives'!$A:$A,'Gap Analysis update'!$A77,'RCS Initiatives'!$B:$B,'Gap Analysis update'!W$2)-SUMIFS('RCS Initiatives'!R:R,'RCS Initiatives'!$E:$E,'Gap Analysis update'!$B77,'RCS Initiatives'!$A:$A,'Gap Analysis update'!$A77,'RCS Initiatives'!$B:$B,'Gap Analysis update'!W$2,'RCS Initiatives'!$C:$C,'Gap Analysis update'!$B$72)</f>
        <v>0</v>
      </c>
      <c r="Z77" s="293"/>
      <c r="AD77" s="298">
        <f>SUMIFS('RCS Initiatives'!G:G,'RCS Initiatives'!$E:$E,'Gap Analysis update'!$B77,'RCS Initiatives'!$A:$A,'Gap Analysis update'!$A77,'RCS Initiatives'!$B:$B,'Gap Analysis update'!AD$2)-SUMIFS('RCS Initiatives'!G:G,'RCS Initiatives'!$E:$E,'Gap Analysis update'!$B77,'RCS Initiatives'!$A:$A,'Gap Analysis update'!$A77,'RCS Initiatives'!$B:$B,'Gap Analysis update'!AD$2,'RCS Initiatives'!$C:$C,'Gap Analysis update'!$B$72)</f>
        <v>-7.6105652040609787E-3</v>
      </c>
      <c r="AE77" s="298">
        <f>SUMIFS('RCS Initiatives'!H:H,'RCS Initiatives'!$E:$E,'Gap Analysis update'!$B77,'RCS Initiatives'!$A:$A,'Gap Analysis update'!$A77,'RCS Initiatives'!$B:$B,'Gap Analysis update'!AE$2)-SUMIFS('RCS Initiatives'!H:H,'RCS Initiatives'!$E:$E,'Gap Analysis update'!$B77,'RCS Initiatives'!$A:$A,'Gap Analysis update'!$A77,'RCS Initiatives'!$B:$B,'Gap Analysis update'!AE$2,'RCS Initiatives'!$C:$C,'Gap Analysis update'!$B$72)</f>
        <v>0</v>
      </c>
      <c r="AF77" s="298">
        <f>SUMIFS('RCS Initiatives'!I:I,'RCS Initiatives'!$E:$E,'Gap Analysis update'!$B77,'RCS Initiatives'!$A:$A,'Gap Analysis update'!$A77,'RCS Initiatives'!$B:$B,'Gap Analysis update'!AF$2)-SUMIFS('RCS Initiatives'!I:I,'RCS Initiatives'!$E:$E,'Gap Analysis update'!$B77,'RCS Initiatives'!$A:$A,'Gap Analysis update'!$A77,'RCS Initiatives'!$B:$B,'Gap Analysis update'!AF$2,'RCS Initiatives'!$C:$C,'Gap Analysis update'!$B$72)</f>
        <v>0</v>
      </c>
      <c r="AG77" s="298">
        <f>SUMIFS('RCS Initiatives'!J:J,'RCS Initiatives'!$E:$E,'Gap Analysis update'!$B77,'RCS Initiatives'!$A:$A,'Gap Analysis update'!$A77,'RCS Initiatives'!$B:$B,'Gap Analysis update'!AG$2)-SUMIFS('RCS Initiatives'!J:J,'RCS Initiatives'!$E:$E,'Gap Analysis update'!$B77,'RCS Initiatives'!$A:$A,'Gap Analysis update'!$A77,'RCS Initiatives'!$B:$B,'Gap Analysis update'!AG$2,'RCS Initiatives'!$C:$C,'Gap Analysis update'!$B$72)</f>
        <v>0</v>
      </c>
      <c r="AH77" s="298">
        <f>SUMIFS('RCS Initiatives'!K:K,'RCS Initiatives'!$E:$E,'Gap Analysis update'!$B77,'RCS Initiatives'!$A:$A,'Gap Analysis update'!$A77,'RCS Initiatives'!$B:$B,'Gap Analysis update'!AH$2)-SUMIFS('RCS Initiatives'!K:K,'RCS Initiatives'!$E:$E,'Gap Analysis update'!$B77,'RCS Initiatives'!$A:$A,'Gap Analysis update'!$A77,'RCS Initiatives'!$B:$B,'Gap Analysis update'!AH$2,'RCS Initiatives'!$C:$C,'Gap Analysis update'!$B$72)</f>
        <v>0</v>
      </c>
      <c r="AI77" s="298">
        <f>SUMIFS('RCS Initiatives'!L:L,'RCS Initiatives'!$E:$E,'Gap Analysis update'!$B77,'RCS Initiatives'!$A:$A,'Gap Analysis update'!$A77,'RCS Initiatives'!$B:$B,'Gap Analysis update'!AI$2)-SUMIFS('RCS Initiatives'!L:L,'RCS Initiatives'!$E:$E,'Gap Analysis update'!$B77,'RCS Initiatives'!$A:$A,'Gap Analysis update'!$A77,'RCS Initiatives'!$B:$B,'Gap Analysis update'!AI$2,'RCS Initiatives'!$C:$C,'Gap Analysis update'!$B$72)</f>
        <v>0</v>
      </c>
      <c r="AJ77" s="298">
        <f>SUMIFS('RCS Initiatives'!M:M,'RCS Initiatives'!$E:$E,'Gap Analysis update'!$B77,'RCS Initiatives'!$A:$A,'Gap Analysis update'!$A77,'RCS Initiatives'!$B:$B,'Gap Analysis update'!AJ$2)-SUMIFS('RCS Initiatives'!M:M,'RCS Initiatives'!$E:$E,'Gap Analysis update'!$B77,'RCS Initiatives'!$A:$A,'Gap Analysis update'!$A77,'RCS Initiatives'!$B:$B,'Gap Analysis update'!AJ$2,'RCS Initiatives'!$C:$C,'Gap Analysis update'!$B$72)</f>
        <v>0</v>
      </c>
      <c r="AK77" s="298">
        <f>SUMIFS('RCS Initiatives'!N:N,'RCS Initiatives'!$E:$E,'Gap Analysis update'!$B77,'RCS Initiatives'!$A:$A,'Gap Analysis update'!$A77,'RCS Initiatives'!$B:$B,'Gap Analysis update'!AK$2)-SUMIFS('RCS Initiatives'!N:N,'RCS Initiatives'!$E:$E,'Gap Analysis update'!$B77,'RCS Initiatives'!$A:$A,'Gap Analysis update'!$A77,'RCS Initiatives'!$B:$B,'Gap Analysis update'!AK$2,'RCS Initiatives'!$C:$C,'Gap Analysis update'!$B$72)</f>
        <v>0</v>
      </c>
      <c r="AL77" s="298">
        <f>SUMIFS('RCS Initiatives'!O:O,'RCS Initiatives'!$E:$E,'Gap Analysis update'!$B77,'RCS Initiatives'!$A:$A,'Gap Analysis update'!$A77,'RCS Initiatives'!$B:$B,'Gap Analysis update'!AL$2)-SUMIFS('RCS Initiatives'!O:O,'RCS Initiatives'!$E:$E,'Gap Analysis update'!$B77,'RCS Initiatives'!$A:$A,'Gap Analysis update'!$A77,'RCS Initiatives'!$B:$B,'Gap Analysis update'!AL$2,'RCS Initiatives'!$C:$C,'Gap Analysis update'!$B$72)</f>
        <v>-7.6105652040609987E-3</v>
      </c>
      <c r="AM77" s="298">
        <f>SUMIFS('RCS Initiatives'!P:P,'RCS Initiatives'!$E:$E,'Gap Analysis update'!$B77,'RCS Initiatives'!$A:$A,'Gap Analysis update'!$A77,'RCS Initiatives'!$B:$B,'Gap Analysis update'!AM$2)-SUMIFS('RCS Initiatives'!P:P,'RCS Initiatives'!$E:$E,'Gap Analysis update'!$B77,'RCS Initiatives'!$A:$A,'Gap Analysis update'!$A77,'RCS Initiatives'!$B:$B,'Gap Analysis update'!AM$2,'RCS Initiatives'!$C:$C,'Gap Analysis update'!$B$72)</f>
        <v>0</v>
      </c>
      <c r="AN77" s="298">
        <f>SUMIFS('RCS Initiatives'!Q:Q,'RCS Initiatives'!$E:$E,'Gap Analysis update'!$B77,'RCS Initiatives'!$A:$A,'Gap Analysis update'!$A77,'RCS Initiatives'!$B:$B,'Gap Analysis update'!AN$2)-SUMIFS('RCS Initiatives'!Q:Q,'RCS Initiatives'!$E:$E,'Gap Analysis update'!$B77,'RCS Initiatives'!$A:$A,'Gap Analysis update'!$A77,'RCS Initiatives'!$B:$B,'Gap Analysis update'!AN$2,'RCS Initiatives'!$C:$C,'Gap Analysis update'!$B$72)</f>
        <v>0</v>
      </c>
      <c r="AO77" s="298">
        <f>SUMIFS('RCS Initiatives'!R:R,'RCS Initiatives'!$E:$E,'Gap Analysis update'!$B77,'RCS Initiatives'!$A:$A,'Gap Analysis update'!$A77,'RCS Initiatives'!$B:$B,'Gap Analysis update'!AO$2)-SUMIFS('RCS Initiatives'!R:R,'RCS Initiatives'!$E:$E,'Gap Analysis update'!$B77,'RCS Initiatives'!$A:$A,'Gap Analysis update'!$A77,'RCS Initiatives'!$B:$B,'Gap Analysis update'!AO$2,'RCS Initiatives'!$C:$C,'Gap Analysis update'!$B$72)</f>
        <v>0</v>
      </c>
      <c r="AR77" s="293"/>
      <c r="AS77" s="303"/>
      <c r="AT77" s="289">
        <f t="shared" si="69"/>
        <v>0</v>
      </c>
      <c r="AU77" s="303">
        <f t="shared" si="69"/>
        <v>0</v>
      </c>
      <c r="AV77" s="303">
        <f t="shared" si="69"/>
        <v>5.3952383955208245E-5</v>
      </c>
      <c r="AW77" s="303">
        <f t="shared" si="69"/>
        <v>0</v>
      </c>
      <c r="AX77" s="303">
        <f t="shared" si="69"/>
        <v>0</v>
      </c>
      <c r="AY77" s="303">
        <f t="shared" si="69"/>
        <v>0</v>
      </c>
      <c r="AZ77" s="303">
        <f t="shared" si="69"/>
        <v>0</v>
      </c>
      <c r="BA77" s="303">
        <f t="shared" si="69"/>
        <v>0</v>
      </c>
      <c r="BB77" s="303">
        <f t="shared" si="69"/>
        <v>0</v>
      </c>
      <c r="BC77" s="303">
        <f t="shared" si="69"/>
        <v>0</v>
      </c>
      <c r="BD77" s="303">
        <f t="shared" si="69"/>
        <v>0</v>
      </c>
      <c r="BE77" s="303">
        <f t="shared" si="69"/>
        <v>0</v>
      </c>
      <c r="BF77" s="303">
        <f t="shared" si="69"/>
        <v>0</v>
      </c>
      <c r="BG77" s="303">
        <f t="shared" si="69"/>
        <v>0</v>
      </c>
      <c r="BH77" s="303">
        <f t="shared" si="69"/>
        <v>0</v>
      </c>
      <c r="BI77" s="303">
        <f t="shared" si="69"/>
        <v>0</v>
      </c>
      <c r="BJ77" s="293"/>
      <c r="BK77" s="288"/>
      <c r="BL77" s="288"/>
      <c r="BM77" s="288"/>
      <c r="BN77" s="288"/>
      <c r="BO77" s="288"/>
      <c r="BP77" s="288"/>
      <c r="BQ77" s="288"/>
      <c r="BR77" s="288"/>
      <c r="BS77" s="288"/>
      <c r="BT77" s="288"/>
      <c r="BU77" s="288"/>
      <c r="BV77" s="288"/>
      <c r="BW77" s="288"/>
      <c r="BX77" s="288"/>
      <c r="BY77" s="288"/>
      <c r="BZ77" s="288"/>
      <c r="CA77" s="288"/>
      <c r="CB77" s="288"/>
    </row>
    <row r="78" spans="1:80" s="298" customFormat="1" ht="65">
      <c r="A78" s="296" t="s">
        <v>136</v>
      </c>
      <c r="B78" s="287" t="s">
        <v>146</v>
      </c>
      <c r="C78" s="288">
        <f t="shared" si="71"/>
        <v>0</v>
      </c>
      <c r="D78" s="289">
        <f t="shared" si="72"/>
        <v>0</v>
      </c>
      <c r="E78" s="289">
        <f t="shared" si="73"/>
        <v>0</v>
      </c>
      <c r="F78" s="286" t="s">
        <v>147</v>
      </c>
      <c r="G78" s="286" t="s">
        <v>148</v>
      </c>
      <c r="H78" s="297"/>
      <c r="K78" s="288"/>
      <c r="L78" s="298">
        <f>SUMIFS('RCS Initiatives'!G:G,'RCS Initiatives'!$E:$E,'Gap Analysis update'!$B78,'RCS Initiatives'!$A:$A,'Gap Analysis update'!$A78,'RCS Initiatives'!$B:$B,'Gap Analysis update'!L$2)-SUMIFS('RCS Initiatives'!G:G,'RCS Initiatives'!$E:$E,'Gap Analysis update'!$B78,'RCS Initiatives'!$A:$A,'Gap Analysis update'!$A78,'RCS Initiatives'!$B:$B,'Gap Analysis update'!L$2,'RCS Initiatives'!$C:$C,'Gap Analysis update'!$B$72)</f>
        <v>0</v>
      </c>
      <c r="M78" s="298">
        <f>SUMIFS('RCS Initiatives'!H:H,'RCS Initiatives'!$E:$E,'Gap Analysis update'!$B78,'RCS Initiatives'!$A:$A,'Gap Analysis update'!$A78,'RCS Initiatives'!$B:$B,'Gap Analysis update'!M$2)-SUMIFS('RCS Initiatives'!H:H,'RCS Initiatives'!$E:$E,'Gap Analysis update'!$B78,'RCS Initiatives'!$A:$A,'Gap Analysis update'!$A78,'RCS Initiatives'!$B:$B,'Gap Analysis update'!M$2,'RCS Initiatives'!$C:$C,'Gap Analysis update'!$B$72)</f>
        <v>0</v>
      </c>
      <c r="N78" s="298">
        <f>SUMIFS('RCS Initiatives'!I:I,'RCS Initiatives'!$E:$E,'Gap Analysis update'!$B78,'RCS Initiatives'!$A:$A,'Gap Analysis update'!$A78,'RCS Initiatives'!$B:$B,'Gap Analysis update'!N$2)-SUMIFS('RCS Initiatives'!I:I,'RCS Initiatives'!$E:$E,'Gap Analysis update'!$B78,'RCS Initiatives'!$A:$A,'Gap Analysis update'!$A78,'RCS Initiatives'!$B:$B,'Gap Analysis update'!N$2,'RCS Initiatives'!$C:$C,'Gap Analysis update'!$B$72)</f>
        <v>0</v>
      </c>
      <c r="O78" s="298">
        <f>SUMIFS('RCS Initiatives'!J:J,'RCS Initiatives'!$E:$E,'Gap Analysis update'!$B78,'RCS Initiatives'!$A:$A,'Gap Analysis update'!$A78,'RCS Initiatives'!$B:$B,'Gap Analysis update'!O$2)-SUMIFS('RCS Initiatives'!J:J,'RCS Initiatives'!$E:$E,'Gap Analysis update'!$B78,'RCS Initiatives'!$A:$A,'Gap Analysis update'!$A78,'RCS Initiatives'!$B:$B,'Gap Analysis update'!O$2,'RCS Initiatives'!$C:$C,'Gap Analysis update'!$B$72)</f>
        <v>0</v>
      </c>
      <c r="P78" s="298">
        <f>SUMIFS('RCS Initiatives'!K:K,'RCS Initiatives'!$E:$E,'Gap Analysis update'!$B78,'RCS Initiatives'!$A:$A,'Gap Analysis update'!$A78,'RCS Initiatives'!$B:$B,'Gap Analysis update'!P$2)-SUMIFS('RCS Initiatives'!K:K,'RCS Initiatives'!$E:$E,'Gap Analysis update'!$B78,'RCS Initiatives'!$A:$A,'Gap Analysis update'!$A78,'RCS Initiatives'!$B:$B,'Gap Analysis update'!P$2,'RCS Initiatives'!$C:$C,'Gap Analysis update'!$B$72)</f>
        <v>0</v>
      </c>
      <c r="Q78" s="298">
        <f>SUMIFS('RCS Initiatives'!L:L,'RCS Initiatives'!$E:$E,'Gap Analysis update'!$B78,'RCS Initiatives'!$A:$A,'Gap Analysis update'!$A78,'RCS Initiatives'!$B:$B,'Gap Analysis update'!Q$2)-SUMIFS('RCS Initiatives'!L:L,'RCS Initiatives'!$E:$E,'Gap Analysis update'!$B78,'RCS Initiatives'!$A:$A,'Gap Analysis update'!$A78,'RCS Initiatives'!$B:$B,'Gap Analysis update'!Q$2,'RCS Initiatives'!$C:$C,'Gap Analysis update'!$B$72)</f>
        <v>0</v>
      </c>
      <c r="R78" s="298">
        <f>SUMIFS('RCS Initiatives'!M:M,'RCS Initiatives'!$E:$E,'Gap Analysis update'!$B78,'RCS Initiatives'!$A:$A,'Gap Analysis update'!$A78,'RCS Initiatives'!$B:$B,'Gap Analysis update'!R$2)-SUMIFS('RCS Initiatives'!M:M,'RCS Initiatives'!$E:$E,'Gap Analysis update'!$B78,'RCS Initiatives'!$A:$A,'Gap Analysis update'!$A78,'RCS Initiatives'!$B:$B,'Gap Analysis update'!R$2,'RCS Initiatives'!$C:$C,'Gap Analysis update'!$B$72)</f>
        <v>0</v>
      </c>
      <c r="S78" s="298">
        <f>SUMIFS('RCS Initiatives'!N:N,'RCS Initiatives'!$E:$E,'Gap Analysis update'!$B78,'RCS Initiatives'!$A:$A,'Gap Analysis update'!$A78,'RCS Initiatives'!$B:$B,'Gap Analysis update'!S$2)-SUMIFS('RCS Initiatives'!N:N,'RCS Initiatives'!$E:$E,'Gap Analysis update'!$B78,'RCS Initiatives'!$A:$A,'Gap Analysis update'!$A78,'RCS Initiatives'!$B:$B,'Gap Analysis update'!S$2,'RCS Initiatives'!$C:$C,'Gap Analysis update'!$B$72)</f>
        <v>0</v>
      </c>
      <c r="T78" s="298">
        <f>SUMIFS('RCS Initiatives'!O:O,'RCS Initiatives'!$E:$E,'Gap Analysis update'!$B78,'RCS Initiatives'!$A:$A,'Gap Analysis update'!$A78,'RCS Initiatives'!$B:$B,'Gap Analysis update'!T$2)-SUMIFS('RCS Initiatives'!O:O,'RCS Initiatives'!$E:$E,'Gap Analysis update'!$B78,'RCS Initiatives'!$A:$A,'Gap Analysis update'!$A78,'RCS Initiatives'!$B:$B,'Gap Analysis update'!T$2,'RCS Initiatives'!$C:$C,'Gap Analysis update'!$B$72)</f>
        <v>0</v>
      </c>
      <c r="U78" s="298">
        <f>SUMIFS('RCS Initiatives'!P:P,'RCS Initiatives'!$E:$E,'Gap Analysis update'!$B78,'RCS Initiatives'!$A:$A,'Gap Analysis update'!$A78,'RCS Initiatives'!$B:$B,'Gap Analysis update'!U$2)-SUMIFS('RCS Initiatives'!P:P,'RCS Initiatives'!$E:$E,'Gap Analysis update'!$B78,'RCS Initiatives'!$A:$A,'Gap Analysis update'!$A78,'RCS Initiatives'!$B:$B,'Gap Analysis update'!U$2,'RCS Initiatives'!$C:$C,'Gap Analysis update'!$B$72)</f>
        <v>0</v>
      </c>
      <c r="V78" s="298">
        <f>SUMIFS('RCS Initiatives'!Q:Q,'RCS Initiatives'!$E:$E,'Gap Analysis update'!$B78,'RCS Initiatives'!$A:$A,'Gap Analysis update'!$A78,'RCS Initiatives'!$B:$B,'Gap Analysis update'!V$2)-SUMIFS('RCS Initiatives'!Q:Q,'RCS Initiatives'!$E:$E,'Gap Analysis update'!$B78,'RCS Initiatives'!$A:$A,'Gap Analysis update'!$A78,'RCS Initiatives'!$B:$B,'Gap Analysis update'!V$2,'RCS Initiatives'!$C:$C,'Gap Analysis update'!$B$72)</f>
        <v>0</v>
      </c>
      <c r="W78" s="298">
        <f>SUMIFS('RCS Initiatives'!R:R,'RCS Initiatives'!$E:$E,'Gap Analysis update'!$B78,'RCS Initiatives'!$A:$A,'Gap Analysis update'!$A78,'RCS Initiatives'!$B:$B,'Gap Analysis update'!W$2)-SUMIFS('RCS Initiatives'!R:R,'RCS Initiatives'!$E:$E,'Gap Analysis update'!$B78,'RCS Initiatives'!$A:$A,'Gap Analysis update'!$A78,'RCS Initiatives'!$B:$B,'Gap Analysis update'!W$2,'RCS Initiatives'!$C:$C,'Gap Analysis update'!$B$72)</f>
        <v>0</v>
      </c>
      <c r="Z78" s="293"/>
      <c r="AD78" s="298">
        <f>SUMIFS('RCS Initiatives'!G:G,'RCS Initiatives'!$E:$E,'Gap Analysis update'!$B78,'RCS Initiatives'!$A:$A,'Gap Analysis update'!$A78,'RCS Initiatives'!$B:$B,'Gap Analysis update'!AD$2)-SUMIFS('RCS Initiatives'!G:G,'RCS Initiatives'!$E:$E,'Gap Analysis update'!$B78,'RCS Initiatives'!$A:$A,'Gap Analysis update'!$A78,'RCS Initiatives'!$B:$B,'Gap Analysis update'!AD$2,'RCS Initiatives'!$C:$C,'Gap Analysis update'!$B$72)</f>
        <v>0</v>
      </c>
      <c r="AE78" s="298">
        <f>SUMIFS('RCS Initiatives'!H:H,'RCS Initiatives'!$E:$E,'Gap Analysis update'!$B78,'RCS Initiatives'!$A:$A,'Gap Analysis update'!$A78,'RCS Initiatives'!$B:$B,'Gap Analysis update'!AE$2)-SUMIFS('RCS Initiatives'!H:H,'RCS Initiatives'!$E:$E,'Gap Analysis update'!$B78,'RCS Initiatives'!$A:$A,'Gap Analysis update'!$A78,'RCS Initiatives'!$B:$B,'Gap Analysis update'!AE$2,'RCS Initiatives'!$C:$C,'Gap Analysis update'!$B$72)</f>
        <v>0</v>
      </c>
      <c r="AF78" s="298">
        <f>SUMIFS('RCS Initiatives'!I:I,'RCS Initiatives'!$E:$E,'Gap Analysis update'!$B78,'RCS Initiatives'!$A:$A,'Gap Analysis update'!$A78,'RCS Initiatives'!$B:$B,'Gap Analysis update'!AF$2)-SUMIFS('RCS Initiatives'!I:I,'RCS Initiatives'!$E:$E,'Gap Analysis update'!$B78,'RCS Initiatives'!$A:$A,'Gap Analysis update'!$A78,'RCS Initiatives'!$B:$B,'Gap Analysis update'!AF$2,'RCS Initiatives'!$C:$C,'Gap Analysis update'!$B$72)</f>
        <v>0</v>
      </c>
      <c r="AG78" s="298">
        <f>SUMIFS('RCS Initiatives'!J:J,'RCS Initiatives'!$E:$E,'Gap Analysis update'!$B78,'RCS Initiatives'!$A:$A,'Gap Analysis update'!$A78,'RCS Initiatives'!$B:$B,'Gap Analysis update'!AG$2)-SUMIFS('RCS Initiatives'!J:J,'RCS Initiatives'!$E:$E,'Gap Analysis update'!$B78,'RCS Initiatives'!$A:$A,'Gap Analysis update'!$A78,'RCS Initiatives'!$B:$B,'Gap Analysis update'!AG$2,'RCS Initiatives'!$C:$C,'Gap Analysis update'!$B$72)</f>
        <v>0</v>
      </c>
      <c r="AH78" s="298">
        <f>SUMIFS('RCS Initiatives'!K:K,'RCS Initiatives'!$E:$E,'Gap Analysis update'!$B78,'RCS Initiatives'!$A:$A,'Gap Analysis update'!$A78,'RCS Initiatives'!$B:$B,'Gap Analysis update'!AH$2)-SUMIFS('RCS Initiatives'!K:K,'RCS Initiatives'!$E:$E,'Gap Analysis update'!$B78,'RCS Initiatives'!$A:$A,'Gap Analysis update'!$A78,'RCS Initiatives'!$B:$B,'Gap Analysis update'!AH$2,'RCS Initiatives'!$C:$C,'Gap Analysis update'!$B$72)</f>
        <v>0</v>
      </c>
      <c r="AI78" s="298">
        <f>SUMIFS('RCS Initiatives'!L:L,'RCS Initiatives'!$E:$E,'Gap Analysis update'!$B78,'RCS Initiatives'!$A:$A,'Gap Analysis update'!$A78,'RCS Initiatives'!$B:$B,'Gap Analysis update'!AI$2)-SUMIFS('RCS Initiatives'!L:L,'RCS Initiatives'!$E:$E,'Gap Analysis update'!$B78,'RCS Initiatives'!$A:$A,'Gap Analysis update'!$A78,'RCS Initiatives'!$B:$B,'Gap Analysis update'!AI$2,'RCS Initiatives'!$C:$C,'Gap Analysis update'!$B$72)</f>
        <v>0</v>
      </c>
      <c r="AJ78" s="298">
        <f>SUMIFS('RCS Initiatives'!M:M,'RCS Initiatives'!$E:$E,'Gap Analysis update'!$B78,'RCS Initiatives'!$A:$A,'Gap Analysis update'!$A78,'RCS Initiatives'!$B:$B,'Gap Analysis update'!AJ$2)-SUMIFS('RCS Initiatives'!M:M,'RCS Initiatives'!$E:$E,'Gap Analysis update'!$B78,'RCS Initiatives'!$A:$A,'Gap Analysis update'!$A78,'RCS Initiatives'!$B:$B,'Gap Analysis update'!AJ$2,'RCS Initiatives'!$C:$C,'Gap Analysis update'!$B$72)</f>
        <v>0</v>
      </c>
      <c r="AK78" s="298">
        <f>SUMIFS('RCS Initiatives'!N:N,'RCS Initiatives'!$E:$E,'Gap Analysis update'!$B78,'RCS Initiatives'!$A:$A,'Gap Analysis update'!$A78,'RCS Initiatives'!$B:$B,'Gap Analysis update'!AK$2)-SUMIFS('RCS Initiatives'!N:N,'RCS Initiatives'!$E:$E,'Gap Analysis update'!$B78,'RCS Initiatives'!$A:$A,'Gap Analysis update'!$A78,'RCS Initiatives'!$B:$B,'Gap Analysis update'!AK$2,'RCS Initiatives'!$C:$C,'Gap Analysis update'!$B$72)</f>
        <v>0</v>
      </c>
      <c r="AL78" s="298">
        <f>SUMIFS('RCS Initiatives'!O:O,'RCS Initiatives'!$E:$E,'Gap Analysis update'!$B78,'RCS Initiatives'!$A:$A,'Gap Analysis update'!$A78,'RCS Initiatives'!$B:$B,'Gap Analysis update'!AL$2)-SUMIFS('RCS Initiatives'!O:O,'RCS Initiatives'!$E:$E,'Gap Analysis update'!$B78,'RCS Initiatives'!$A:$A,'Gap Analysis update'!$A78,'RCS Initiatives'!$B:$B,'Gap Analysis update'!AL$2,'RCS Initiatives'!$C:$C,'Gap Analysis update'!$B$72)</f>
        <v>0</v>
      </c>
      <c r="AM78" s="298">
        <f>SUMIFS('RCS Initiatives'!P:P,'RCS Initiatives'!$E:$E,'Gap Analysis update'!$B78,'RCS Initiatives'!$A:$A,'Gap Analysis update'!$A78,'RCS Initiatives'!$B:$B,'Gap Analysis update'!AM$2)-SUMIFS('RCS Initiatives'!P:P,'RCS Initiatives'!$E:$E,'Gap Analysis update'!$B78,'RCS Initiatives'!$A:$A,'Gap Analysis update'!$A78,'RCS Initiatives'!$B:$B,'Gap Analysis update'!AM$2,'RCS Initiatives'!$C:$C,'Gap Analysis update'!$B$72)</f>
        <v>0</v>
      </c>
      <c r="AN78" s="298">
        <f>SUMIFS('RCS Initiatives'!Q:Q,'RCS Initiatives'!$E:$E,'Gap Analysis update'!$B78,'RCS Initiatives'!$A:$A,'Gap Analysis update'!$A78,'RCS Initiatives'!$B:$B,'Gap Analysis update'!AN$2)-SUMIFS('RCS Initiatives'!Q:Q,'RCS Initiatives'!$E:$E,'Gap Analysis update'!$B78,'RCS Initiatives'!$A:$A,'Gap Analysis update'!$A78,'RCS Initiatives'!$B:$B,'Gap Analysis update'!AN$2,'RCS Initiatives'!$C:$C,'Gap Analysis update'!$B$72)</f>
        <v>0</v>
      </c>
      <c r="AO78" s="298">
        <f>SUMIFS('RCS Initiatives'!R:R,'RCS Initiatives'!$E:$E,'Gap Analysis update'!$B78,'RCS Initiatives'!$A:$A,'Gap Analysis update'!$A78,'RCS Initiatives'!$B:$B,'Gap Analysis update'!AO$2)-SUMIFS('RCS Initiatives'!R:R,'RCS Initiatives'!$E:$E,'Gap Analysis update'!$B78,'RCS Initiatives'!$A:$A,'Gap Analysis update'!$A78,'RCS Initiatives'!$B:$B,'Gap Analysis update'!AO$2,'RCS Initiatives'!$C:$C,'Gap Analysis update'!$B$72)</f>
        <v>0</v>
      </c>
      <c r="AR78" s="293"/>
      <c r="AS78" s="303"/>
      <c r="AT78" s="289">
        <f t="shared" si="69"/>
        <v>0</v>
      </c>
      <c r="AU78" s="303">
        <f t="shared" si="69"/>
        <v>0</v>
      </c>
      <c r="AV78" s="303">
        <f t="shared" si="69"/>
        <v>0</v>
      </c>
      <c r="AW78" s="303">
        <f t="shared" si="69"/>
        <v>0</v>
      </c>
      <c r="AX78" s="303">
        <f t="shared" si="69"/>
        <v>0</v>
      </c>
      <c r="AY78" s="303">
        <f t="shared" si="69"/>
        <v>0</v>
      </c>
      <c r="AZ78" s="303">
        <f t="shared" si="69"/>
        <v>0</v>
      </c>
      <c r="BA78" s="303">
        <f t="shared" si="69"/>
        <v>0</v>
      </c>
      <c r="BB78" s="303">
        <f t="shared" si="69"/>
        <v>0</v>
      </c>
      <c r="BC78" s="303">
        <f t="shared" si="69"/>
        <v>0</v>
      </c>
      <c r="BD78" s="303">
        <f t="shared" si="69"/>
        <v>0</v>
      </c>
      <c r="BE78" s="303">
        <f t="shared" si="69"/>
        <v>0</v>
      </c>
      <c r="BF78" s="303">
        <f t="shared" si="69"/>
        <v>0</v>
      </c>
      <c r="BG78" s="303">
        <f t="shared" si="69"/>
        <v>0</v>
      </c>
      <c r="BH78" s="303">
        <f t="shared" si="69"/>
        <v>0</v>
      </c>
      <c r="BI78" s="303">
        <f t="shared" si="69"/>
        <v>0</v>
      </c>
      <c r="BJ78" s="293"/>
      <c r="BK78" s="288"/>
      <c r="BL78" s="288"/>
      <c r="BM78" s="288"/>
      <c r="BN78" s="288"/>
      <c r="BO78" s="288"/>
      <c r="BP78" s="288"/>
      <c r="BQ78" s="288"/>
      <c r="BR78" s="288"/>
      <c r="BS78" s="288"/>
      <c r="BT78" s="288"/>
      <c r="BU78" s="288"/>
      <c r="BV78" s="288"/>
      <c r="BW78" s="288"/>
      <c r="BX78" s="288"/>
      <c r="BY78" s="288"/>
      <c r="BZ78" s="288"/>
      <c r="CA78" s="288"/>
      <c r="CB78" s="288"/>
    </row>
    <row r="79" spans="1:80" s="299" customFormat="1" ht="13">
      <c r="A79" s="300" t="s">
        <v>149</v>
      </c>
      <c r="B79" s="275" t="s">
        <v>20</v>
      </c>
      <c r="C79" s="276">
        <f>AI79-Q79</f>
        <v>0.11759325096564144</v>
      </c>
      <c r="D79" s="277">
        <f>AQ79-Y79-C79</f>
        <v>3.5011720829645654E-2</v>
      </c>
      <c r="E79" s="277">
        <f>D79+C79</f>
        <v>0.15260497179528709</v>
      </c>
      <c r="F79" s="300"/>
      <c r="G79" s="278"/>
      <c r="H79" s="285"/>
      <c r="I79" s="276"/>
      <c r="J79" s="280"/>
      <c r="K79" s="280">
        <v>2.9291453731167607</v>
      </c>
      <c r="L79" s="280">
        <f>+K79+L80+L81</f>
        <v>3.0296416970560167</v>
      </c>
      <c r="M79" s="280">
        <f t="shared" ref="M79" si="74">+L79+M80+M81</f>
        <v>3.0296416970560167</v>
      </c>
      <c r="N79" s="280">
        <f t="shared" ref="N79" si="75">+M79+N80+N81</f>
        <v>2.9948249503996256</v>
      </c>
      <c r="O79" s="280">
        <f t="shared" ref="O79" si="76">+N79+O80+O81</f>
        <v>2.9948249503996256</v>
      </c>
      <c r="P79" s="280">
        <f t="shared" ref="P79" si="77">+O79+P80+P81</f>
        <v>2.844755916107248</v>
      </c>
      <c r="Q79" s="280">
        <f t="shared" ref="Q79" si="78">+P79+Q80+Q81</f>
        <v>2.844755916107248</v>
      </c>
      <c r="R79" s="280">
        <f t="shared" ref="R79" si="79">+Q79+R80+R81</f>
        <v>2.844755916107248</v>
      </c>
      <c r="S79" s="280">
        <f t="shared" ref="S79" si="80">+R79+S80+S81</f>
        <v>2.8332617882019147</v>
      </c>
      <c r="T79" s="280">
        <f t="shared" ref="T79" si="81">+S79+T80+T81</f>
        <v>2.8332617882019147</v>
      </c>
      <c r="U79" s="280">
        <f t="shared" ref="U79" si="82">+T79+U80+U81</f>
        <v>2.8332617882019147</v>
      </c>
      <c r="V79" s="280">
        <f t="shared" ref="V79" si="83">+U79+V80+V81</f>
        <v>2.8217676602965813</v>
      </c>
      <c r="W79" s="280">
        <f t="shared" ref="W79" si="84">+V79+W80+W81</f>
        <v>2.8217676602965813</v>
      </c>
      <c r="X79" s="280">
        <f t="shared" ref="X79" si="85">+W79+X80+X81</f>
        <v>2.8217676602965813</v>
      </c>
      <c r="Y79" s="280">
        <f>+X79+Y80+Y81</f>
        <v>2.8217676602965813</v>
      </c>
      <c r="Z79" s="285"/>
      <c r="AA79" s="276"/>
      <c r="AB79" s="280"/>
      <c r="AC79" s="280">
        <v>2.9291453731167607</v>
      </c>
      <c r="AD79" s="280">
        <f t="shared" ref="AD79" si="86">+AC79+AD80+AD81</f>
        <v>2.9291453731167607</v>
      </c>
      <c r="AE79" s="280">
        <f t="shared" ref="AE79" si="87">+AD79+AE80+AE81</f>
        <v>2.9261337637431537</v>
      </c>
      <c r="AF79" s="280">
        <f t="shared" ref="AF79" si="88">+AE79+AF80+AF81</f>
        <v>2.9239593017364061</v>
      </c>
      <c r="AG79" s="280">
        <f t="shared" ref="AG79" si="89">+AF79+AG80+AG81</f>
        <v>2.9237962181963191</v>
      </c>
      <c r="AH79" s="280">
        <f t="shared" ref="AH79" si="90">+AG79+AH80+AH81</f>
        <v>2.9623491670728894</v>
      </c>
      <c r="AI79" s="280">
        <f t="shared" ref="AI79" si="91">+AH79+AI80+AI81</f>
        <v>2.9623491670728894</v>
      </c>
      <c r="AJ79" s="280">
        <f>+AI79+AJ80+AJ81</f>
        <v>2.9401525397431278</v>
      </c>
      <c r="AK79" s="280">
        <f t="shared" ref="AK79" si="92">+AJ79+AK80+AK81</f>
        <v>2.9401525397431278</v>
      </c>
      <c r="AL79" s="280">
        <f t="shared" ref="AL79" si="93">+AK79+AL80+AL81</f>
        <v>2.9692784731768342</v>
      </c>
      <c r="AM79" s="280">
        <f t="shared" ref="AM79" si="94">+AL79+AM80+AM81</f>
        <v>2.9812221407755235</v>
      </c>
      <c r="AN79" s="280">
        <f t="shared" ref="AN79" si="95">+AM79+AN80+AN81</f>
        <v>2.9743726320918684</v>
      </c>
      <c r="AO79" s="280">
        <f t="shared" ref="AO79" si="96">+AN79+AO80+AO81</f>
        <v>2.9743726320918684</v>
      </c>
      <c r="AP79" s="280">
        <f t="shared" ref="AP79" si="97">+AO79+AP80+AP81</f>
        <v>2.9743726320918684</v>
      </c>
      <c r="AQ79" s="280">
        <f t="shared" ref="AQ79" si="98">+AP79+AQ80+AQ81</f>
        <v>2.9743726320918684</v>
      </c>
      <c r="AR79" s="280" t="e">
        <f t="shared" ref="AR79" si="99">+AQ79+AR80+AR81</f>
        <v>#VALUE!</v>
      </c>
      <c r="AS79" s="280" t="e">
        <f t="shared" ref="AS79" si="100">+AR79+AS80+AS81</f>
        <v>#VALUE!</v>
      </c>
      <c r="AT79" s="284">
        <f t="shared" si="69"/>
        <v>0</v>
      </c>
      <c r="AU79" s="284">
        <f>AC79-K79</f>
        <v>0</v>
      </c>
      <c r="AV79" s="284">
        <f t="shared" si="69"/>
        <v>-0.100496323939256</v>
      </c>
      <c r="AW79" s="284">
        <f t="shared" si="69"/>
        <v>-0.10350793331286301</v>
      </c>
      <c r="AX79" s="284">
        <f t="shared" si="69"/>
        <v>-7.0865648663219538E-2</v>
      </c>
      <c r="AY79" s="284">
        <f t="shared" si="69"/>
        <v>-7.1028732203306522E-2</v>
      </c>
      <c r="AZ79" s="284">
        <f>AH79-P79</f>
        <v>0.11759325096564144</v>
      </c>
      <c r="BA79" s="284">
        <f t="shared" si="69"/>
        <v>0.11759325096564144</v>
      </c>
      <c r="BB79" s="284">
        <f>AJ79-R79</f>
        <v>9.5396623635879862E-2</v>
      </c>
      <c r="BC79" s="284">
        <f t="shared" si="69"/>
        <v>0.10689075154121319</v>
      </c>
      <c r="BD79" s="284">
        <f t="shared" si="69"/>
        <v>0.13601668497491959</v>
      </c>
      <c r="BE79" s="284">
        <f t="shared" si="69"/>
        <v>0.14796035257360884</v>
      </c>
      <c r="BF79" s="284">
        <f t="shared" si="69"/>
        <v>0.15260497179528709</v>
      </c>
      <c r="BG79" s="284">
        <f t="shared" si="69"/>
        <v>0.15260497179528709</v>
      </c>
      <c r="BH79" s="284">
        <f t="shared" si="69"/>
        <v>0.15260497179528709</v>
      </c>
      <c r="BI79" s="284">
        <f t="shared" si="69"/>
        <v>0.15260497179528709</v>
      </c>
      <c r="BJ79" s="285"/>
      <c r="BK79" s="288"/>
      <c r="BL79" s="288"/>
      <c r="BM79" s="288"/>
      <c r="BN79" s="288"/>
      <c r="BO79" s="288"/>
      <c r="BP79" s="288"/>
      <c r="BQ79" s="288"/>
      <c r="BR79" s="288"/>
      <c r="BS79" s="288"/>
      <c r="BT79" s="288"/>
      <c r="BU79" s="288"/>
      <c r="BV79" s="288"/>
      <c r="BW79" s="288"/>
      <c r="BX79" s="288"/>
      <c r="BY79" s="288"/>
      <c r="BZ79" s="288"/>
      <c r="CA79" s="288"/>
      <c r="CB79" s="288"/>
    </row>
    <row r="80" spans="1:80" s="299" customFormat="1" ht="12" customHeight="1">
      <c r="A80" s="300" t="s">
        <v>149</v>
      </c>
      <c r="B80" s="275" t="s">
        <v>21</v>
      </c>
      <c r="C80" s="276">
        <f>SUM(AT80:BA80)</f>
        <v>0.19892828093485704</v>
      </c>
      <c r="D80" s="277">
        <f>SUM(BB80:BI80)</f>
        <v>-6.0578802027498038E-3</v>
      </c>
      <c r="E80" s="277">
        <f t="shared" ref="E80" si="101">D80+C80</f>
        <v>0.19287040073210723</v>
      </c>
      <c r="F80" s="278"/>
      <c r="G80" s="278"/>
      <c r="H80" s="285"/>
      <c r="I80" s="280"/>
      <c r="J80" s="280"/>
      <c r="K80" s="280"/>
      <c r="L80" s="280">
        <f>SUBTOTAL(9,L82:L87)</f>
        <v>1.9161293970040467E-2</v>
      </c>
      <c r="M80" s="280">
        <f t="shared" ref="M80:P80" si="102">SUBTOTAL(9,M82:M87)</f>
        <v>0</v>
      </c>
      <c r="N80" s="280">
        <f t="shared" si="102"/>
        <v>-3.4816746656391201E-2</v>
      </c>
      <c r="O80" s="280">
        <f t="shared" si="102"/>
        <v>0</v>
      </c>
      <c r="P80" s="280">
        <f t="shared" si="102"/>
        <v>-0.15006903429237775</v>
      </c>
      <c r="Q80" s="280">
        <f>SUBTOTAL(9,Q82:Q87)</f>
        <v>0</v>
      </c>
      <c r="R80" s="280">
        <f>SUBTOTAL(9,R82:R87)</f>
        <v>0</v>
      </c>
      <c r="S80" s="280">
        <f t="shared" ref="S80:Y80" si="103">SUBTOTAL(9,S82:S87)</f>
        <v>-1.1494127905333267E-2</v>
      </c>
      <c r="T80" s="280">
        <f t="shared" si="103"/>
        <v>0</v>
      </c>
      <c r="U80" s="280">
        <f t="shared" si="103"/>
        <v>0</v>
      </c>
      <c r="V80" s="280">
        <f t="shared" si="103"/>
        <v>-1.1494127905333267E-2</v>
      </c>
      <c r="W80" s="280">
        <f t="shared" si="103"/>
        <v>0</v>
      </c>
      <c r="X80" s="280">
        <f t="shared" si="103"/>
        <v>0</v>
      </c>
      <c r="Y80" s="280">
        <f t="shared" si="103"/>
        <v>0</v>
      </c>
      <c r="Z80" s="285"/>
      <c r="AA80" s="285"/>
      <c r="AB80" s="280">
        <f>SUBTOTAL(9,AB82:AB87)</f>
        <v>0</v>
      </c>
      <c r="AC80" s="280">
        <f t="shared" ref="AC80" si="104">SUBTOTAL(9,AC82:AC87)</f>
        <v>0</v>
      </c>
      <c r="AD80" s="280">
        <f>SUBTOTAL(9,AD82:AD87)</f>
        <v>0</v>
      </c>
      <c r="AE80" s="280">
        <f t="shared" ref="AE80:AI80" si="105">SUBTOTAL(9,AE82:AE87)</f>
        <v>-3.0116093736070274E-3</v>
      </c>
      <c r="AF80" s="280">
        <f t="shared" si="105"/>
        <v>-2.1744620067477216E-3</v>
      </c>
      <c r="AG80" s="280">
        <f t="shared" si="105"/>
        <v>-1.6308354008702139E-4</v>
      </c>
      <c r="AH80" s="280">
        <f t="shared" si="105"/>
        <v>3.855294887657032E-2</v>
      </c>
      <c r="AI80" s="280">
        <f t="shared" si="105"/>
        <v>0</v>
      </c>
      <c r="AJ80" s="280">
        <f>SUBTOTAL(9,AJ82:AJ87)</f>
        <v>-2.2196627329761437E-2</v>
      </c>
      <c r="AK80" s="280">
        <f t="shared" ref="AK80:AM80" si="106">SUBTOTAL(9,AK82:AK87)</f>
        <v>0</v>
      </c>
      <c r="AL80" s="280">
        <f t="shared" si="106"/>
        <v>0</v>
      </c>
      <c r="AM80" s="280">
        <f t="shared" si="106"/>
        <v>0</v>
      </c>
      <c r="AN80" s="280">
        <f>SUBTOTAL(9,AN82:AN87)</f>
        <v>-6.8495086836548999E-3</v>
      </c>
      <c r="AO80" s="280">
        <f t="shared" ref="AO80:AQ80" si="107">SUBTOTAL(9,AO82:AO87)</f>
        <v>0</v>
      </c>
      <c r="AP80" s="280">
        <f t="shared" si="107"/>
        <v>0</v>
      </c>
      <c r="AQ80" s="280">
        <f t="shared" si="107"/>
        <v>0</v>
      </c>
      <c r="AR80" s="285"/>
      <c r="AS80" s="284">
        <f>I80-AA80</f>
        <v>0</v>
      </c>
      <c r="AT80" s="284">
        <f>AB80-J80</f>
        <v>0</v>
      </c>
      <c r="AU80" s="284">
        <f t="shared" si="69"/>
        <v>0</v>
      </c>
      <c r="AV80" s="284">
        <f t="shared" si="69"/>
        <v>-1.9161293970040467E-2</v>
      </c>
      <c r="AW80" s="284">
        <f t="shared" si="69"/>
        <v>-3.0116093736070274E-3</v>
      </c>
      <c r="AX80" s="284">
        <f t="shared" si="69"/>
        <v>3.2642284649643478E-2</v>
      </c>
      <c r="AY80" s="284">
        <f t="shared" si="69"/>
        <v>-1.6308354008702139E-4</v>
      </c>
      <c r="AZ80" s="284">
        <f t="shared" ref="AZ80" si="108">AH80-P80</f>
        <v>0.18862198316894807</v>
      </c>
      <c r="BA80" s="284">
        <f t="shared" si="69"/>
        <v>0</v>
      </c>
      <c r="BB80" s="284">
        <f t="shared" ref="BB80" si="109">AJ80-R80</f>
        <v>-2.2196627329761437E-2</v>
      </c>
      <c r="BC80" s="284">
        <f t="shared" si="69"/>
        <v>1.1494127905333267E-2</v>
      </c>
      <c r="BD80" s="284">
        <f t="shared" si="69"/>
        <v>0</v>
      </c>
      <c r="BE80" s="284">
        <f t="shared" si="69"/>
        <v>0</v>
      </c>
      <c r="BF80" s="284">
        <f t="shared" si="69"/>
        <v>4.6446192216783666E-3</v>
      </c>
      <c r="BG80" s="284">
        <f t="shared" si="69"/>
        <v>0</v>
      </c>
      <c r="BH80" s="284">
        <f t="shared" si="69"/>
        <v>0</v>
      </c>
      <c r="BI80" s="284">
        <f t="shared" si="69"/>
        <v>0</v>
      </c>
      <c r="BJ80" s="285"/>
      <c r="BK80" s="301"/>
      <c r="BL80" s="301"/>
      <c r="BM80" s="301"/>
      <c r="BN80" s="301"/>
      <c r="BO80" s="301"/>
      <c r="BP80" s="301"/>
      <c r="BQ80" s="301"/>
      <c r="BR80" s="301"/>
      <c r="BS80" s="301"/>
      <c r="BT80" s="301"/>
      <c r="BU80" s="301"/>
      <c r="BV80" s="301"/>
      <c r="BW80" s="301"/>
      <c r="BX80" s="301"/>
      <c r="BY80" s="301"/>
      <c r="BZ80" s="301"/>
      <c r="CA80" s="301"/>
      <c r="CB80" s="288"/>
    </row>
    <row r="81" spans="1:80" s="299" customFormat="1" ht="13">
      <c r="A81" s="300" t="s">
        <v>149</v>
      </c>
      <c r="B81" s="275" t="s">
        <v>22</v>
      </c>
      <c r="C81" s="276">
        <f>SUM(AT81:BA81)</f>
        <v>-8.1335029969215558E-2</v>
      </c>
      <c r="D81" s="277">
        <f>SUM(BB81:BI81)</f>
        <v>4.106960103239557E-2</v>
      </c>
      <c r="E81" s="277">
        <f>D81+C81</f>
        <v>-4.0265428936819989E-2</v>
      </c>
      <c r="F81" s="278"/>
      <c r="G81" s="275"/>
      <c r="H81" s="285"/>
      <c r="I81" s="280"/>
      <c r="J81" s="280"/>
      <c r="K81" s="280"/>
      <c r="L81" s="280">
        <f>SUMIFS('RCS Initiatives'!G:G,'RCS Initiatives'!$A:$A,'Gap Analysis update'!$A81,'RCS Initiatives'!$C:$C,'Gap Analysis update'!$B81,'RCS Initiatives'!$B:$B,'Gap Analysis update'!L$2)</f>
        <v>8.1335029969215558E-2</v>
      </c>
      <c r="M81" s="280">
        <f>SUMIFS('RCS Initiatives'!H:H,'RCS Initiatives'!$A:$A,'Gap Analysis update'!$A81,'RCS Initiatives'!$C:$C,'Gap Analysis update'!$B81,'RCS Initiatives'!$B:$B,'Gap Analysis update'!M$2)</f>
        <v>0</v>
      </c>
      <c r="N81" s="280">
        <f>SUMIFS('RCS Initiatives'!I:I,'RCS Initiatives'!$A:$A,'Gap Analysis update'!$A81,'RCS Initiatives'!$C:$C,'Gap Analysis update'!$B81,'RCS Initiatives'!$B:$B,'Gap Analysis update'!N$2)</f>
        <v>0</v>
      </c>
      <c r="O81" s="280">
        <f>SUMIFS('RCS Initiatives'!J:J,'RCS Initiatives'!$A:$A,'Gap Analysis update'!$A81,'RCS Initiatives'!$C:$C,'Gap Analysis update'!$B81,'RCS Initiatives'!$B:$B,'Gap Analysis update'!O$2)</f>
        <v>0</v>
      </c>
      <c r="P81" s="280">
        <f>SUMIFS('RCS Initiatives'!K:K,'RCS Initiatives'!$A:$A,'Gap Analysis update'!$A81,'RCS Initiatives'!$C:$C,'Gap Analysis update'!$B81,'RCS Initiatives'!$B:$B,'Gap Analysis update'!P$2)</f>
        <v>0</v>
      </c>
      <c r="Q81" s="280">
        <f>SUMIFS('RCS Initiatives'!L:L,'RCS Initiatives'!$A:$A,'Gap Analysis update'!$A81,'RCS Initiatives'!$C:$C,'Gap Analysis update'!$B81,'RCS Initiatives'!$B:$B,'Gap Analysis update'!Q$2)</f>
        <v>0</v>
      </c>
      <c r="R81" s="280">
        <f>SUMIFS('RCS Initiatives'!M:M,'RCS Initiatives'!$A:$A,'Gap Analysis update'!$A81,'RCS Initiatives'!$C:$C,'Gap Analysis update'!$B81,'RCS Initiatives'!$B:$B,'Gap Analysis update'!R$2)</f>
        <v>0</v>
      </c>
      <c r="S81" s="280">
        <f>SUMIFS('RCS Initiatives'!N:N,'RCS Initiatives'!$A:$A,'Gap Analysis update'!$A81,'RCS Initiatives'!$C:$C,'Gap Analysis update'!$B81,'RCS Initiatives'!$B:$B,'Gap Analysis update'!S$2)</f>
        <v>0</v>
      </c>
      <c r="T81" s="280">
        <f>SUMIFS('RCS Initiatives'!O:O,'RCS Initiatives'!$A:$A,'Gap Analysis update'!$A81,'RCS Initiatives'!$C:$C,'Gap Analysis update'!$B81,'RCS Initiatives'!$B:$B,'Gap Analysis update'!T$2)</f>
        <v>0</v>
      </c>
      <c r="U81" s="280">
        <f>SUMIFS('RCS Initiatives'!P:P,'RCS Initiatives'!$A:$A,'Gap Analysis update'!$A81,'RCS Initiatives'!$C:$C,'Gap Analysis update'!$B81,'RCS Initiatives'!$B:$B,'Gap Analysis update'!U$2)</f>
        <v>0</v>
      </c>
      <c r="V81" s="280">
        <f>SUMIFS('RCS Initiatives'!Q:Q,'RCS Initiatives'!$A:$A,'Gap Analysis update'!$A81,'RCS Initiatives'!$C:$C,'Gap Analysis update'!$B81,'RCS Initiatives'!$B:$B,'Gap Analysis update'!V$2)</f>
        <v>0</v>
      </c>
      <c r="W81" s="280">
        <f>SUMIFS('RCS Initiatives'!R:R,'RCS Initiatives'!$A:$A,'Gap Analysis update'!$A81,'RCS Initiatives'!$C:$C,'Gap Analysis update'!$B81,'RCS Initiatives'!$B:$B,'Gap Analysis update'!W$2)</f>
        <v>0</v>
      </c>
      <c r="X81" s="280"/>
      <c r="Y81" s="280"/>
      <c r="Z81" s="285"/>
      <c r="AA81" s="280"/>
      <c r="AB81" s="280"/>
      <c r="AC81" s="280"/>
      <c r="AD81" s="280">
        <f>SUMIFS('RCS Initiatives'!G:G,'RCS Initiatives'!$A:$A,'Gap Analysis update'!$A81,'RCS Initiatives'!$C:$C,'Gap Analysis update'!$B81,'RCS Initiatives'!$B:$B,'Gap Analysis update'!AD$2)</f>
        <v>0</v>
      </c>
      <c r="AE81" s="280">
        <f>SUMIFS('RCS Initiatives'!H:H,'RCS Initiatives'!$A:$A,'Gap Analysis update'!$A81,'RCS Initiatives'!$C:$C,'Gap Analysis update'!$B81,'RCS Initiatives'!$B:$B,'Gap Analysis update'!AE$2)</f>
        <v>0</v>
      </c>
      <c r="AF81" s="280">
        <f>SUMIFS('RCS Initiatives'!I:I,'RCS Initiatives'!$A:$A,'Gap Analysis update'!$A81,'RCS Initiatives'!$C:$C,'Gap Analysis update'!$B81,'RCS Initiatives'!$B:$B,'Gap Analysis update'!AF$2)</f>
        <v>0</v>
      </c>
      <c r="AG81" s="280">
        <f>SUMIFS('RCS Initiatives'!J:J,'RCS Initiatives'!$A:$A,'Gap Analysis update'!$A81,'RCS Initiatives'!$C:$C,'Gap Analysis update'!$B81,'RCS Initiatives'!$B:$B,'Gap Analysis update'!AG$2)</f>
        <v>0</v>
      </c>
      <c r="AH81" s="280">
        <f>SUMIFS('RCS Initiatives'!K:K,'RCS Initiatives'!$A:$A,'Gap Analysis update'!$A81,'RCS Initiatives'!$C:$C,'Gap Analysis update'!$B81,'RCS Initiatives'!$B:$B,'Gap Analysis update'!AH$2)</f>
        <v>0</v>
      </c>
      <c r="AI81" s="280">
        <f>SUMIFS('RCS Initiatives'!L:L,'RCS Initiatives'!$A:$A,'Gap Analysis update'!$A81,'RCS Initiatives'!$C:$C,'Gap Analysis update'!$B81,'RCS Initiatives'!$B:$B,'Gap Analysis update'!AI$2)</f>
        <v>0</v>
      </c>
      <c r="AJ81" s="280">
        <f>SUMIFS('RCS Initiatives'!M:M,'RCS Initiatives'!$A:$A,'Gap Analysis update'!$A81,'RCS Initiatives'!$C:$C,'Gap Analysis update'!$B81,'RCS Initiatives'!$B:$B,'Gap Analysis update'!AJ$2)</f>
        <v>0</v>
      </c>
      <c r="AK81" s="280">
        <f>SUMIFS('RCS Initiatives'!N:N,'RCS Initiatives'!$A:$A,'Gap Analysis update'!$A81,'RCS Initiatives'!$C:$C,'Gap Analysis update'!$B81,'RCS Initiatives'!$B:$B,'Gap Analysis update'!AK$2)</f>
        <v>0</v>
      </c>
      <c r="AL81" s="280">
        <f>SUMIFS('RCS Initiatives'!O:O,'RCS Initiatives'!$A:$A,'Gap Analysis update'!$A81,'RCS Initiatives'!$C:$C,'Gap Analysis update'!$B81,'RCS Initiatives'!$B:$B,'Gap Analysis update'!AL$2)</f>
        <v>2.912593343370622E-2</v>
      </c>
      <c r="AM81" s="280">
        <f>SUMIFS('RCS Initiatives'!P:P,'RCS Initiatives'!$A:$A,'Gap Analysis update'!$A81,'RCS Initiatives'!$C:$C,'Gap Analysis update'!$B81,'RCS Initiatives'!$B:$B,'Gap Analysis update'!AM$2)</f>
        <v>1.1943667598689348E-2</v>
      </c>
      <c r="AN81" s="280">
        <f>SUMIFS('RCS Initiatives'!Q:Q,'RCS Initiatives'!$A:$A,'Gap Analysis update'!$A81,'RCS Initiatives'!$C:$C,'Gap Analysis update'!$B81,'RCS Initiatives'!$B:$B,'Gap Analysis update'!AN$2)</f>
        <v>0</v>
      </c>
      <c r="AO81" s="280">
        <f>SUMIFS('RCS Initiatives'!R:R,'RCS Initiatives'!$A:$A,'Gap Analysis update'!$A81,'RCS Initiatives'!$C:$C,'Gap Analysis update'!$B81,'RCS Initiatives'!$B:$B,'Gap Analysis update'!AO$2)</f>
        <v>0</v>
      </c>
      <c r="AP81" s="280"/>
      <c r="AQ81" s="280"/>
      <c r="AR81" s="280" t="e">
        <f>SUMIFS('[2]RCS Initiatives'!T:T,'[2]RCS Initiatives'!$A:$A,'Gap Analysis update'!$A81,'[2]RCS Initiatives'!$C:$C,'Gap Analysis update'!$B81,'[2]RCS Initiatives'!$B:$B,'Gap Analysis update'!AR$2)</f>
        <v>#VALUE!</v>
      </c>
      <c r="AS81" s="280" t="e">
        <f>SUMIFS('[2]RCS Initiatives'!U:U,'[2]RCS Initiatives'!$A:$A,'Gap Analysis update'!$A81,'[2]RCS Initiatives'!$C:$C,'Gap Analysis update'!$B81,'[2]RCS Initiatives'!$B:$B,'Gap Analysis update'!AS$2)</f>
        <v>#VALUE!</v>
      </c>
      <c r="AT81" s="284">
        <f t="shared" ref="AT81:AT88" si="110">AB81-J81</f>
        <v>0</v>
      </c>
      <c r="AU81" s="284">
        <f t="shared" si="69"/>
        <v>0</v>
      </c>
      <c r="AV81" s="284">
        <f t="shared" si="69"/>
        <v>-8.1335029969215558E-2</v>
      </c>
      <c r="AW81" s="284">
        <f t="shared" si="69"/>
        <v>0</v>
      </c>
      <c r="AX81" s="284">
        <f>AF81-N81</f>
        <v>0</v>
      </c>
      <c r="AY81" s="284">
        <f t="shared" si="69"/>
        <v>0</v>
      </c>
      <c r="AZ81" s="284">
        <f>AH81-P81</f>
        <v>0</v>
      </c>
      <c r="BA81" s="284">
        <f t="shared" si="69"/>
        <v>0</v>
      </c>
      <c r="BB81" s="284">
        <f>AJ81-R81</f>
        <v>0</v>
      </c>
      <c r="BC81" s="284">
        <f t="shared" si="69"/>
        <v>0</v>
      </c>
      <c r="BD81" s="284">
        <f t="shared" si="69"/>
        <v>2.912593343370622E-2</v>
      </c>
      <c r="BE81" s="284">
        <f t="shared" si="69"/>
        <v>1.1943667598689348E-2</v>
      </c>
      <c r="BF81" s="284">
        <f t="shared" si="69"/>
        <v>0</v>
      </c>
      <c r="BG81" s="284">
        <f>AO81-W81</f>
        <v>0</v>
      </c>
      <c r="BH81" s="284">
        <f t="shared" si="69"/>
        <v>0</v>
      </c>
      <c r="BI81" s="284">
        <f t="shared" si="69"/>
        <v>0</v>
      </c>
      <c r="BJ81" s="285"/>
      <c r="BK81" s="301"/>
      <c r="BL81" s="301"/>
      <c r="BM81" s="301"/>
      <c r="BN81" s="301"/>
      <c r="BO81" s="301"/>
      <c r="BP81" s="301"/>
      <c r="BQ81" s="301"/>
      <c r="BR81" s="301"/>
      <c r="BS81" s="301"/>
      <c r="BT81" s="301"/>
      <c r="BU81" s="301"/>
      <c r="BV81" s="301"/>
      <c r="BW81" s="301"/>
      <c r="BX81" s="301"/>
      <c r="BY81" s="301"/>
      <c r="BZ81" s="301"/>
      <c r="CA81" s="301"/>
      <c r="CB81" s="288"/>
    </row>
    <row r="82" spans="1:80" s="298" customFormat="1" ht="52">
      <c r="A82" s="296" t="s">
        <v>149</v>
      </c>
      <c r="B82" s="287" t="s">
        <v>24</v>
      </c>
      <c r="C82" s="288">
        <f>SUM(AS82:BA82)</f>
        <v>0</v>
      </c>
      <c r="D82" s="289">
        <f>SUM(BB82:BG82)</f>
        <v>0</v>
      </c>
      <c r="E82" s="289">
        <f>D82+C82</f>
        <v>0</v>
      </c>
      <c r="F82" s="286"/>
      <c r="G82" s="286" t="s">
        <v>150</v>
      </c>
      <c r="H82" s="297"/>
      <c r="L82" s="298">
        <f>SUMIFS('RCS Initiatives'!G:G,'RCS Initiatives'!$E:$E,'Gap Analysis update'!$B82,'RCS Initiatives'!$A:$A,'Gap Analysis update'!$A82,'RCS Initiatives'!$B:$B,'Gap Analysis update'!L$2)-SUMIFS('RCS Initiatives'!G:G,'RCS Initiatives'!$E:$E,'Gap Analysis update'!$B82,'RCS Initiatives'!$A:$A,'Gap Analysis update'!$A82,'RCS Initiatives'!$B:$B,'Gap Analysis update'!L$2,'RCS Initiatives'!$C:$C,'Gap Analysis update'!$B$72)</f>
        <v>0</v>
      </c>
      <c r="M82" s="298">
        <f>SUMIFS('RCS Initiatives'!H:H,'RCS Initiatives'!$E:$E,'Gap Analysis update'!$B82,'RCS Initiatives'!$A:$A,'Gap Analysis update'!$A82,'RCS Initiatives'!$B:$B,'Gap Analysis update'!M$2)-SUMIFS('RCS Initiatives'!H:H,'RCS Initiatives'!$E:$E,'Gap Analysis update'!$B82,'RCS Initiatives'!$A:$A,'Gap Analysis update'!$A82,'RCS Initiatives'!$B:$B,'Gap Analysis update'!M$2,'RCS Initiatives'!$C:$C,'Gap Analysis update'!$B$72)</f>
        <v>0</v>
      </c>
      <c r="N82" s="298">
        <f>SUMIFS('RCS Initiatives'!I:I,'RCS Initiatives'!$E:$E,'Gap Analysis update'!$B82,'RCS Initiatives'!$A:$A,'Gap Analysis update'!$A82,'RCS Initiatives'!$B:$B,'Gap Analysis update'!N$2)-SUMIFS('RCS Initiatives'!I:I,'RCS Initiatives'!$E:$E,'Gap Analysis update'!$B82,'RCS Initiatives'!$A:$A,'Gap Analysis update'!$A82,'RCS Initiatives'!$B:$B,'Gap Analysis update'!N$2,'RCS Initiatives'!$C:$C,'Gap Analysis update'!$B$72)</f>
        <v>0</v>
      </c>
      <c r="O82" s="298">
        <f>SUMIFS('RCS Initiatives'!J:J,'RCS Initiatives'!$E:$E,'Gap Analysis update'!$B82,'RCS Initiatives'!$A:$A,'Gap Analysis update'!$A82,'RCS Initiatives'!$B:$B,'Gap Analysis update'!O$2)-SUMIFS('RCS Initiatives'!J:J,'RCS Initiatives'!$E:$E,'Gap Analysis update'!$B82,'RCS Initiatives'!$A:$A,'Gap Analysis update'!$A82,'RCS Initiatives'!$B:$B,'Gap Analysis update'!O$2,'RCS Initiatives'!$C:$C,'Gap Analysis update'!$B$72)</f>
        <v>0</v>
      </c>
      <c r="P82" s="298">
        <f>SUMIFS('RCS Initiatives'!K:K,'RCS Initiatives'!$E:$E,'Gap Analysis update'!$B82,'RCS Initiatives'!$A:$A,'Gap Analysis update'!$A82,'RCS Initiatives'!$B:$B,'Gap Analysis update'!P$2)-SUMIFS('RCS Initiatives'!K:K,'RCS Initiatives'!$E:$E,'Gap Analysis update'!$B82,'RCS Initiatives'!$A:$A,'Gap Analysis update'!$A82,'RCS Initiatives'!$B:$B,'Gap Analysis update'!P$2,'RCS Initiatives'!$C:$C,'Gap Analysis update'!$B$72)</f>
        <v>0</v>
      </c>
      <c r="Q82" s="298">
        <f>SUMIFS('RCS Initiatives'!L:L,'RCS Initiatives'!$E:$E,'Gap Analysis update'!$B82,'RCS Initiatives'!$A:$A,'Gap Analysis update'!$A82,'RCS Initiatives'!$B:$B,'Gap Analysis update'!Q$2)-SUMIFS('RCS Initiatives'!L:L,'RCS Initiatives'!$E:$E,'Gap Analysis update'!$B82,'RCS Initiatives'!$A:$A,'Gap Analysis update'!$A82,'RCS Initiatives'!$B:$B,'Gap Analysis update'!Q$2,'RCS Initiatives'!$C:$C,'Gap Analysis update'!$B$72)</f>
        <v>0</v>
      </c>
      <c r="R82" s="298">
        <f>SUMIFS('RCS Initiatives'!M:M,'RCS Initiatives'!$E:$E,'Gap Analysis update'!$B82,'RCS Initiatives'!$A:$A,'Gap Analysis update'!$A82,'RCS Initiatives'!$B:$B,'Gap Analysis update'!R$2)-SUMIFS('RCS Initiatives'!M:M,'RCS Initiatives'!$E:$E,'Gap Analysis update'!$B82,'RCS Initiatives'!$A:$A,'Gap Analysis update'!$A82,'RCS Initiatives'!$B:$B,'Gap Analysis update'!R$2,'RCS Initiatives'!$C:$C,'Gap Analysis update'!$B$72)</f>
        <v>0</v>
      </c>
      <c r="S82" s="298">
        <f>SUMIFS('RCS Initiatives'!N:N,'RCS Initiatives'!$E:$E,'Gap Analysis update'!$B82,'RCS Initiatives'!$A:$A,'Gap Analysis update'!$A82,'RCS Initiatives'!$B:$B,'Gap Analysis update'!S$2)-SUMIFS('RCS Initiatives'!N:N,'RCS Initiatives'!$E:$E,'Gap Analysis update'!$B82,'RCS Initiatives'!$A:$A,'Gap Analysis update'!$A82,'RCS Initiatives'!$B:$B,'Gap Analysis update'!S$2,'RCS Initiatives'!$C:$C,'Gap Analysis update'!$B$72)</f>
        <v>0</v>
      </c>
      <c r="T82" s="298">
        <f>SUMIFS('RCS Initiatives'!O:O,'RCS Initiatives'!$E:$E,'Gap Analysis update'!$B82,'RCS Initiatives'!$A:$A,'Gap Analysis update'!$A82,'RCS Initiatives'!$B:$B,'Gap Analysis update'!T$2)-SUMIFS('RCS Initiatives'!O:O,'RCS Initiatives'!$E:$E,'Gap Analysis update'!$B82,'RCS Initiatives'!$A:$A,'Gap Analysis update'!$A82,'RCS Initiatives'!$B:$B,'Gap Analysis update'!T$2,'RCS Initiatives'!$C:$C,'Gap Analysis update'!$B$72)</f>
        <v>0</v>
      </c>
      <c r="U82" s="298">
        <f>SUMIFS('RCS Initiatives'!P:P,'RCS Initiatives'!$E:$E,'Gap Analysis update'!$B82,'RCS Initiatives'!$A:$A,'Gap Analysis update'!$A82,'RCS Initiatives'!$B:$B,'Gap Analysis update'!U$2)-SUMIFS('RCS Initiatives'!P:P,'RCS Initiatives'!$E:$E,'Gap Analysis update'!$B82,'RCS Initiatives'!$A:$A,'Gap Analysis update'!$A82,'RCS Initiatives'!$B:$B,'Gap Analysis update'!U$2,'RCS Initiatives'!$C:$C,'Gap Analysis update'!$B$72)</f>
        <v>0</v>
      </c>
      <c r="V82" s="298">
        <f>SUMIFS('RCS Initiatives'!Q:Q,'RCS Initiatives'!$E:$E,'Gap Analysis update'!$B82,'RCS Initiatives'!$A:$A,'Gap Analysis update'!$A82,'RCS Initiatives'!$B:$B,'Gap Analysis update'!V$2)-SUMIFS('RCS Initiatives'!Q:Q,'RCS Initiatives'!$E:$E,'Gap Analysis update'!$B82,'RCS Initiatives'!$A:$A,'Gap Analysis update'!$A82,'RCS Initiatives'!$B:$B,'Gap Analysis update'!V$2,'RCS Initiatives'!$C:$C,'Gap Analysis update'!$B$72)</f>
        <v>0</v>
      </c>
      <c r="W82" s="298">
        <f>SUMIFS('RCS Initiatives'!R:R,'RCS Initiatives'!$E:$E,'Gap Analysis update'!$B82,'RCS Initiatives'!$A:$A,'Gap Analysis update'!$A82,'RCS Initiatives'!$B:$B,'Gap Analysis update'!W$2)-SUMIFS('RCS Initiatives'!R:R,'RCS Initiatives'!$E:$E,'Gap Analysis update'!$B82,'RCS Initiatives'!$A:$A,'Gap Analysis update'!$A82,'RCS Initiatives'!$B:$B,'Gap Analysis update'!W$2,'RCS Initiatives'!$C:$C,'Gap Analysis update'!$B$72)</f>
        <v>0</v>
      </c>
      <c r="Z82" s="293"/>
      <c r="AD82" s="298">
        <f>SUMIFS('RCS Initiatives'!G:G,'RCS Initiatives'!$E:$E,'Gap Analysis update'!$B82,'RCS Initiatives'!$A:$A,'Gap Analysis update'!$A82,'RCS Initiatives'!$B:$B,'Gap Analysis update'!AD$2)-SUMIFS('RCS Initiatives'!G:G,'RCS Initiatives'!$E:$E,'Gap Analysis update'!$B82,'RCS Initiatives'!$A:$A,'Gap Analysis update'!$A82,'RCS Initiatives'!$B:$B,'Gap Analysis update'!AD$2,'RCS Initiatives'!$C:$C,'Gap Analysis update'!$B$72)</f>
        <v>0</v>
      </c>
      <c r="AE82" s="298">
        <f>SUMIFS('RCS Initiatives'!H:H,'RCS Initiatives'!$E:$E,'Gap Analysis update'!$B82,'RCS Initiatives'!$A:$A,'Gap Analysis update'!$A82,'RCS Initiatives'!$B:$B,'Gap Analysis update'!AE$2)-SUMIFS('RCS Initiatives'!H:H,'RCS Initiatives'!$E:$E,'Gap Analysis update'!$B82,'RCS Initiatives'!$A:$A,'Gap Analysis update'!$A82,'RCS Initiatives'!$B:$B,'Gap Analysis update'!AE$2,'RCS Initiatives'!$C:$C,'Gap Analysis update'!$B$72)</f>
        <v>0</v>
      </c>
      <c r="AF82" s="298">
        <f>SUMIFS('RCS Initiatives'!I:I,'RCS Initiatives'!$E:$E,'Gap Analysis update'!$B82,'RCS Initiatives'!$A:$A,'Gap Analysis update'!$A82,'RCS Initiatives'!$B:$B,'Gap Analysis update'!AF$2)-SUMIFS('RCS Initiatives'!I:I,'RCS Initiatives'!$E:$E,'Gap Analysis update'!$B82,'RCS Initiatives'!$A:$A,'Gap Analysis update'!$A82,'RCS Initiatives'!$B:$B,'Gap Analysis update'!AF$2,'RCS Initiatives'!$C:$C,'Gap Analysis update'!$B$72)</f>
        <v>0</v>
      </c>
      <c r="AG82" s="298">
        <f>SUMIFS('RCS Initiatives'!J:J,'RCS Initiatives'!$E:$E,'Gap Analysis update'!$B82,'RCS Initiatives'!$A:$A,'Gap Analysis update'!$A82,'RCS Initiatives'!$B:$B,'Gap Analysis update'!AG$2)-SUMIFS('RCS Initiatives'!J:J,'RCS Initiatives'!$E:$E,'Gap Analysis update'!$B82,'RCS Initiatives'!$A:$A,'Gap Analysis update'!$A82,'RCS Initiatives'!$B:$B,'Gap Analysis update'!AG$2,'RCS Initiatives'!$C:$C,'Gap Analysis update'!$B$72)</f>
        <v>0</v>
      </c>
      <c r="AH82" s="298">
        <f>SUMIFS('RCS Initiatives'!K:K,'RCS Initiatives'!$E:$E,'Gap Analysis update'!$B82,'RCS Initiatives'!$A:$A,'Gap Analysis update'!$A82,'RCS Initiatives'!$B:$B,'Gap Analysis update'!AH$2)-SUMIFS('RCS Initiatives'!K:K,'RCS Initiatives'!$E:$E,'Gap Analysis update'!$B82,'RCS Initiatives'!$A:$A,'Gap Analysis update'!$A82,'RCS Initiatives'!$B:$B,'Gap Analysis update'!AH$2,'RCS Initiatives'!$C:$C,'Gap Analysis update'!$B$72)</f>
        <v>0</v>
      </c>
      <c r="AI82" s="298">
        <f>SUMIFS('RCS Initiatives'!L:L,'RCS Initiatives'!$E:$E,'Gap Analysis update'!$B82,'RCS Initiatives'!$A:$A,'Gap Analysis update'!$A82,'RCS Initiatives'!$B:$B,'Gap Analysis update'!AI$2)-SUMIFS('RCS Initiatives'!L:L,'RCS Initiatives'!$E:$E,'Gap Analysis update'!$B82,'RCS Initiatives'!$A:$A,'Gap Analysis update'!$A82,'RCS Initiatives'!$B:$B,'Gap Analysis update'!AI$2,'RCS Initiatives'!$C:$C,'Gap Analysis update'!$B$72)</f>
        <v>0</v>
      </c>
      <c r="AJ82" s="298">
        <f>SUMIFS('RCS Initiatives'!M:M,'RCS Initiatives'!$E:$E,'Gap Analysis update'!$B82,'RCS Initiatives'!$A:$A,'Gap Analysis update'!$A82,'RCS Initiatives'!$B:$B,'Gap Analysis update'!AJ$2)-SUMIFS('RCS Initiatives'!M:M,'RCS Initiatives'!$E:$E,'Gap Analysis update'!$B82,'RCS Initiatives'!$A:$A,'Gap Analysis update'!$A82,'RCS Initiatives'!$B:$B,'Gap Analysis update'!AJ$2,'RCS Initiatives'!$C:$C,'Gap Analysis update'!$B$72)</f>
        <v>0</v>
      </c>
      <c r="AK82" s="298">
        <f>SUMIFS('RCS Initiatives'!N:N,'RCS Initiatives'!$E:$E,'Gap Analysis update'!$B82,'RCS Initiatives'!$A:$A,'Gap Analysis update'!$A82,'RCS Initiatives'!$B:$B,'Gap Analysis update'!AK$2)-SUMIFS('RCS Initiatives'!N:N,'RCS Initiatives'!$E:$E,'Gap Analysis update'!$B82,'RCS Initiatives'!$A:$A,'Gap Analysis update'!$A82,'RCS Initiatives'!$B:$B,'Gap Analysis update'!AK$2,'RCS Initiatives'!$C:$C,'Gap Analysis update'!$B$72)</f>
        <v>0</v>
      </c>
      <c r="AL82" s="298">
        <f>SUMIFS('RCS Initiatives'!O:O,'RCS Initiatives'!$E:$E,'Gap Analysis update'!$B82,'RCS Initiatives'!$A:$A,'Gap Analysis update'!$A82,'RCS Initiatives'!$B:$B,'Gap Analysis update'!AL$2)-SUMIFS('RCS Initiatives'!O:O,'RCS Initiatives'!$E:$E,'Gap Analysis update'!$B82,'RCS Initiatives'!$A:$A,'Gap Analysis update'!$A82,'RCS Initiatives'!$B:$B,'Gap Analysis update'!AL$2,'RCS Initiatives'!$C:$C,'Gap Analysis update'!$B$72)</f>
        <v>0</v>
      </c>
      <c r="AM82" s="298">
        <f>SUMIFS('RCS Initiatives'!P:P,'RCS Initiatives'!$E:$E,'Gap Analysis update'!$B82,'RCS Initiatives'!$A:$A,'Gap Analysis update'!$A82,'RCS Initiatives'!$B:$B,'Gap Analysis update'!AM$2)-SUMIFS('RCS Initiatives'!P:P,'RCS Initiatives'!$E:$E,'Gap Analysis update'!$B82,'RCS Initiatives'!$A:$A,'Gap Analysis update'!$A82,'RCS Initiatives'!$B:$B,'Gap Analysis update'!AM$2,'RCS Initiatives'!$C:$C,'Gap Analysis update'!$B$72)</f>
        <v>0</v>
      </c>
      <c r="AN82" s="298">
        <f>SUMIFS('RCS Initiatives'!Q:Q,'RCS Initiatives'!$E:$E,'Gap Analysis update'!$B82,'RCS Initiatives'!$A:$A,'Gap Analysis update'!$A82,'RCS Initiatives'!$B:$B,'Gap Analysis update'!AN$2)-SUMIFS('RCS Initiatives'!Q:Q,'RCS Initiatives'!$E:$E,'Gap Analysis update'!$B82,'RCS Initiatives'!$A:$A,'Gap Analysis update'!$A82,'RCS Initiatives'!$B:$B,'Gap Analysis update'!AN$2,'RCS Initiatives'!$C:$C,'Gap Analysis update'!$B$72)</f>
        <v>0</v>
      </c>
      <c r="AO82" s="298">
        <f>SUMIFS('RCS Initiatives'!R:R,'RCS Initiatives'!$E:$E,'Gap Analysis update'!$B82,'RCS Initiatives'!$A:$A,'Gap Analysis update'!$A82,'RCS Initiatives'!$B:$B,'Gap Analysis update'!AO$2)-SUMIFS('RCS Initiatives'!R:R,'RCS Initiatives'!$E:$E,'Gap Analysis update'!$B82,'RCS Initiatives'!$A:$A,'Gap Analysis update'!$A82,'RCS Initiatives'!$B:$B,'Gap Analysis update'!AO$2,'RCS Initiatives'!$C:$C,'Gap Analysis update'!$B$72)</f>
        <v>0</v>
      </c>
      <c r="AR82" s="293"/>
      <c r="AS82" s="303"/>
      <c r="AT82" s="289">
        <f t="shared" si="110"/>
        <v>0</v>
      </c>
      <c r="AU82" s="303">
        <f t="shared" si="69"/>
        <v>0</v>
      </c>
      <c r="AV82" s="303">
        <f t="shared" si="69"/>
        <v>0</v>
      </c>
      <c r="AW82" s="303">
        <f t="shared" si="69"/>
        <v>0</v>
      </c>
      <c r="AX82" s="303">
        <f>AF82-N82</f>
        <v>0</v>
      </c>
      <c r="AY82" s="303">
        <f>AG82-O82</f>
        <v>0</v>
      </c>
      <c r="AZ82" s="303">
        <f>AH82-P82</f>
        <v>0</v>
      </c>
      <c r="BA82" s="303">
        <f>AI82-Q82</f>
        <v>0</v>
      </c>
      <c r="BB82" s="303">
        <f>AJ82-R82</f>
        <v>0</v>
      </c>
      <c r="BC82" s="303">
        <f t="shared" si="69"/>
        <v>0</v>
      </c>
      <c r="BD82" s="303">
        <f t="shared" si="69"/>
        <v>0</v>
      </c>
      <c r="BE82" s="303">
        <f t="shared" si="69"/>
        <v>0</v>
      </c>
      <c r="BF82" s="303">
        <f t="shared" si="69"/>
        <v>0</v>
      </c>
      <c r="BG82" s="303">
        <f t="shared" ref="BG82:BG89" si="111">AO82-W82</f>
        <v>0</v>
      </c>
      <c r="BH82" s="303">
        <f t="shared" si="69"/>
        <v>0</v>
      </c>
      <c r="BI82" s="303">
        <f t="shared" si="69"/>
        <v>0</v>
      </c>
      <c r="BJ82" s="293"/>
      <c r="BK82" s="288"/>
      <c r="BL82" s="288"/>
      <c r="BM82" s="288"/>
      <c r="BN82" s="288"/>
      <c r="BO82" s="288"/>
      <c r="BP82" s="288"/>
      <c r="BQ82" s="288"/>
      <c r="BR82" s="288"/>
      <c r="BS82" s="288"/>
      <c r="BT82" s="288"/>
      <c r="BU82" s="288"/>
      <c r="BV82" s="288"/>
      <c r="BW82" s="288"/>
      <c r="BX82" s="288"/>
      <c r="BY82" s="288"/>
      <c r="BZ82" s="288"/>
      <c r="CA82" s="288"/>
      <c r="CB82" s="288"/>
    </row>
    <row r="83" spans="1:80" s="298" customFormat="1" ht="169">
      <c r="A83" s="296" t="s">
        <v>149</v>
      </c>
      <c r="B83" s="287" t="s">
        <v>33</v>
      </c>
      <c r="C83" s="288">
        <f t="shared" ref="C83:C87" si="112">SUM(AS83:BA83)</f>
        <v>0.19909136447494405</v>
      </c>
      <c r="D83" s="289">
        <f t="shared" ref="D83:D87" si="113">SUM(BB83:BG83)</f>
        <v>-1.0223031527309245E-2</v>
      </c>
      <c r="E83" s="289">
        <f t="shared" ref="E83:E87" si="114">D83+C83</f>
        <v>0.1888683329476348</v>
      </c>
      <c r="F83" s="286"/>
      <c r="G83" s="286" t="s">
        <v>151</v>
      </c>
      <c r="H83" s="297"/>
      <c r="K83" s="288"/>
      <c r="L83" s="298">
        <f>SUMIFS('RCS Initiatives'!G:G,'RCS Initiatives'!$E:$E,'Gap Analysis update'!$B83,'RCS Initiatives'!$A:$A,'Gap Analysis update'!$A83,'RCS Initiatives'!$B:$B,'Gap Analysis update'!L$2)-SUMIFS('RCS Initiatives'!G:G,'RCS Initiatives'!$E:$E,'Gap Analysis update'!$B83,'RCS Initiatives'!$A:$A,'Gap Analysis update'!$A83,'RCS Initiatives'!$B:$B,'Gap Analysis update'!L$2,'RCS Initiatives'!$C:$C,'Gap Analysis update'!$B$72)</f>
        <v>1.9161293970040467E-2</v>
      </c>
      <c r="M83" s="298">
        <f>SUMIFS('RCS Initiatives'!H:H,'RCS Initiatives'!$E:$E,'Gap Analysis update'!$B83,'RCS Initiatives'!$A:$A,'Gap Analysis update'!$A83,'RCS Initiatives'!$B:$B,'Gap Analysis update'!M$2)-SUMIFS('RCS Initiatives'!H:H,'RCS Initiatives'!$E:$E,'Gap Analysis update'!$B83,'RCS Initiatives'!$A:$A,'Gap Analysis update'!$A83,'RCS Initiatives'!$B:$B,'Gap Analysis update'!M$2,'RCS Initiatives'!$C:$C,'Gap Analysis update'!$B$72)</f>
        <v>0</v>
      </c>
      <c r="N83" s="298">
        <f>SUMIFS('RCS Initiatives'!I:I,'RCS Initiatives'!$E:$E,'Gap Analysis update'!$B83,'RCS Initiatives'!$A:$A,'Gap Analysis update'!$A83,'RCS Initiatives'!$B:$B,'Gap Analysis update'!N$2)-SUMIFS('RCS Initiatives'!I:I,'RCS Initiatives'!$E:$E,'Gap Analysis update'!$B83,'RCS Initiatives'!$A:$A,'Gap Analysis update'!$A83,'RCS Initiatives'!$B:$B,'Gap Analysis update'!N$2,'RCS Initiatives'!$C:$C,'Gap Analysis update'!$B$72)</f>
        <v>-3.4816746656391201E-2</v>
      </c>
      <c r="O83" s="298">
        <f>SUMIFS('RCS Initiatives'!J:J,'RCS Initiatives'!$E:$E,'Gap Analysis update'!$B83,'RCS Initiatives'!$A:$A,'Gap Analysis update'!$A83,'RCS Initiatives'!$B:$B,'Gap Analysis update'!O$2)-SUMIFS('RCS Initiatives'!J:J,'RCS Initiatives'!$E:$E,'Gap Analysis update'!$B83,'RCS Initiatives'!$A:$A,'Gap Analysis update'!$A83,'RCS Initiatives'!$B:$B,'Gap Analysis update'!O$2,'RCS Initiatives'!$C:$C,'Gap Analysis update'!$B$72)</f>
        <v>0</v>
      </c>
      <c r="P83" s="298">
        <f>SUMIFS('RCS Initiatives'!K:K,'RCS Initiatives'!$E:$E,'Gap Analysis update'!$B83,'RCS Initiatives'!$A:$A,'Gap Analysis update'!$A83,'RCS Initiatives'!$B:$B,'Gap Analysis update'!P$2)-SUMIFS('RCS Initiatives'!K:K,'RCS Initiatives'!$E:$E,'Gap Analysis update'!$B83,'RCS Initiatives'!$A:$A,'Gap Analysis update'!$A83,'RCS Initiatives'!$B:$B,'Gap Analysis update'!P$2,'RCS Initiatives'!$C:$C,'Gap Analysis update'!$B$72)</f>
        <v>-0.15006903429237775</v>
      </c>
      <c r="Q83" s="298">
        <f>SUMIFS('RCS Initiatives'!L:L,'RCS Initiatives'!$E:$E,'Gap Analysis update'!$B83,'RCS Initiatives'!$A:$A,'Gap Analysis update'!$A83,'RCS Initiatives'!$B:$B,'Gap Analysis update'!Q$2)-SUMIFS('RCS Initiatives'!L:L,'RCS Initiatives'!$E:$E,'Gap Analysis update'!$B83,'RCS Initiatives'!$A:$A,'Gap Analysis update'!$A83,'RCS Initiatives'!$B:$B,'Gap Analysis update'!Q$2,'RCS Initiatives'!$C:$C,'Gap Analysis update'!$B$72)</f>
        <v>0</v>
      </c>
      <c r="R83" s="298">
        <f>SUMIFS('RCS Initiatives'!M:M,'RCS Initiatives'!$E:$E,'Gap Analysis update'!$B83,'RCS Initiatives'!$A:$A,'Gap Analysis update'!$A83,'RCS Initiatives'!$B:$B,'Gap Analysis update'!R$2)-SUMIFS('RCS Initiatives'!M:M,'RCS Initiatives'!$E:$E,'Gap Analysis update'!$B83,'RCS Initiatives'!$A:$A,'Gap Analysis update'!$A83,'RCS Initiatives'!$B:$B,'Gap Analysis update'!R$2,'RCS Initiatives'!$C:$C,'Gap Analysis update'!$B$72)</f>
        <v>0</v>
      </c>
      <c r="S83" s="298">
        <f>SUMIFS('RCS Initiatives'!N:N,'RCS Initiatives'!$E:$E,'Gap Analysis update'!$B83,'RCS Initiatives'!$A:$A,'Gap Analysis update'!$A83,'RCS Initiatives'!$B:$B,'Gap Analysis update'!S$2)-SUMIFS('RCS Initiatives'!N:N,'RCS Initiatives'!$E:$E,'Gap Analysis update'!$B83,'RCS Initiatives'!$A:$A,'Gap Analysis update'!$A83,'RCS Initiatives'!$B:$B,'Gap Analysis update'!S$2,'RCS Initiatives'!$C:$C,'Gap Analysis update'!$B$72)</f>
        <v>-1.1494127905333267E-2</v>
      </c>
      <c r="T83" s="298">
        <f>SUMIFS('RCS Initiatives'!O:O,'RCS Initiatives'!$E:$E,'Gap Analysis update'!$B83,'RCS Initiatives'!$A:$A,'Gap Analysis update'!$A83,'RCS Initiatives'!$B:$B,'Gap Analysis update'!T$2)-SUMIFS('RCS Initiatives'!O:O,'RCS Initiatives'!$E:$E,'Gap Analysis update'!$B83,'RCS Initiatives'!$A:$A,'Gap Analysis update'!$A83,'RCS Initiatives'!$B:$B,'Gap Analysis update'!T$2,'RCS Initiatives'!$C:$C,'Gap Analysis update'!$B$72)</f>
        <v>0</v>
      </c>
      <c r="U83" s="298">
        <f>SUMIFS('RCS Initiatives'!P:P,'RCS Initiatives'!$E:$E,'Gap Analysis update'!$B83,'RCS Initiatives'!$A:$A,'Gap Analysis update'!$A83,'RCS Initiatives'!$B:$B,'Gap Analysis update'!U$2)-SUMIFS('RCS Initiatives'!P:P,'RCS Initiatives'!$E:$E,'Gap Analysis update'!$B83,'RCS Initiatives'!$A:$A,'Gap Analysis update'!$A83,'RCS Initiatives'!$B:$B,'Gap Analysis update'!U$2,'RCS Initiatives'!$C:$C,'Gap Analysis update'!$B$72)</f>
        <v>0</v>
      </c>
      <c r="V83" s="298">
        <f>SUMIFS('RCS Initiatives'!Q:Q,'RCS Initiatives'!$E:$E,'Gap Analysis update'!$B83,'RCS Initiatives'!$A:$A,'Gap Analysis update'!$A83,'RCS Initiatives'!$B:$B,'Gap Analysis update'!V$2)-SUMIFS('RCS Initiatives'!Q:Q,'RCS Initiatives'!$E:$E,'Gap Analysis update'!$B83,'RCS Initiatives'!$A:$A,'Gap Analysis update'!$A83,'RCS Initiatives'!$B:$B,'Gap Analysis update'!V$2,'RCS Initiatives'!$C:$C,'Gap Analysis update'!$B$72)</f>
        <v>-1.1494127905333267E-2</v>
      </c>
      <c r="W83" s="298">
        <f>SUMIFS('RCS Initiatives'!R:R,'RCS Initiatives'!$E:$E,'Gap Analysis update'!$B83,'RCS Initiatives'!$A:$A,'Gap Analysis update'!$A83,'RCS Initiatives'!$B:$B,'Gap Analysis update'!W$2)-SUMIFS('RCS Initiatives'!R:R,'RCS Initiatives'!$E:$E,'Gap Analysis update'!$B83,'RCS Initiatives'!$A:$A,'Gap Analysis update'!$A83,'RCS Initiatives'!$B:$B,'Gap Analysis update'!W$2,'RCS Initiatives'!$C:$C,'Gap Analysis update'!$B$72)</f>
        <v>0</v>
      </c>
      <c r="Z83" s="293"/>
      <c r="AD83" s="298">
        <f>SUMIFS('RCS Initiatives'!G:G,'RCS Initiatives'!$E:$E,'Gap Analysis update'!$B83,'RCS Initiatives'!$A:$A,'Gap Analysis update'!$A83,'RCS Initiatives'!$B:$B,'Gap Analysis update'!AD$2)-SUMIFS('RCS Initiatives'!G:G,'RCS Initiatives'!$E:$E,'Gap Analysis update'!$B83,'RCS Initiatives'!$A:$A,'Gap Analysis update'!$A83,'RCS Initiatives'!$B:$B,'Gap Analysis update'!AD$2,'RCS Initiatives'!$C:$C,'Gap Analysis update'!$B$72)</f>
        <v>0</v>
      </c>
      <c r="AE83" s="298">
        <f>SUMIFS('RCS Initiatives'!H:H,'RCS Initiatives'!$E:$E,'Gap Analysis update'!$B83,'RCS Initiatives'!$A:$A,'Gap Analysis update'!$A83,'RCS Initiatives'!$B:$B,'Gap Analysis update'!AE$2)-SUMIFS('RCS Initiatives'!H:H,'RCS Initiatives'!$E:$E,'Gap Analysis update'!$B83,'RCS Initiatives'!$A:$A,'Gap Analysis update'!$A83,'RCS Initiatives'!$B:$B,'Gap Analysis update'!AE$2,'RCS Initiatives'!$C:$C,'Gap Analysis update'!$B$72)</f>
        <v>-3.0116093736070274E-3</v>
      </c>
      <c r="AF83" s="298">
        <f>SUMIFS('RCS Initiatives'!I:I,'RCS Initiatives'!$E:$E,'Gap Analysis update'!$B83,'RCS Initiatives'!$A:$A,'Gap Analysis update'!$A83,'RCS Initiatives'!$B:$B,'Gap Analysis update'!AF$2)-SUMIFS('RCS Initiatives'!I:I,'RCS Initiatives'!$E:$E,'Gap Analysis update'!$B83,'RCS Initiatives'!$A:$A,'Gap Analysis update'!$A83,'RCS Initiatives'!$B:$B,'Gap Analysis update'!AF$2,'RCS Initiatives'!$C:$C,'Gap Analysis update'!$B$72)</f>
        <v>-2.1744620067477216E-3</v>
      </c>
      <c r="AG83" s="298">
        <f>SUMIFS('RCS Initiatives'!J:J,'RCS Initiatives'!$E:$E,'Gap Analysis update'!$B83,'RCS Initiatives'!$A:$A,'Gap Analysis update'!$A83,'RCS Initiatives'!$B:$B,'Gap Analysis update'!AG$2)-SUMIFS('RCS Initiatives'!J:J,'RCS Initiatives'!$E:$E,'Gap Analysis update'!$B83,'RCS Initiatives'!$A:$A,'Gap Analysis update'!$A83,'RCS Initiatives'!$B:$B,'Gap Analysis update'!AG$2,'RCS Initiatives'!$C:$C,'Gap Analysis update'!$B$72)</f>
        <v>0</v>
      </c>
      <c r="AH83" s="298">
        <f>SUMIFS('RCS Initiatives'!K:K,'RCS Initiatives'!$E:$E,'Gap Analysis update'!$B83,'RCS Initiatives'!$A:$A,'Gap Analysis update'!$A83,'RCS Initiatives'!$B:$B,'Gap Analysis update'!AH$2)-SUMIFS('RCS Initiatives'!K:K,'RCS Initiatives'!$E:$E,'Gap Analysis update'!$B83,'RCS Initiatives'!$A:$A,'Gap Analysis update'!$A83,'RCS Initiatives'!$B:$B,'Gap Analysis update'!AH$2,'RCS Initiatives'!$C:$C,'Gap Analysis update'!$B$72)</f>
        <v>3.855294887657032E-2</v>
      </c>
      <c r="AI83" s="298">
        <f>SUMIFS('RCS Initiatives'!L:L,'RCS Initiatives'!$E:$E,'Gap Analysis update'!$B83,'RCS Initiatives'!$A:$A,'Gap Analysis update'!$A83,'RCS Initiatives'!$B:$B,'Gap Analysis update'!AI$2)-SUMIFS('RCS Initiatives'!L:L,'RCS Initiatives'!$E:$E,'Gap Analysis update'!$B83,'RCS Initiatives'!$A:$A,'Gap Analysis update'!$A83,'RCS Initiatives'!$B:$B,'Gap Analysis update'!AI$2,'RCS Initiatives'!$C:$C,'Gap Analysis update'!$B$72)</f>
        <v>0</v>
      </c>
      <c r="AJ83" s="298">
        <f>SUMIFS('RCS Initiatives'!M:M,'RCS Initiatives'!$E:$E,'Gap Analysis update'!$B83,'RCS Initiatives'!$A:$A,'Gap Analysis update'!$A83,'RCS Initiatives'!$B:$B,'Gap Analysis update'!AJ$2)-SUMIFS('RCS Initiatives'!M:M,'RCS Initiatives'!$E:$E,'Gap Analysis update'!$B83,'RCS Initiatives'!$A:$A,'Gap Analysis update'!$A83,'RCS Initiatives'!$B:$B,'Gap Analysis update'!AJ$2,'RCS Initiatives'!$C:$C,'Gap Analysis update'!$B$72)</f>
        <v>-2.6361778654320878E-2</v>
      </c>
      <c r="AK83" s="298">
        <f>SUMIFS('RCS Initiatives'!N:N,'RCS Initiatives'!$E:$E,'Gap Analysis update'!$B83,'RCS Initiatives'!$A:$A,'Gap Analysis update'!$A83,'RCS Initiatives'!$B:$B,'Gap Analysis update'!AK$2)-SUMIFS('RCS Initiatives'!N:N,'RCS Initiatives'!$E:$E,'Gap Analysis update'!$B83,'RCS Initiatives'!$A:$A,'Gap Analysis update'!$A83,'RCS Initiatives'!$B:$B,'Gap Analysis update'!AK$2,'RCS Initiatives'!$C:$C,'Gap Analysis update'!$B$72)</f>
        <v>0</v>
      </c>
      <c r="AL83" s="298">
        <f>SUMIFS('RCS Initiatives'!O:O,'RCS Initiatives'!$E:$E,'Gap Analysis update'!$B83,'RCS Initiatives'!$A:$A,'Gap Analysis update'!$A83,'RCS Initiatives'!$B:$B,'Gap Analysis update'!AL$2)-SUMIFS('RCS Initiatives'!O:O,'RCS Initiatives'!$E:$E,'Gap Analysis update'!$B83,'RCS Initiatives'!$A:$A,'Gap Analysis update'!$A83,'RCS Initiatives'!$B:$B,'Gap Analysis update'!AL$2,'RCS Initiatives'!$C:$C,'Gap Analysis update'!$B$72)</f>
        <v>0</v>
      </c>
      <c r="AM83" s="298">
        <f>SUMIFS('RCS Initiatives'!P:P,'RCS Initiatives'!$E:$E,'Gap Analysis update'!$B83,'RCS Initiatives'!$A:$A,'Gap Analysis update'!$A83,'RCS Initiatives'!$B:$B,'Gap Analysis update'!AM$2)-SUMIFS('RCS Initiatives'!P:P,'RCS Initiatives'!$E:$E,'Gap Analysis update'!$B83,'RCS Initiatives'!$A:$A,'Gap Analysis update'!$A83,'RCS Initiatives'!$B:$B,'Gap Analysis update'!AM$2,'RCS Initiatives'!$C:$C,'Gap Analysis update'!$B$72)</f>
        <v>0</v>
      </c>
      <c r="AN83" s="298">
        <f>SUMIFS('RCS Initiatives'!Q:Q,'RCS Initiatives'!$E:$E,'Gap Analysis update'!$B83,'RCS Initiatives'!$A:$A,'Gap Analysis update'!$A83,'RCS Initiatives'!$B:$B,'Gap Analysis update'!AN$2)-SUMIFS('RCS Initiatives'!Q:Q,'RCS Initiatives'!$E:$E,'Gap Analysis update'!$B83,'RCS Initiatives'!$A:$A,'Gap Analysis update'!$A83,'RCS Initiatives'!$B:$B,'Gap Analysis update'!AN$2,'RCS Initiatives'!$C:$C,'Gap Analysis update'!$B$72)</f>
        <v>-6.8495086836548999E-3</v>
      </c>
      <c r="AO83" s="298">
        <f>SUMIFS('RCS Initiatives'!R:R,'RCS Initiatives'!$E:$E,'Gap Analysis update'!$B83,'RCS Initiatives'!$A:$A,'Gap Analysis update'!$A83,'RCS Initiatives'!$B:$B,'Gap Analysis update'!AO$2)-SUMIFS('RCS Initiatives'!R:R,'RCS Initiatives'!$E:$E,'Gap Analysis update'!$B83,'RCS Initiatives'!$A:$A,'Gap Analysis update'!$A83,'RCS Initiatives'!$B:$B,'Gap Analysis update'!AO$2,'RCS Initiatives'!$C:$C,'Gap Analysis update'!$B$72)</f>
        <v>0</v>
      </c>
      <c r="AR83" s="293"/>
      <c r="AS83" s="303"/>
      <c r="AT83" s="289">
        <f t="shared" si="110"/>
        <v>0</v>
      </c>
      <c r="AU83" s="303">
        <f t="shared" si="69"/>
        <v>0</v>
      </c>
      <c r="AV83" s="303">
        <f t="shared" si="69"/>
        <v>-1.9161293970040467E-2</v>
      </c>
      <c r="AW83" s="303">
        <f t="shared" si="69"/>
        <v>-3.0116093736070274E-3</v>
      </c>
      <c r="AX83" s="303">
        <f>AF83-N83</f>
        <v>3.2642284649643478E-2</v>
      </c>
      <c r="AY83" s="303">
        <f>AG83-O83</f>
        <v>0</v>
      </c>
      <c r="AZ83" s="303">
        <f>AH83-P83</f>
        <v>0.18862198316894807</v>
      </c>
      <c r="BA83" s="303">
        <f>AI83-Q83</f>
        <v>0</v>
      </c>
      <c r="BB83" s="303">
        <f>AJ83-R83</f>
        <v>-2.6361778654320878E-2</v>
      </c>
      <c r="BC83" s="303">
        <f t="shared" si="69"/>
        <v>1.1494127905333267E-2</v>
      </c>
      <c r="BD83" s="303">
        <f t="shared" si="69"/>
        <v>0</v>
      </c>
      <c r="BE83" s="303">
        <f t="shared" si="69"/>
        <v>0</v>
      </c>
      <c r="BF83" s="303">
        <f t="shared" si="69"/>
        <v>4.6446192216783666E-3</v>
      </c>
      <c r="BG83" s="303">
        <f t="shared" si="111"/>
        <v>0</v>
      </c>
      <c r="BH83" s="303">
        <f t="shared" si="69"/>
        <v>0</v>
      </c>
      <c r="BI83" s="303">
        <f t="shared" si="69"/>
        <v>0</v>
      </c>
      <c r="BJ83" s="293"/>
      <c r="BK83" s="288"/>
      <c r="BL83" s="288"/>
      <c r="BM83" s="288"/>
      <c r="BN83" s="288"/>
      <c r="BO83" s="288"/>
      <c r="BP83" s="288"/>
      <c r="BQ83" s="288"/>
      <c r="BR83" s="288"/>
      <c r="BS83" s="288"/>
      <c r="BT83" s="288"/>
      <c r="BU83" s="288"/>
      <c r="BV83" s="288"/>
      <c r="BW83" s="288"/>
      <c r="BX83" s="288"/>
      <c r="BY83" s="288"/>
      <c r="BZ83" s="288"/>
      <c r="CA83" s="288"/>
      <c r="CB83" s="288"/>
    </row>
    <row r="84" spans="1:80" s="298" customFormat="1" ht="13">
      <c r="A84" s="296" t="s">
        <v>149</v>
      </c>
      <c r="B84" s="287" t="s">
        <v>140</v>
      </c>
      <c r="C84" s="288">
        <f t="shared" si="112"/>
        <v>-1.6308354008702139E-4</v>
      </c>
      <c r="D84" s="289">
        <f t="shared" si="113"/>
        <v>4.1651513245594407E-3</v>
      </c>
      <c r="E84" s="289">
        <f t="shared" si="114"/>
        <v>4.0020677844724191E-3</v>
      </c>
      <c r="F84" s="286"/>
      <c r="G84" s="286"/>
      <c r="H84" s="297"/>
      <c r="K84" s="288"/>
      <c r="L84" s="298">
        <f>SUMIFS('RCS Initiatives'!G:G,'RCS Initiatives'!$E:$E,'Gap Analysis update'!$B84,'RCS Initiatives'!$A:$A,'Gap Analysis update'!$A84,'RCS Initiatives'!$B:$B,'Gap Analysis update'!L$2)-SUMIFS('RCS Initiatives'!G:G,'RCS Initiatives'!$E:$E,'Gap Analysis update'!$B84,'RCS Initiatives'!$A:$A,'Gap Analysis update'!$A84,'RCS Initiatives'!$B:$B,'Gap Analysis update'!L$2,'RCS Initiatives'!$C:$C,'Gap Analysis update'!$B$72)</f>
        <v>0</v>
      </c>
      <c r="M84" s="298">
        <f>SUMIFS('RCS Initiatives'!H:H,'RCS Initiatives'!$E:$E,'Gap Analysis update'!$B84,'RCS Initiatives'!$A:$A,'Gap Analysis update'!$A84,'RCS Initiatives'!$B:$B,'Gap Analysis update'!M$2)-SUMIFS('RCS Initiatives'!H:H,'RCS Initiatives'!$E:$E,'Gap Analysis update'!$B84,'RCS Initiatives'!$A:$A,'Gap Analysis update'!$A84,'RCS Initiatives'!$B:$B,'Gap Analysis update'!M$2,'RCS Initiatives'!$C:$C,'Gap Analysis update'!$B$72)</f>
        <v>0</v>
      </c>
      <c r="N84" s="298">
        <f>SUMIFS('RCS Initiatives'!I:I,'RCS Initiatives'!$E:$E,'Gap Analysis update'!$B84,'RCS Initiatives'!$A:$A,'Gap Analysis update'!$A84,'RCS Initiatives'!$B:$B,'Gap Analysis update'!N$2)-SUMIFS('RCS Initiatives'!I:I,'RCS Initiatives'!$E:$E,'Gap Analysis update'!$B84,'RCS Initiatives'!$A:$A,'Gap Analysis update'!$A84,'RCS Initiatives'!$B:$B,'Gap Analysis update'!N$2,'RCS Initiatives'!$C:$C,'Gap Analysis update'!$B$72)</f>
        <v>0</v>
      </c>
      <c r="O84" s="298">
        <f>SUMIFS('RCS Initiatives'!J:J,'RCS Initiatives'!$E:$E,'Gap Analysis update'!$B84,'RCS Initiatives'!$A:$A,'Gap Analysis update'!$A84,'RCS Initiatives'!$B:$B,'Gap Analysis update'!O$2)-SUMIFS('RCS Initiatives'!J:J,'RCS Initiatives'!$E:$E,'Gap Analysis update'!$B84,'RCS Initiatives'!$A:$A,'Gap Analysis update'!$A84,'RCS Initiatives'!$B:$B,'Gap Analysis update'!O$2,'RCS Initiatives'!$C:$C,'Gap Analysis update'!$B$72)</f>
        <v>0</v>
      </c>
      <c r="P84" s="298">
        <f>SUMIFS('RCS Initiatives'!K:K,'RCS Initiatives'!$E:$E,'Gap Analysis update'!$B84,'RCS Initiatives'!$A:$A,'Gap Analysis update'!$A84,'RCS Initiatives'!$B:$B,'Gap Analysis update'!P$2)-SUMIFS('RCS Initiatives'!K:K,'RCS Initiatives'!$E:$E,'Gap Analysis update'!$B84,'RCS Initiatives'!$A:$A,'Gap Analysis update'!$A84,'RCS Initiatives'!$B:$B,'Gap Analysis update'!P$2,'RCS Initiatives'!$C:$C,'Gap Analysis update'!$B$72)</f>
        <v>0</v>
      </c>
      <c r="Q84" s="298">
        <f>SUMIFS('RCS Initiatives'!L:L,'RCS Initiatives'!$E:$E,'Gap Analysis update'!$B84,'RCS Initiatives'!$A:$A,'Gap Analysis update'!$A84,'RCS Initiatives'!$B:$B,'Gap Analysis update'!Q$2)-SUMIFS('RCS Initiatives'!L:L,'RCS Initiatives'!$E:$E,'Gap Analysis update'!$B84,'RCS Initiatives'!$A:$A,'Gap Analysis update'!$A84,'RCS Initiatives'!$B:$B,'Gap Analysis update'!Q$2,'RCS Initiatives'!$C:$C,'Gap Analysis update'!$B$72)</f>
        <v>0</v>
      </c>
      <c r="R84" s="298">
        <f>SUMIFS('RCS Initiatives'!M:M,'RCS Initiatives'!$E:$E,'Gap Analysis update'!$B84,'RCS Initiatives'!$A:$A,'Gap Analysis update'!$A84,'RCS Initiatives'!$B:$B,'Gap Analysis update'!R$2)-SUMIFS('RCS Initiatives'!M:M,'RCS Initiatives'!$E:$E,'Gap Analysis update'!$B84,'RCS Initiatives'!$A:$A,'Gap Analysis update'!$A84,'RCS Initiatives'!$B:$B,'Gap Analysis update'!R$2,'RCS Initiatives'!$C:$C,'Gap Analysis update'!$B$72)</f>
        <v>0</v>
      </c>
      <c r="S84" s="298">
        <f>SUMIFS('RCS Initiatives'!N:N,'RCS Initiatives'!$E:$E,'Gap Analysis update'!$B84,'RCS Initiatives'!$A:$A,'Gap Analysis update'!$A84,'RCS Initiatives'!$B:$B,'Gap Analysis update'!S$2)-SUMIFS('RCS Initiatives'!N:N,'RCS Initiatives'!$E:$E,'Gap Analysis update'!$B84,'RCS Initiatives'!$A:$A,'Gap Analysis update'!$A84,'RCS Initiatives'!$B:$B,'Gap Analysis update'!S$2,'RCS Initiatives'!$C:$C,'Gap Analysis update'!$B$72)</f>
        <v>0</v>
      </c>
      <c r="T84" s="298">
        <f>SUMIFS('RCS Initiatives'!O:O,'RCS Initiatives'!$E:$E,'Gap Analysis update'!$B84,'RCS Initiatives'!$A:$A,'Gap Analysis update'!$A84,'RCS Initiatives'!$B:$B,'Gap Analysis update'!T$2)-SUMIFS('RCS Initiatives'!O:O,'RCS Initiatives'!$E:$E,'Gap Analysis update'!$B84,'RCS Initiatives'!$A:$A,'Gap Analysis update'!$A84,'RCS Initiatives'!$B:$B,'Gap Analysis update'!T$2,'RCS Initiatives'!$C:$C,'Gap Analysis update'!$B$72)</f>
        <v>0</v>
      </c>
      <c r="U84" s="298">
        <f>SUMIFS('RCS Initiatives'!P:P,'RCS Initiatives'!$E:$E,'Gap Analysis update'!$B84,'RCS Initiatives'!$A:$A,'Gap Analysis update'!$A84,'RCS Initiatives'!$B:$B,'Gap Analysis update'!U$2)-SUMIFS('RCS Initiatives'!P:P,'RCS Initiatives'!$E:$E,'Gap Analysis update'!$B84,'RCS Initiatives'!$A:$A,'Gap Analysis update'!$A84,'RCS Initiatives'!$B:$B,'Gap Analysis update'!U$2,'RCS Initiatives'!$C:$C,'Gap Analysis update'!$B$72)</f>
        <v>0</v>
      </c>
      <c r="V84" s="298">
        <f>SUMIFS('RCS Initiatives'!Q:Q,'RCS Initiatives'!$E:$E,'Gap Analysis update'!$B84,'RCS Initiatives'!$A:$A,'Gap Analysis update'!$A84,'RCS Initiatives'!$B:$B,'Gap Analysis update'!V$2)-SUMIFS('RCS Initiatives'!Q:Q,'RCS Initiatives'!$E:$E,'Gap Analysis update'!$B84,'RCS Initiatives'!$A:$A,'Gap Analysis update'!$A84,'RCS Initiatives'!$B:$B,'Gap Analysis update'!V$2,'RCS Initiatives'!$C:$C,'Gap Analysis update'!$B$72)</f>
        <v>0</v>
      </c>
      <c r="W84" s="298">
        <f>SUMIFS('RCS Initiatives'!R:R,'RCS Initiatives'!$E:$E,'Gap Analysis update'!$B84,'RCS Initiatives'!$A:$A,'Gap Analysis update'!$A84,'RCS Initiatives'!$B:$B,'Gap Analysis update'!W$2)-SUMIFS('RCS Initiatives'!R:R,'RCS Initiatives'!$E:$E,'Gap Analysis update'!$B84,'RCS Initiatives'!$A:$A,'Gap Analysis update'!$A84,'RCS Initiatives'!$B:$B,'Gap Analysis update'!W$2,'RCS Initiatives'!$C:$C,'Gap Analysis update'!$B$72)</f>
        <v>0</v>
      </c>
      <c r="Z84" s="293"/>
      <c r="AD84" s="298">
        <f>SUMIFS('RCS Initiatives'!G:G,'RCS Initiatives'!$E:$E,'Gap Analysis update'!$B84,'RCS Initiatives'!$A:$A,'Gap Analysis update'!$A84,'RCS Initiatives'!$B:$B,'Gap Analysis update'!AD$2)-SUMIFS('RCS Initiatives'!G:G,'RCS Initiatives'!$E:$E,'Gap Analysis update'!$B84,'RCS Initiatives'!$A:$A,'Gap Analysis update'!$A84,'RCS Initiatives'!$B:$B,'Gap Analysis update'!AD$2,'RCS Initiatives'!$C:$C,'Gap Analysis update'!$B$72)</f>
        <v>0</v>
      </c>
      <c r="AE84" s="298">
        <f>SUMIFS('RCS Initiatives'!H:H,'RCS Initiatives'!$E:$E,'Gap Analysis update'!$B84,'RCS Initiatives'!$A:$A,'Gap Analysis update'!$A84,'RCS Initiatives'!$B:$B,'Gap Analysis update'!AE$2)-SUMIFS('RCS Initiatives'!H:H,'RCS Initiatives'!$E:$E,'Gap Analysis update'!$B84,'RCS Initiatives'!$A:$A,'Gap Analysis update'!$A84,'RCS Initiatives'!$B:$B,'Gap Analysis update'!AE$2,'RCS Initiatives'!$C:$C,'Gap Analysis update'!$B$72)</f>
        <v>0</v>
      </c>
      <c r="AF84" s="298">
        <f>SUMIFS('RCS Initiatives'!I:I,'RCS Initiatives'!$E:$E,'Gap Analysis update'!$B84,'RCS Initiatives'!$A:$A,'Gap Analysis update'!$A84,'RCS Initiatives'!$B:$B,'Gap Analysis update'!AF$2)-SUMIFS('RCS Initiatives'!I:I,'RCS Initiatives'!$E:$E,'Gap Analysis update'!$B84,'RCS Initiatives'!$A:$A,'Gap Analysis update'!$A84,'RCS Initiatives'!$B:$B,'Gap Analysis update'!AF$2,'RCS Initiatives'!$C:$C,'Gap Analysis update'!$B$72)</f>
        <v>0</v>
      </c>
      <c r="AG84" s="298">
        <f>SUMIFS('RCS Initiatives'!J:J,'RCS Initiatives'!$E:$E,'Gap Analysis update'!$B84,'RCS Initiatives'!$A:$A,'Gap Analysis update'!$A84,'RCS Initiatives'!$B:$B,'Gap Analysis update'!AG$2)-SUMIFS('RCS Initiatives'!J:J,'RCS Initiatives'!$E:$E,'Gap Analysis update'!$B84,'RCS Initiatives'!$A:$A,'Gap Analysis update'!$A84,'RCS Initiatives'!$B:$B,'Gap Analysis update'!AG$2,'RCS Initiatives'!$C:$C,'Gap Analysis update'!$B$72)</f>
        <v>-1.6308354008702139E-4</v>
      </c>
      <c r="AH84" s="298">
        <f>SUMIFS('RCS Initiatives'!K:K,'RCS Initiatives'!$E:$E,'Gap Analysis update'!$B84,'RCS Initiatives'!$A:$A,'Gap Analysis update'!$A84,'RCS Initiatives'!$B:$B,'Gap Analysis update'!AH$2)-SUMIFS('RCS Initiatives'!K:K,'RCS Initiatives'!$E:$E,'Gap Analysis update'!$B84,'RCS Initiatives'!$A:$A,'Gap Analysis update'!$A84,'RCS Initiatives'!$B:$B,'Gap Analysis update'!AH$2,'RCS Initiatives'!$C:$C,'Gap Analysis update'!$B$72)</f>
        <v>0</v>
      </c>
      <c r="AI84" s="298">
        <f>SUMIFS('RCS Initiatives'!L:L,'RCS Initiatives'!$E:$E,'Gap Analysis update'!$B84,'RCS Initiatives'!$A:$A,'Gap Analysis update'!$A84,'RCS Initiatives'!$B:$B,'Gap Analysis update'!AI$2)-SUMIFS('RCS Initiatives'!L:L,'RCS Initiatives'!$E:$E,'Gap Analysis update'!$B84,'RCS Initiatives'!$A:$A,'Gap Analysis update'!$A84,'RCS Initiatives'!$B:$B,'Gap Analysis update'!AI$2,'RCS Initiatives'!$C:$C,'Gap Analysis update'!$B$72)</f>
        <v>0</v>
      </c>
      <c r="AJ84" s="298">
        <f>SUMIFS('RCS Initiatives'!M:M,'RCS Initiatives'!$E:$E,'Gap Analysis update'!$B84,'RCS Initiatives'!$A:$A,'Gap Analysis update'!$A84,'RCS Initiatives'!$B:$B,'Gap Analysis update'!AJ$2)-SUMIFS('RCS Initiatives'!M:M,'RCS Initiatives'!$E:$E,'Gap Analysis update'!$B84,'RCS Initiatives'!$A:$A,'Gap Analysis update'!$A84,'RCS Initiatives'!$B:$B,'Gap Analysis update'!AJ$2,'RCS Initiatives'!$C:$C,'Gap Analysis update'!$B$72)</f>
        <v>4.1651513245594407E-3</v>
      </c>
      <c r="AK84" s="298">
        <f>SUMIFS('RCS Initiatives'!N:N,'RCS Initiatives'!$E:$E,'Gap Analysis update'!$B84,'RCS Initiatives'!$A:$A,'Gap Analysis update'!$A84,'RCS Initiatives'!$B:$B,'Gap Analysis update'!AK$2)-SUMIFS('RCS Initiatives'!N:N,'RCS Initiatives'!$E:$E,'Gap Analysis update'!$B84,'RCS Initiatives'!$A:$A,'Gap Analysis update'!$A84,'RCS Initiatives'!$B:$B,'Gap Analysis update'!AK$2,'RCS Initiatives'!$C:$C,'Gap Analysis update'!$B$72)</f>
        <v>0</v>
      </c>
      <c r="AL84" s="298">
        <f>SUMIFS('RCS Initiatives'!O:O,'RCS Initiatives'!$E:$E,'Gap Analysis update'!$B84,'RCS Initiatives'!$A:$A,'Gap Analysis update'!$A84,'RCS Initiatives'!$B:$B,'Gap Analysis update'!AL$2)-SUMIFS('RCS Initiatives'!O:O,'RCS Initiatives'!$E:$E,'Gap Analysis update'!$B84,'RCS Initiatives'!$A:$A,'Gap Analysis update'!$A84,'RCS Initiatives'!$B:$B,'Gap Analysis update'!AL$2,'RCS Initiatives'!$C:$C,'Gap Analysis update'!$B$72)</f>
        <v>0</v>
      </c>
      <c r="AM84" s="298">
        <f>SUMIFS('RCS Initiatives'!P:P,'RCS Initiatives'!$E:$E,'Gap Analysis update'!$B84,'RCS Initiatives'!$A:$A,'Gap Analysis update'!$A84,'RCS Initiatives'!$B:$B,'Gap Analysis update'!AM$2)-SUMIFS('RCS Initiatives'!P:P,'RCS Initiatives'!$E:$E,'Gap Analysis update'!$B84,'RCS Initiatives'!$A:$A,'Gap Analysis update'!$A84,'RCS Initiatives'!$B:$B,'Gap Analysis update'!AM$2,'RCS Initiatives'!$C:$C,'Gap Analysis update'!$B$72)</f>
        <v>0</v>
      </c>
      <c r="AN84" s="298">
        <f>SUMIFS('RCS Initiatives'!Q:Q,'RCS Initiatives'!$E:$E,'Gap Analysis update'!$B84,'RCS Initiatives'!$A:$A,'Gap Analysis update'!$A84,'RCS Initiatives'!$B:$B,'Gap Analysis update'!AN$2)-SUMIFS('RCS Initiatives'!Q:Q,'RCS Initiatives'!$E:$E,'Gap Analysis update'!$B84,'RCS Initiatives'!$A:$A,'Gap Analysis update'!$A84,'RCS Initiatives'!$B:$B,'Gap Analysis update'!AN$2,'RCS Initiatives'!$C:$C,'Gap Analysis update'!$B$72)</f>
        <v>0</v>
      </c>
      <c r="AO84" s="298">
        <f>SUMIFS('RCS Initiatives'!R:R,'RCS Initiatives'!$E:$E,'Gap Analysis update'!$B84,'RCS Initiatives'!$A:$A,'Gap Analysis update'!$A84,'RCS Initiatives'!$B:$B,'Gap Analysis update'!AO$2)-SUMIFS('RCS Initiatives'!R:R,'RCS Initiatives'!$E:$E,'Gap Analysis update'!$B84,'RCS Initiatives'!$A:$A,'Gap Analysis update'!$A84,'RCS Initiatives'!$B:$B,'Gap Analysis update'!AO$2,'RCS Initiatives'!$C:$C,'Gap Analysis update'!$B$72)</f>
        <v>0</v>
      </c>
      <c r="AR84" s="293"/>
      <c r="AS84" s="303"/>
      <c r="AT84" s="289">
        <f t="shared" si="110"/>
        <v>0</v>
      </c>
      <c r="AU84" s="303">
        <f t="shared" si="69"/>
        <v>0</v>
      </c>
      <c r="AV84" s="303">
        <f t="shared" si="69"/>
        <v>0</v>
      </c>
      <c r="AW84" s="303">
        <f t="shared" si="69"/>
        <v>0</v>
      </c>
      <c r="AX84" s="303">
        <f>AF84-N84</f>
        <v>0</v>
      </c>
      <c r="AY84" s="303">
        <f>AG84-O84</f>
        <v>-1.6308354008702139E-4</v>
      </c>
      <c r="AZ84" s="303">
        <f>AH84-P84</f>
        <v>0</v>
      </c>
      <c r="BA84" s="303">
        <f>AI84-Q84</f>
        <v>0</v>
      </c>
      <c r="BB84" s="303">
        <f>AJ84-R84</f>
        <v>4.1651513245594407E-3</v>
      </c>
      <c r="BC84" s="303">
        <f t="shared" si="69"/>
        <v>0</v>
      </c>
      <c r="BD84" s="303">
        <f t="shared" si="69"/>
        <v>0</v>
      </c>
      <c r="BE84" s="303">
        <f t="shared" si="69"/>
        <v>0</v>
      </c>
      <c r="BF84" s="303">
        <f t="shared" si="69"/>
        <v>0</v>
      </c>
      <c r="BG84" s="303">
        <f t="shared" si="111"/>
        <v>0</v>
      </c>
      <c r="BH84" s="303">
        <f t="shared" si="69"/>
        <v>0</v>
      </c>
      <c r="BI84" s="303">
        <f t="shared" si="69"/>
        <v>0</v>
      </c>
      <c r="BJ84" s="293"/>
      <c r="BK84" s="288"/>
      <c r="BL84" s="288"/>
      <c r="BM84" s="288"/>
      <c r="BN84" s="288"/>
      <c r="BO84" s="288"/>
      <c r="BP84" s="288"/>
      <c r="BQ84" s="288"/>
      <c r="BR84" s="288"/>
      <c r="BS84" s="288"/>
      <c r="BT84" s="288"/>
      <c r="BU84" s="288"/>
      <c r="BV84" s="288"/>
      <c r="BW84" s="288"/>
      <c r="BX84" s="288"/>
      <c r="BY84" s="288"/>
      <c r="BZ84" s="288"/>
      <c r="CA84" s="288"/>
      <c r="CB84" s="288"/>
    </row>
    <row r="85" spans="1:80" s="298" customFormat="1" ht="13">
      <c r="A85" s="296" t="s">
        <v>149</v>
      </c>
      <c r="B85" s="287" t="s">
        <v>142</v>
      </c>
      <c r="C85" s="288">
        <f t="shared" si="112"/>
        <v>0</v>
      </c>
      <c r="D85" s="289">
        <f t="shared" si="113"/>
        <v>0</v>
      </c>
      <c r="E85" s="289">
        <f t="shared" si="114"/>
        <v>0</v>
      </c>
      <c r="F85" s="286"/>
      <c r="G85" s="308"/>
      <c r="H85" s="297"/>
      <c r="K85" s="288"/>
      <c r="L85" s="298">
        <f>SUMIFS('RCS Initiatives'!G:G,'RCS Initiatives'!$E:$E,'Gap Analysis update'!$B85,'RCS Initiatives'!$A:$A,'Gap Analysis update'!$A85,'RCS Initiatives'!$B:$B,'Gap Analysis update'!L$2)-SUMIFS('RCS Initiatives'!G:G,'RCS Initiatives'!$E:$E,'Gap Analysis update'!$B85,'RCS Initiatives'!$A:$A,'Gap Analysis update'!$A85,'RCS Initiatives'!$B:$B,'Gap Analysis update'!L$2,'RCS Initiatives'!$C:$C,'Gap Analysis update'!$B$72)</f>
        <v>0</v>
      </c>
      <c r="M85" s="298">
        <f>SUMIFS('RCS Initiatives'!H:H,'RCS Initiatives'!$E:$E,'Gap Analysis update'!$B85,'RCS Initiatives'!$A:$A,'Gap Analysis update'!$A85,'RCS Initiatives'!$B:$B,'Gap Analysis update'!M$2)-SUMIFS('RCS Initiatives'!H:H,'RCS Initiatives'!$E:$E,'Gap Analysis update'!$B85,'RCS Initiatives'!$A:$A,'Gap Analysis update'!$A85,'RCS Initiatives'!$B:$B,'Gap Analysis update'!M$2,'RCS Initiatives'!$C:$C,'Gap Analysis update'!$B$72)</f>
        <v>0</v>
      </c>
      <c r="N85" s="298">
        <f>SUMIFS('RCS Initiatives'!I:I,'RCS Initiatives'!$E:$E,'Gap Analysis update'!$B85,'RCS Initiatives'!$A:$A,'Gap Analysis update'!$A85,'RCS Initiatives'!$B:$B,'Gap Analysis update'!N$2)-SUMIFS('RCS Initiatives'!I:I,'RCS Initiatives'!$E:$E,'Gap Analysis update'!$B85,'RCS Initiatives'!$A:$A,'Gap Analysis update'!$A85,'RCS Initiatives'!$B:$B,'Gap Analysis update'!N$2,'RCS Initiatives'!$C:$C,'Gap Analysis update'!$B$72)</f>
        <v>0</v>
      </c>
      <c r="O85" s="298">
        <f>SUMIFS('RCS Initiatives'!J:J,'RCS Initiatives'!$E:$E,'Gap Analysis update'!$B85,'RCS Initiatives'!$A:$A,'Gap Analysis update'!$A85,'RCS Initiatives'!$B:$B,'Gap Analysis update'!O$2)-SUMIFS('RCS Initiatives'!J:J,'RCS Initiatives'!$E:$E,'Gap Analysis update'!$B85,'RCS Initiatives'!$A:$A,'Gap Analysis update'!$A85,'RCS Initiatives'!$B:$B,'Gap Analysis update'!O$2,'RCS Initiatives'!$C:$C,'Gap Analysis update'!$B$72)</f>
        <v>0</v>
      </c>
      <c r="P85" s="298">
        <f>SUMIFS('RCS Initiatives'!K:K,'RCS Initiatives'!$E:$E,'Gap Analysis update'!$B85,'RCS Initiatives'!$A:$A,'Gap Analysis update'!$A85,'RCS Initiatives'!$B:$B,'Gap Analysis update'!P$2)-SUMIFS('RCS Initiatives'!K:K,'RCS Initiatives'!$E:$E,'Gap Analysis update'!$B85,'RCS Initiatives'!$A:$A,'Gap Analysis update'!$A85,'RCS Initiatives'!$B:$B,'Gap Analysis update'!P$2,'RCS Initiatives'!$C:$C,'Gap Analysis update'!$B$72)</f>
        <v>0</v>
      </c>
      <c r="Q85" s="298">
        <f>SUMIFS('RCS Initiatives'!L:L,'RCS Initiatives'!$E:$E,'Gap Analysis update'!$B85,'RCS Initiatives'!$A:$A,'Gap Analysis update'!$A85,'RCS Initiatives'!$B:$B,'Gap Analysis update'!Q$2)-SUMIFS('RCS Initiatives'!L:L,'RCS Initiatives'!$E:$E,'Gap Analysis update'!$B85,'RCS Initiatives'!$A:$A,'Gap Analysis update'!$A85,'RCS Initiatives'!$B:$B,'Gap Analysis update'!Q$2,'RCS Initiatives'!$C:$C,'Gap Analysis update'!$B$72)</f>
        <v>0</v>
      </c>
      <c r="R85" s="298">
        <f>SUMIFS('RCS Initiatives'!M:M,'RCS Initiatives'!$E:$E,'Gap Analysis update'!$B85,'RCS Initiatives'!$A:$A,'Gap Analysis update'!$A85,'RCS Initiatives'!$B:$B,'Gap Analysis update'!R$2)-SUMIFS('RCS Initiatives'!M:M,'RCS Initiatives'!$E:$E,'Gap Analysis update'!$B85,'RCS Initiatives'!$A:$A,'Gap Analysis update'!$A85,'RCS Initiatives'!$B:$B,'Gap Analysis update'!R$2,'RCS Initiatives'!$C:$C,'Gap Analysis update'!$B$72)</f>
        <v>0</v>
      </c>
      <c r="S85" s="298">
        <f>SUMIFS('RCS Initiatives'!N:N,'RCS Initiatives'!$E:$E,'Gap Analysis update'!$B85,'RCS Initiatives'!$A:$A,'Gap Analysis update'!$A85,'RCS Initiatives'!$B:$B,'Gap Analysis update'!S$2)-SUMIFS('RCS Initiatives'!N:N,'RCS Initiatives'!$E:$E,'Gap Analysis update'!$B85,'RCS Initiatives'!$A:$A,'Gap Analysis update'!$A85,'RCS Initiatives'!$B:$B,'Gap Analysis update'!S$2,'RCS Initiatives'!$C:$C,'Gap Analysis update'!$B$72)</f>
        <v>0</v>
      </c>
      <c r="T85" s="298">
        <f>SUMIFS('RCS Initiatives'!O:O,'RCS Initiatives'!$E:$E,'Gap Analysis update'!$B85,'RCS Initiatives'!$A:$A,'Gap Analysis update'!$A85,'RCS Initiatives'!$B:$B,'Gap Analysis update'!T$2)-SUMIFS('RCS Initiatives'!O:O,'RCS Initiatives'!$E:$E,'Gap Analysis update'!$B85,'RCS Initiatives'!$A:$A,'Gap Analysis update'!$A85,'RCS Initiatives'!$B:$B,'Gap Analysis update'!T$2,'RCS Initiatives'!$C:$C,'Gap Analysis update'!$B$72)</f>
        <v>0</v>
      </c>
      <c r="U85" s="298">
        <f>SUMIFS('RCS Initiatives'!P:P,'RCS Initiatives'!$E:$E,'Gap Analysis update'!$B85,'RCS Initiatives'!$A:$A,'Gap Analysis update'!$A85,'RCS Initiatives'!$B:$B,'Gap Analysis update'!U$2)-SUMIFS('RCS Initiatives'!P:P,'RCS Initiatives'!$E:$E,'Gap Analysis update'!$B85,'RCS Initiatives'!$A:$A,'Gap Analysis update'!$A85,'RCS Initiatives'!$B:$B,'Gap Analysis update'!U$2,'RCS Initiatives'!$C:$C,'Gap Analysis update'!$B$72)</f>
        <v>0</v>
      </c>
      <c r="V85" s="298">
        <f>SUMIFS('RCS Initiatives'!Q:Q,'RCS Initiatives'!$E:$E,'Gap Analysis update'!$B85,'RCS Initiatives'!$A:$A,'Gap Analysis update'!$A85,'RCS Initiatives'!$B:$B,'Gap Analysis update'!V$2)-SUMIFS('RCS Initiatives'!Q:Q,'RCS Initiatives'!$E:$E,'Gap Analysis update'!$B85,'RCS Initiatives'!$A:$A,'Gap Analysis update'!$A85,'RCS Initiatives'!$B:$B,'Gap Analysis update'!V$2,'RCS Initiatives'!$C:$C,'Gap Analysis update'!$B$72)</f>
        <v>0</v>
      </c>
      <c r="W85" s="298">
        <f>SUMIFS('RCS Initiatives'!R:R,'RCS Initiatives'!$E:$E,'Gap Analysis update'!$B85,'RCS Initiatives'!$A:$A,'Gap Analysis update'!$A85,'RCS Initiatives'!$B:$B,'Gap Analysis update'!W$2)-SUMIFS('RCS Initiatives'!R:R,'RCS Initiatives'!$E:$E,'Gap Analysis update'!$B85,'RCS Initiatives'!$A:$A,'Gap Analysis update'!$A85,'RCS Initiatives'!$B:$B,'Gap Analysis update'!W$2,'RCS Initiatives'!$C:$C,'Gap Analysis update'!$B$72)</f>
        <v>0</v>
      </c>
      <c r="Z85" s="293"/>
      <c r="AD85" s="298">
        <f>SUMIFS('RCS Initiatives'!G:G,'RCS Initiatives'!$E:$E,'Gap Analysis update'!$B85,'RCS Initiatives'!$A:$A,'Gap Analysis update'!$A85,'RCS Initiatives'!$B:$B,'Gap Analysis update'!AD$2)-SUMIFS('RCS Initiatives'!G:G,'RCS Initiatives'!$E:$E,'Gap Analysis update'!$B85,'RCS Initiatives'!$A:$A,'Gap Analysis update'!$A85,'RCS Initiatives'!$B:$B,'Gap Analysis update'!AD$2,'RCS Initiatives'!$C:$C,'Gap Analysis update'!$B$72)</f>
        <v>0</v>
      </c>
      <c r="AE85" s="298">
        <f>SUMIFS('RCS Initiatives'!H:H,'RCS Initiatives'!$E:$E,'Gap Analysis update'!$B85,'RCS Initiatives'!$A:$A,'Gap Analysis update'!$A85,'RCS Initiatives'!$B:$B,'Gap Analysis update'!AE$2)-SUMIFS('RCS Initiatives'!H:H,'RCS Initiatives'!$E:$E,'Gap Analysis update'!$B85,'RCS Initiatives'!$A:$A,'Gap Analysis update'!$A85,'RCS Initiatives'!$B:$B,'Gap Analysis update'!AE$2,'RCS Initiatives'!$C:$C,'Gap Analysis update'!$B$72)</f>
        <v>0</v>
      </c>
      <c r="AF85" s="298">
        <f>SUMIFS('RCS Initiatives'!I:I,'RCS Initiatives'!$E:$E,'Gap Analysis update'!$B85,'RCS Initiatives'!$A:$A,'Gap Analysis update'!$A85,'RCS Initiatives'!$B:$B,'Gap Analysis update'!AF$2)-SUMIFS('RCS Initiatives'!I:I,'RCS Initiatives'!$E:$E,'Gap Analysis update'!$B85,'RCS Initiatives'!$A:$A,'Gap Analysis update'!$A85,'RCS Initiatives'!$B:$B,'Gap Analysis update'!AF$2,'RCS Initiatives'!$C:$C,'Gap Analysis update'!$B$72)</f>
        <v>0</v>
      </c>
      <c r="AG85" s="298">
        <f>SUMIFS('RCS Initiatives'!J:J,'RCS Initiatives'!$E:$E,'Gap Analysis update'!$B85,'RCS Initiatives'!$A:$A,'Gap Analysis update'!$A85,'RCS Initiatives'!$B:$B,'Gap Analysis update'!AG$2)-SUMIFS('RCS Initiatives'!J:J,'RCS Initiatives'!$E:$E,'Gap Analysis update'!$B85,'RCS Initiatives'!$A:$A,'Gap Analysis update'!$A85,'RCS Initiatives'!$B:$B,'Gap Analysis update'!AG$2,'RCS Initiatives'!$C:$C,'Gap Analysis update'!$B$72)</f>
        <v>0</v>
      </c>
      <c r="AH85" s="298">
        <f>SUMIFS('RCS Initiatives'!K:K,'RCS Initiatives'!$E:$E,'Gap Analysis update'!$B85,'RCS Initiatives'!$A:$A,'Gap Analysis update'!$A85,'RCS Initiatives'!$B:$B,'Gap Analysis update'!AH$2)-SUMIFS('RCS Initiatives'!K:K,'RCS Initiatives'!$E:$E,'Gap Analysis update'!$B85,'RCS Initiatives'!$A:$A,'Gap Analysis update'!$A85,'RCS Initiatives'!$B:$B,'Gap Analysis update'!AH$2,'RCS Initiatives'!$C:$C,'Gap Analysis update'!$B$72)</f>
        <v>0</v>
      </c>
      <c r="AI85" s="298">
        <f>SUMIFS('RCS Initiatives'!L:L,'RCS Initiatives'!$E:$E,'Gap Analysis update'!$B85,'RCS Initiatives'!$A:$A,'Gap Analysis update'!$A85,'RCS Initiatives'!$B:$B,'Gap Analysis update'!AI$2)-SUMIFS('RCS Initiatives'!L:L,'RCS Initiatives'!$E:$E,'Gap Analysis update'!$B85,'RCS Initiatives'!$A:$A,'Gap Analysis update'!$A85,'RCS Initiatives'!$B:$B,'Gap Analysis update'!AI$2,'RCS Initiatives'!$C:$C,'Gap Analysis update'!$B$72)</f>
        <v>0</v>
      </c>
      <c r="AJ85" s="298">
        <f>SUMIFS('RCS Initiatives'!M:M,'RCS Initiatives'!$E:$E,'Gap Analysis update'!$B85,'RCS Initiatives'!$A:$A,'Gap Analysis update'!$A85,'RCS Initiatives'!$B:$B,'Gap Analysis update'!AJ$2)-SUMIFS('RCS Initiatives'!M:M,'RCS Initiatives'!$E:$E,'Gap Analysis update'!$B85,'RCS Initiatives'!$A:$A,'Gap Analysis update'!$A85,'RCS Initiatives'!$B:$B,'Gap Analysis update'!AJ$2,'RCS Initiatives'!$C:$C,'Gap Analysis update'!$B$72)</f>
        <v>0</v>
      </c>
      <c r="AK85" s="298">
        <f>SUMIFS('RCS Initiatives'!N:N,'RCS Initiatives'!$E:$E,'Gap Analysis update'!$B85,'RCS Initiatives'!$A:$A,'Gap Analysis update'!$A85,'RCS Initiatives'!$B:$B,'Gap Analysis update'!AK$2)-SUMIFS('RCS Initiatives'!N:N,'RCS Initiatives'!$E:$E,'Gap Analysis update'!$B85,'RCS Initiatives'!$A:$A,'Gap Analysis update'!$A85,'RCS Initiatives'!$B:$B,'Gap Analysis update'!AK$2,'RCS Initiatives'!$C:$C,'Gap Analysis update'!$B$72)</f>
        <v>0</v>
      </c>
      <c r="AL85" s="298">
        <f>SUMIFS('RCS Initiatives'!O:O,'RCS Initiatives'!$E:$E,'Gap Analysis update'!$B85,'RCS Initiatives'!$A:$A,'Gap Analysis update'!$A85,'RCS Initiatives'!$B:$B,'Gap Analysis update'!AL$2)-SUMIFS('RCS Initiatives'!O:O,'RCS Initiatives'!$E:$E,'Gap Analysis update'!$B85,'RCS Initiatives'!$A:$A,'Gap Analysis update'!$A85,'RCS Initiatives'!$B:$B,'Gap Analysis update'!AL$2,'RCS Initiatives'!$C:$C,'Gap Analysis update'!$B$72)</f>
        <v>0</v>
      </c>
      <c r="AM85" s="298">
        <f>SUMIFS('RCS Initiatives'!P:P,'RCS Initiatives'!$E:$E,'Gap Analysis update'!$B85,'RCS Initiatives'!$A:$A,'Gap Analysis update'!$A85,'RCS Initiatives'!$B:$B,'Gap Analysis update'!AM$2)-SUMIFS('RCS Initiatives'!P:P,'RCS Initiatives'!$E:$E,'Gap Analysis update'!$B85,'RCS Initiatives'!$A:$A,'Gap Analysis update'!$A85,'RCS Initiatives'!$B:$B,'Gap Analysis update'!AM$2,'RCS Initiatives'!$C:$C,'Gap Analysis update'!$B$72)</f>
        <v>0</v>
      </c>
      <c r="AN85" s="298">
        <f>SUMIFS('RCS Initiatives'!Q:Q,'RCS Initiatives'!$E:$E,'Gap Analysis update'!$B85,'RCS Initiatives'!$A:$A,'Gap Analysis update'!$A85,'RCS Initiatives'!$B:$B,'Gap Analysis update'!AN$2)-SUMIFS('RCS Initiatives'!Q:Q,'RCS Initiatives'!$E:$E,'Gap Analysis update'!$B85,'RCS Initiatives'!$A:$A,'Gap Analysis update'!$A85,'RCS Initiatives'!$B:$B,'Gap Analysis update'!AN$2,'RCS Initiatives'!$C:$C,'Gap Analysis update'!$B$72)</f>
        <v>0</v>
      </c>
      <c r="AO85" s="298">
        <f>SUMIFS('RCS Initiatives'!R:R,'RCS Initiatives'!$E:$E,'Gap Analysis update'!$B85,'RCS Initiatives'!$A:$A,'Gap Analysis update'!$A85,'RCS Initiatives'!$B:$B,'Gap Analysis update'!AO$2)-SUMIFS('RCS Initiatives'!R:R,'RCS Initiatives'!$E:$E,'Gap Analysis update'!$B85,'RCS Initiatives'!$A:$A,'Gap Analysis update'!$A85,'RCS Initiatives'!$B:$B,'Gap Analysis update'!AO$2,'RCS Initiatives'!$C:$C,'Gap Analysis update'!$B$72)</f>
        <v>0</v>
      </c>
      <c r="AR85" s="293"/>
      <c r="AS85" s="303"/>
      <c r="AT85" s="289">
        <f t="shared" si="110"/>
        <v>0</v>
      </c>
      <c r="AU85" s="303">
        <f t="shared" si="69"/>
        <v>0</v>
      </c>
      <c r="AV85" s="303">
        <f t="shared" si="69"/>
        <v>0</v>
      </c>
      <c r="AW85" s="303">
        <f t="shared" si="69"/>
        <v>0</v>
      </c>
      <c r="AX85" s="303">
        <f t="shared" ref="AX85:AX89" si="115">AF85-N85</f>
        <v>0</v>
      </c>
      <c r="AY85" s="303">
        <f t="shared" ref="AY85:AY90" si="116">AG85-O85</f>
        <v>0</v>
      </c>
      <c r="AZ85" s="303">
        <f t="shared" ref="AZ85:AZ87" si="117">AH85-P85</f>
        <v>0</v>
      </c>
      <c r="BA85" s="303">
        <f t="shared" ref="BA85:BA90" si="118">AI85-Q85</f>
        <v>0</v>
      </c>
      <c r="BB85" s="303">
        <f t="shared" ref="BB85:BB87" si="119">AJ85-R85</f>
        <v>0</v>
      </c>
      <c r="BC85" s="303">
        <f t="shared" si="69"/>
        <v>0</v>
      </c>
      <c r="BD85" s="303">
        <f t="shared" si="69"/>
        <v>0</v>
      </c>
      <c r="BE85" s="303">
        <f t="shared" si="69"/>
        <v>0</v>
      </c>
      <c r="BF85" s="303">
        <f t="shared" si="69"/>
        <v>0</v>
      </c>
      <c r="BG85" s="303">
        <f t="shared" si="111"/>
        <v>0</v>
      </c>
      <c r="BH85" s="303">
        <f t="shared" si="69"/>
        <v>0</v>
      </c>
      <c r="BI85" s="303">
        <f t="shared" si="69"/>
        <v>0</v>
      </c>
      <c r="BJ85" s="293"/>
      <c r="BK85" s="288"/>
      <c r="BL85" s="288"/>
      <c r="BM85" s="288"/>
      <c r="BN85" s="288"/>
      <c r="BO85" s="288"/>
      <c r="BP85" s="288"/>
      <c r="BQ85" s="288"/>
      <c r="BR85" s="288"/>
      <c r="BS85" s="288"/>
      <c r="BT85" s="288"/>
      <c r="BU85" s="288"/>
      <c r="BV85" s="288"/>
      <c r="BW85" s="288"/>
      <c r="BX85" s="288"/>
      <c r="BY85" s="288"/>
      <c r="BZ85" s="288"/>
      <c r="CA85" s="288"/>
      <c r="CB85" s="288"/>
    </row>
    <row r="86" spans="1:80" s="298" customFormat="1" ht="13">
      <c r="A86" s="296" t="s">
        <v>149</v>
      </c>
      <c r="B86" s="287" t="s">
        <v>145</v>
      </c>
      <c r="C86" s="288">
        <f t="shared" si="112"/>
        <v>0</v>
      </c>
      <c r="D86" s="289">
        <f t="shared" si="113"/>
        <v>0</v>
      </c>
      <c r="E86" s="289">
        <f t="shared" si="114"/>
        <v>0</v>
      </c>
      <c r="F86" s="286"/>
      <c r="G86" s="286"/>
      <c r="H86" s="297"/>
      <c r="K86" s="288"/>
      <c r="L86" s="298">
        <f>SUMIFS('RCS Initiatives'!G:G,'RCS Initiatives'!$E:$E,'Gap Analysis update'!$B86,'RCS Initiatives'!$A:$A,'Gap Analysis update'!$A86,'RCS Initiatives'!$B:$B,'Gap Analysis update'!L$2)-SUMIFS('RCS Initiatives'!G:G,'RCS Initiatives'!$E:$E,'Gap Analysis update'!$B86,'RCS Initiatives'!$A:$A,'Gap Analysis update'!$A86,'RCS Initiatives'!$B:$B,'Gap Analysis update'!L$2,'RCS Initiatives'!$C:$C,'Gap Analysis update'!$B$72)</f>
        <v>0</v>
      </c>
      <c r="M86" s="298">
        <f>SUMIFS('RCS Initiatives'!H:H,'RCS Initiatives'!$E:$E,'Gap Analysis update'!$B86,'RCS Initiatives'!$A:$A,'Gap Analysis update'!$A86,'RCS Initiatives'!$B:$B,'Gap Analysis update'!M$2)-SUMIFS('RCS Initiatives'!H:H,'RCS Initiatives'!$E:$E,'Gap Analysis update'!$B86,'RCS Initiatives'!$A:$A,'Gap Analysis update'!$A86,'RCS Initiatives'!$B:$B,'Gap Analysis update'!M$2,'RCS Initiatives'!$C:$C,'Gap Analysis update'!$B$72)</f>
        <v>0</v>
      </c>
      <c r="N86" s="298">
        <f>SUMIFS('RCS Initiatives'!I:I,'RCS Initiatives'!$E:$E,'Gap Analysis update'!$B86,'RCS Initiatives'!$A:$A,'Gap Analysis update'!$A86,'RCS Initiatives'!$B:$B,'Gap Analysis update'!N$2)-SUMIFS('RCS Initiatives'!I:I,'RCS Initiatives'!$E:$E,'Gap Analysis update'!$B86,'RCS Initiatives'!$A:$A,'Gap Analysis update'!$A86,'RCS Initiatives'!$B:$B,'Gap Analysis update'!N$2,'RCS Initiatives'!$C:$C,'Gap Analysis update'!$B$72)</f>
        <v>0</v>
      </c>
      <c r="O86" s="298">
        <f>SUMIFS('RCS Initiatives'!J:J,'RCS Initiatives'!$E:$E,'Gap Analysis update'!$B86,'RCS Initiatives'!$A:$A,'Gap Analysis update'!$A86,'RCS Initiatives'!$B:$B,'Gap Analysis update'!O$2)-SUMIFS('RCS Initiatives'!J:J,'RCS Initiatives'!$E:$E,'Gap Analysis update'!$B86,'RCS Initiatives'!$A:$A,'Gap Analysis update'!$A86,'RCS Initiatives'!$B:$B,'Gap Analysis update'!O$2,'RCS Initiatives'!$C:$C,'Gap Analysis update'!$B$72)</f>
        <v>0</v>
      </c>
      <c r="P86" s="298">
        <f>SUMIFS('RCS Initiatives'!K:K,'RCS Initiatives'!$E:$E,'Gap Analysis update'!$B86,'RCS Initiatives'!$A:$A,'Gap Analysis update'!$A86,'RCS Initiatives'!$B:$B,'Gap Analysis update'!P$2)-SUMIFS('RCS Initiatives'!K:K,'RCS Initiatives'!$E:$E,'Gap Analysis update'!$B86,'RCS Initiatives'!$A:$A,'Gap Analysis update'!$A86,'RCS Initiatives'!$B:$B,'Gap Analysis update'!P$2,'RCS Initiatives'!$C:$C,'Gap Analysis update'!$B$72)</f>
        <v>0</v>
      </c>
      <c r="Q86" s="298">
        <f>SUMIFS('RCS Initiatives'!L:L,'RCS Initiatives'!$E:$E,'Gap Analysis update'!$B86,'RCS Initiatives'!$A:$A,'Gap Analysis update'!$A86,'RCS Initiatives'!$B:$B,'Gap Analysis update'!Q$2)-SUMIFS('RCS Initiatives'!L:L,'RCS Initiatives'!$E:$E,'Gap Analysis update'!$B86,'RCS Initiatives'!$A:$A,'Gap Analysis update'!$A86,'RCS Initiatives'!$B:$B,'Gap Analysis update'!Q$2,'RCS Initiatives'!$C:$C,'Gap Analysis update'!$B$72)</f>
        <v>0</v>
      </c>
      <c r="R86" s="298">
        <f>SUMIFS('RCS Initiatives'!M:M,'RCS Initiatives'!$E:$E,'Gap Analysis update'!$B86,'RCS Initiatives'!$A:$A,'Gap Analysis update'!$A86,'RCS Initiatives'!$B:$B,'Gap Analysis update'!R$2)-SUMIFS('RCS Initiatives'!M:M,'RCS Initiatives'!$E:$E,'Gap Analysis update'!$B86,'RCS Initiatives'!$A:$A,'Gap Analysis update'!$A86,'RCS Initiatives'!$B:$B,'Gap Analysis update'!R$2,'RCS Initiatives'!$C:$C,'Gap Analysis update'!$B$72)</f>
        <v>0</v>
      </c>
      <c r="S86" s="298">
        <f>SUMIFS('RCS Initiatives'!N:N,'RCS Initiatives'!$E:$E,'Gap Analysis update'!$B86,'RCS Initiatives'!$A:$A,'Gap Analysis update'!$A86,'RCS Initiatives'!$B:$B,'Gap Analysis update'!S$2)-SUMIFS('RCS Initiatives'!N:N,'RCS Initiatives'!$E:$E,'Gap Analysis update'!$B86,'RCS Initiatives'!$A:$A,'Gap Analysis update'!$A86,'RCS Initiatives'!$B:$B,'Gap Analysis update'!S$2,'RCS Initiatives'!$C:$C,'Gap Analysis update'!$B$72)</f>
        <v>0</v>
      </c>
      <c r="T86" s="298">
        <f>SUMIFS('RCS Initiatives'!O:O,'RCS Initiatives'!$E:$E,'Gap Analysis update'!$B86,'RCS Initiatives'!$A:$A,'Gap Analysis update'!$A86,'RCS Initiatives'!$B:$B,'Gap Analysis update'!T$2)-SUMIFS('RCS Initiatives'!O:O,'RCS Initiatives'!$E:$E,'Gap Analysis update'!$B86,'RCS Initiatives'!$A:$A,'Gap Analysis update'!$A86,'RCS Initiatives'!$B:$B,'Gap Analysis update'!T$2,'RCS Initiatives'!$C:$C,'Gap Analysis update'!$B$72)</f>
        <v>0</v>
      </c>
      <c r="U86" s="298">
        <f>SUMIFS('RCS Initiatives'!P:P,'RCS Initiatives'!$E:$E,'Gap Analysis update'!$B86,'RCS Initiatives'!$A:$A,'Gap Analysis update'!$A86,'RCS Initiatives'!$B:$B,'Gap Analysis update'!U$2)-SUMIFS('RCS Initiatives'!P:P,'RCS Initiatives'!$E:$E,'Gap Analysis update'!$B86,'RCS Initiatives'!$A:$A,'Gap Analysis update'!$A86,'RCS Initiatives'!$B:$B,'Gap Analysis update'!U$2,'RCS Initiatives'!$C:$C,'Gap Analysis update'!$B$72)</f>
        <v>0</v>
      </c>
      <c r="V86" s="298">
        <f>SUMIFS('RCS Initiatives'!Q:Q,'RCS Initiatives'!$E:$E,'Gap Analysis update'!$B86,'RCS Initiatives'!$A:$A,'Gap Analysis update'!$A86,'RCS Initiatives'!$B:$B,'Gap Analysis update'!V$2)-SUMIFS('RCS Initiatives'!Q:Q,'RCS Initiatives'!$E:$E,'Gap Analysis update'!$B86,'RCS Initiatives'!$A:$A,'Gap Analysis update'!$A86,'RCS Initiatives'!$B:$B,'Gap Analysis update'!V$2,'RCS Initiatives'!$C:$C,'Gap Analysis update'!$B$72)</f>
        <v>0</v>
      </c>
      <c r="W86" s="298">
        <f>SUMIFS('RCS Initiatives'!R:R,'RCS Initiatives'!$E:$E,'Gap Analysis update'!$B86,'RCS Initiatives'!$A:$A,'Gap Analysis update'!$A86,'RCS Initiatives'!$B:$B,'Gap Analysis update'!W$2)-SUMIFS('RCS Initiatives'!R:R,'RCS Initiatives'!$E:$E,'Gap Analysis update'!$B86,'RCS Initiatives'!$A:$A,'Gap Analysis update'!$A86,'RCS Initiatives'!$B:$B,'Gap Analysis update'!W$2,'RCS Initiatives'!$C:$C,'Gap Analysis update'!$B$72)</f>
        <v>0</v>
      </c>
      <c r="Z86" s="293"/>
      <c r="AD86" s="298">
        <f>SUMIFS('RCS Initiatives'!G:G,'RCS Initiatives'!$E:$E,'Gap Analysis update'!$B86,'RCS Initiatives'!$A:$A,'Gap Analysis update'!$A86,'RCS Initiatives'!$B:$B,'Gap Analysis update'!AD$2)-SUMIFS('RCS Initiatives'!G:G,'RCS Initiatives'!$E:$E,'Gap Analysis update'!$B86,'RCS Initiatives'!$A:$A,'Gap Analysis update'!$A86,'RCS Initiatives'!$B:$B,'Gap Analysis update'!AD$2,'RCS Initiatives'!$C:$C,'Gap Analysis update'!$B$72)</f>
        <v>0</v>
      </c>
      <c r="AE86" s="298">
        <f>SUMIFS('RCS Initiatives'!H:H,'RCS Initiatives'!$E:$E,'Gap Analysis update'!$B86,'RCS Initiatives'!$A:$A,'Gap Analysis update'!$A86,'RCS Initiatives'!$B:$B,'Gap Analysis update'!AE$2)-SUMIFS('RCS Initiatives'!H:H,'RCS Initiatives'!$E:$E,'Gap Analysis update'!$B86,'RCS Initiatives'!$A:$A,'Gap Analysis update'!$A86,'RCS Initiatives'!$B:$B,'Gap Analysis update'!AE$2,'RCS Initiatives'!$C:$C,'Gap Analysis update'!$B$72)</f>
        <v>0</v>
      </c>
      <c r="AF86" s="298">
        <f>SUMIFS('RCS Initiatives'!I:I,'RCS Initiatives'!$E:$E,'Gap Analysis update'!$B86,'RCS Initiatives'!$A:$A,'Gap Analysis update'!$A86,'RCS Initiatives'!$B:$B,'Gap Analysis update'!AF$2)-SUMIFS('RCS Initiatives'!I:I,'RCS Initiatives'!$E:$E,'Gap Analysis update'!$B86,'RCS Initiatives'!$A:$A,'Gap Analysis update'!$A86,'RCS Initiatives'!$B:$B,'Gap Analysis update'!AF$2,'RCS Initiatives'!$C:$C,'Gap Analysis update'!$B$72)</f>
        <v>0</v>
      </c>
      <c r="AG86" s="298">
        <f>SUMIFS('RCS Initiatives'!J:J,'RCS Initiatives'!$E:$E,'Gap Analysis update'!$B86,'RCS Initiatives'!$A:$A,'Gap Analysis update'!$A86,'RCS Initiatives'!$B:$B,'Gap Analysis update'!AG$2)-SUMIFS('RCS Initiatives'!J:J,'RCS Initiatives'!$E:$E,'Gap Analysis update'!$B86,'RCS Initiatives'!$A:$A,'Gap Analysis update'!$A86,'RCS Initiatives'!$B:$B,'Gap Analysis update'!AG$2,'RCS Initiatives'!$C:$C,'Gap Analysis update'!$B$72)</f>
        <v>0</v>
      </c>
      <c r="AH86" s="298">
        <f>SUMIFS('RCS Initiatives'!K:K,'RCS Initiatives'!$E:$E,'Gap Analysis update'!$B86,'RCS Initiatives'!$A:$A,'Gap Analysis update'!$A86,'RCS Initiatives'!$B:$B,'Gap Analysis update'!AH$2)-SUMIFS('RCS Initiatives'!K:K,'RCS Initiatives'!$E:$E,'Gap Analysis update'!$B86,'RCS Initiatives'!$A:$A,'Gap Analysis update'!$A86,'RCS Initiatives'!$B:$B,'Gap Analysis update'!AH$2,'RCS Initiatives'!$C:$C,'Gap Analysis update'!$B$72)</f>
        <v>0</v>
      </c>
      <c r="AI86" s="298">
        <f>SUMIFS('RCS Initiatives'!L:L,'RCS Initiatives'!$E:$E,'Gap Analysis update'!$B86,'RCS Initiatives'!$A:$A,'Gap Analysis update'!$A86,'RCS Initiatives'!$B:$B,'Gap Analysis update'!AI$2)-SUMIFS('RCS Initiatives'!L:L,'RCS Initiatives'!$E:$E,'Gap Analysis update'!$B86,'RCS Initiatives'!$A:$A,'Gap Analysis update'!$A86,'RCS Initiatives'!$B:$B,'Gap Analysis update'!AI$2,'RCS Initiatives'!$C:$C,'Gap Analysis update'!$B$72)</f>
        <v>0</v>
      </c>
      <c r="AJ86" s="298">
        <f>SUMIFS('RCS Initiatives'!M:M,'RCS Initiatives'!$E:$E,'Gap Analysis update'!$B86,'RCS Initiatives'!$A:$A,'Gap Analysis update'!$A86,'RCS Initiatives'!$B:$B,'Gap Analysis update'!AJ$2)-SUMIFS('RCS Initiatives'!M:M,'RCS Initiatives'!$E:$E,'Gap Analysis update'!$B86,'RCS Initiatives'!$A:$A,'Gap Analysis update'!$A86,'RCS Initiatives'!$B:$B,'Gap Analysis update'!AJ$2,'RCS Initiatives'!$C:$C,'Gap Analysis update'!$B$72)</f>
        <v>0</v>
      </c>
      <c r="AK86" s="298">
        <f>SUMIFS('RCS Initiatives'!N:N,'RCS Initiatives'!$E:$E,'Gap Analysis update'!$B86,'RCS Initiatives'!$A:$A,'Gap Analysis update'!$A86,'RCS Initiatives'!$B:$B,'Gap Analysis update'!AK$2)-SUMIFS('RCS Initiatives'!N:N,'RCS Initiatives'!$E:$E,'Gap Analysis update'!$B86,'RCS Initiatives'!$A:$A,'Gap Analysis update'!$A86,'RCS Initiatives'!$B:$B,'Gap Analysis update'!AK$2,'RCS Initiatives'!$C:$C,'Gap Analysis update'!$B$72)</f>
        <v>0</v>
      </c>
      <c r="AL86" s="298">
        <f>SUMIFS('RCS Initiatives'!O:O,'RCS Initiatives'!$E:$E,'Gap Analysis update'!$B86,'RCS Initiatives'!$A:$A,'Gap Analysis update'!$A86,'RCS Initiatives'!$B:$B,'Gap Analysis update'!AL$2)-SUMIFS('RCS Initiatives'!O:O,'RCS Initiatives'!$E:$E,'Gap Analysis update'!$B86,'RCS Initiatives'!$A:$A,'Gap Analysis update'!$A86,'RCS Initiatives'!$B:$B,'Gap Analysis update'!AL$2,'RCS Initiatives'!$C:$C,'Gap Analysis update'!$B$72)</f>
        <v>0</v>
      </c>
      <c r="AM86" s="298">
        <f>SUMIFS('RCS Initiatives'!P:P,'RCS Initiatives'!$E:$E,'Gap Analysis update'!$B86,'RCS Initiatives'!$A:$A,'Gap Analysis update'!$A86,'RCS Initiatives'!$B:$B,'Gap Analysis update'!AM$2)-SUMIFS('RCS Initiatives'!P:P,'RCS Initiatives'!$E:$E,'Gap Analysis update'!$B86,'RCS Initiatives'!$A:$A,'Gap Analysis update'!$A86,'RCS Initiatives'!$B:$B,'Gap Analysis update'!AM$2,'RCS Initiatives'!$C:$C,'Gap Analysis update'!$B$72)</f>
        <v>0</v>
      </c>
      <c r="AN86" s="298">
        <f>SUMIFS('RCS Initiatives'!Q:Q,'RCS Initiatives'!$E:$E,'Gap Analysis update'!$B86,'RCS Initiatives'!$A:$A,'Gap Analysis update'!$A86,'RCS Initiatives'!$B:$B,'Gap Analysis update'!AN$2)-SUMIFS('RCS Initiatives'!Q:Q,'RCS Initiatives'!$E:$E,'Gap Analysis update'!$B86,'RCS Initiatives'!$A:$A,'Gap Analysis update'!$A86,'RCS Initiatives'!$B:$B,'Gap Analysis update'!AN$2,'RCS Initiatives'!$C:$C,'Gap Analysis update'!$B$72)</f>
        <v>0</v>
      </c>
      <c r="AO86" s="298">
        <f>SUMIFS('RCS Initiatives'!R:R,'RCS Initiatives'!$E:$E,'Gap Analysis update'!$B86,'RCS Initiatives'!$A:$A,'Gap Analysis update'!$A86,'RCS Initiatives'!$B:$B,'Gap Analysis update'!AO$2)-SUMIFS('RCS Initiatives'!R:R,'RCS Initiatives'!$E:$E,'Gap Analysis update'!$B86,'RCS Initiatives'!$A:$A,'Gap Analysis update'!$A86,'RCS Initiatives'!$B:$B,'Gap Analysis update'!AO$2,'RCS Initiatives'!$C:$C,'Gap Analysis update'!$B$72)</f>
        <v>0</v>
      </c>
      <c r="AR86" s="293"/>
      <c r="AS86" s="303"/>
      <c r="AT86" s="289">
        <f t="shared" si="110"/>
        <v>0</v>
      </c>
      <c r="AU86" s="303">
        <f t="shared" ref="AU86:AU94" si="120">AC86-K86</f>
        <v>0</v>
      </c>
      <c r="AV86" s="303">
        <f t="shared" ref="AV86:AV94" si="121">AD86-L86</f>
        <v>0</v>
      </c>
      <c r="AW86" s="303">
        <f t="shared" ref="AW86:AW94" si="122">AE86-M86</f>
        <v>0</v>
      </c>
      <c r="AX86" s="303">
        <f t="shared" si="115"/>
        <v>0</v>
      </c>
      <c r="AY86" s="303">
        <f t="shared" si="116"/>
        <v>0</v>
      </c>
      <c r="AZ86" s="303">
        <f t="shared" si="117"/>
        <v>0</v>
      </c>
      <c r="BA86" s="303">
        <f t="shared" si="118"/>
        <v>0</v>
      </c>
      <c r="BB86" s="303">
        <f t="shared" si="119"/>
        <v>0</v>
      </c>
      <c r="BC86" s="303">
        <f t="shared" ref="BC86:BC94" si="123">AK86-S86</f>
        <v>0</v>
      </c>
      <c r="BD86" s="303">
        <f t="shared" ref="BD86:BD94" si="124">AL86-T86</f>
        <v>0</v>
      </c>
      <c r="BE86" s="303">
        <f t="shared" ref="BE86:BE94" si="125">AM86-U86</f>
        <v>0</v>
      </c>
      <c r="BF86" s="303">
        <f t="shared" ref="BF86:BF94" si="126">AN86-V86</f>
        <v>0</v>
      </c>
      <c r="BG86" s="303">
        <f t="shared" si="111"/>
        <v>0</v>
      </c>
      <c r="BH86" s="303">
        <f t="shared" ref="BH86:BH94" si="127">AP86-X86</f>
        <v>0</v>
      </c>
      <c r="BI86" s="303">
        <f t="shared" ref="BI86:BI94" si="128">AQ86-Y86</f>
        <v>0</v>
      </c>
      <c r="BJ86" s="293"/>
      <c r="BK86" s="288"/>
      <c r="BL86" s="288"/>
      <c r="BM86" s="288"/>
      <c r="BN86" s="288"/>
      <c r="BO86" s="288"/>
      <c r="BP86" s="288"/>
      <c r="BQ86" s="288"/>
      <c r="BR86" s="288"/>
      <c r="BS86" s="288"/>
      <c r="BT86" s="288"/>
      <c r="BU86" s="288"/>
      <c r="BV86" s="288"/>
      <c r="BW86" s="288"/>
      <c r="BX86" s="288"/>
      <c r="BY86" s="288"/>
      <c r="BZ86" s="288"/>
      <c r="CA86" s="288"/>
      <c r="CB86" s="288"/>
    </row>
    <row r="87" spans="1:80" s="298" customFormat="1" ht="28.5" customHeight="1">
      <c r="A87" s="296" t="s">
        <v>149</v>
      </c>
      <c r="B87" s="287" t="s">
        <v>146</v>
      </c>
      <c r="C87" s="288">
        <f t="shared" si="112"/>
        <v>0</v>
      </c>
      <c r="D87" s="289">
        <f t="shared" si="113"/>
        <v>0</v>
      </c>
      <c r="E87" s="289">
        <f t="shared" si="114"/>
        <v>0</v>
      </c>
      <c r="F87" s="286"/>
      <c r="G87" s="286" t="s">
        <v>152</v>
      </c>
      <c r="H87" s="297"/>
      <c r="K87" s="288"/>
      <c r="L87" s="298">
        <f>SUMIFS('RCS Initiatives'!G:G,'RCS Initiatives'!$E:$E,'Gap Analysis update'!$B87,'RCS Initiatives'!$A:$A,'Gap Analysis update'!$A87,'RCS Initiatives'!$B:$B,'Gap Analysis update'!L$2)-SUMIFS('RCS Initiatives'!G:G,'RCS Initiatives'!$E:$E,'Gap Analysis update'!$B87,'RCS Initiatives'!$A:$A,'Gap Analysis update'!$A87,'RCS Initiatives'!$B:$B,'Gap Analysis update'!L$2,'RCS Initiatives'!$C:$C,'Gap Analysis update'!$B$72)</f>
        <v>0</v>
      </c>
      <c r="M87" s="298">
        <f>SUMIFS('RCS Initiatives'!H:H,'RCS Initiatives'!$E:$E,'Gap Analysis update'!$B87,'RCS Initiatives'!$A:$A,'Gap Analysis update'!$A87,'RCS Initiatives'!$B:$B,'Gap Analysis update'!M$2)-SUMIFS('RCS Initiatives'!H:H,'RCS Initiatives'!$E:$E,'Gap Analysis update'!$B87,'RCS Initiatives'!$A:$A,'Gap Analysis update'!$A87,'RCS Initiatives'!$B:$B,'Gap Analysis update'!M$2,'RCS Initiatives'!$C:$C,'Gap Analysis update'!$B$72)</f>
        <v>0</v>
      </c>
      <c r="N87" s="298">
        <f>SUMIFS('RCS Initiatives'!I:I,'RCS Initiatives'!$E:$E,'Gap Analysis update'!$B87,'RCS Initiatives'!$A:$A,'Gap Analysis update'!$A87,'RCS Initiatives'!$B:$B,'Gap Analysis update'!N$2)-SUMIFS('RCS Initiatives'!I:I,'RCS Initiatives'!$E:$E,'Gap Analysis update'!$B87,'RCS Initiatives'!$A:$A,'Gap Analysis update'!$A87,'RCS Initiatives'!$B:$B,'Gap Analysis update'!N$2,'RCS Initiatives'!$C:$C,'Gap Analysis update'!$B$72)</f>
        <v>0</v>
      </c>
      <c r="O87" s="298">
        <f>SUMIFS('RCS Initiatives'!J:J,'RCS Initiatives'!$E:$E,'Gap Analysis update'!$B87,'RCS Initiatives'!$A:$A,'Gap Analysis update'!$A87,'RCS Initiatives'!$B:$B,'Gap Analysis update'!O$2)-SUMIFS('RCS Initiatives'!J:J,'RCS Initiatives'!$E:$E,'Gap Analysis update'!$B87,'RCS Initiatives'!$A:$A,'Gap Analysis update'!$A87,'RCS Initiatives'!$B:$B,'Gap Analysis update'!O$2,'RCS Initiatives'!$C:$C,'Gap Analysis update'!$B$72)</f>
        <v>0</v>
      </c>
      <c r="P87" s="298">
        <f>SUMIFS('RCS Initiatives'!K:K,'RCS Initiatives'!$E:$E,'Gap Analysis update'!$B87,'RCS Initiatives'!$A:$A,'Gap Analysis update'!$A87,'RCS Initiatives'!$B:$B,'Gap Analysis update'!P$2)-SUMIFS('RCS Initiatives'!K:K,'RCS Initiatives'!$E:$E,'Gap Analysis update'!$B87,'RCS Initiatives'!$A:$A,'Gap Analysis update'!$A87,'RCS Initiatives'!$B:$B,'Gap Analysis update'!P$2,'RCS Initiatives'!$C:$C,'Gap Analysis update'!$B$72)</f>
        <v>0</v>
      </c>
      <c r="Q87" s="298">
        <f>SUMIFS('RCS Initiatives'!L:L,'RCS Initiatives'!$E:$E,'Gap Analysis update'!$B87,'RCS Initiatives'!$A:$A,'Gap Analysis update'!$A87,'RCS Initiatives'!$B:$B,'Gap Analysis update'!Q$2)-SUMIFS('RCS Initiatives'!L:L,'RCS Initiatives'!$E:$E,'Gap Analysis update'!$B87,'RCS Initiatives'!$A:$A,'Gap Analysis update'!$A87,'RCS Initiatives'!$B:$B,'Gap Analysis update'!Q$2,'RCS Initiatives'!$C:$C,'Gap Analysis update'!$B$72)</f>
        <v>0</v>
      </c>
      <c r="R87" s="298">
        <f>SUMIFS('RCS Initiatives'!M:M,'RCS Initiatives'!$E:$E,'Gap Analysis update'!$B87,'RCS Initiatives'!$A:$A,'Gap Analysis update'!$A87,'RCS Initiatives'!$B:$B,'Gap Analysis update'!R$2)-SUMIFS('RCS Initiatives'!M:M,'RCS Initiatives'!$E:$E,'Gap Analysis update'!$B87,'RCS Initiatives'!$A:$A,'Gap Analysis update'!$A87,'RCS Initiatives'!$B:$B,'Gap Analysis update'!R$2,'RCS Initiatives'!$C:$C,'Gap Analysis update'!$B$72)</f>
        <v>0</v>
      </c>
      <c r="S87" s="298">
        <f>SUMIFS('RCS Initiatives'!N:N,'RCS Initiatives'!$E:$E,'Gap Analysis update'!$B87,'RCS Initiatives'!$A:$A,'Gap Analysis update'!$A87,'RCS Initiatives'!$B:$B,'Gap Analysis update'!S$2)-SUMIFS('RCS Initiatives'!N:N,'RCS Initiatives'!$E:$E,'Gap Analysis update'!$B87,'RCS Initiatives'!$A:$A,'Gap Analysis update'!$A87,'RCS Initiatives'!$B:$B,'Gap Analysis update'!S$2,'RCS Initiatives'!$C:$C,'Gap Analysis update'!$B$72)</f>
        <v>0</v>
      </c>
      <c r="T87" s="298">
        <f>SUMIFS('RCS Initiatives'!O:O,'RCS Initiatives'!$E:$E,'Gap Analysis update'!$B87,'RCS Initiatives'!$A:$A,'Gap Analysis update'!$A87,'RCS Initiatives'!$B:$B,'Gap Analysis update'!T$2)-SUMIFS('RCS Initiatives'!O:O,'RCS Initiatives'!$E:$E,'Gap Analysis update'!$B87,'RCS Initiatives'!$A:$A,'Gap Analysis update'!$A87,'RCS Initiatives'!$B:$B,'Gap Analysis update'!T$2,'RCS Initiatives'!$C:$C,'Gap Analysis update'!$B$72)</f>
        <v>0</v>
      </c>
      <c r="U87" s="298">
        <f>SUMIFS('RCS Initiatives'!P:P,'RCS Initiatives'!$E:$E,'Gap Analysis update'!$B87,'RCS Initiatives'!$A:$A,'Gap Analysis update'!$A87,'RCS Initiatives'!$B:$B,'Gap Analysis update'!U$2)-SUMIFS('RCS Initiatives'!P:P,'RCS Initiatives'!$E:$E,'Gap Analysis update'!$B87,'RCS Initiatives'!$A:$A,'Gap Analysis update'!$A87,'RCS Initiatives'!$B:$B,'Gap Analysis update'!U$2,'RCS Initiatives'!$C:$C,'Gap Analysis update'!$B$72)</f>
        <v>0</v>
      </c>
      <c r="V87" s="298">
        <f>SUMIFS('RCS Initiatives'!Q:Q,'RCS Initiatives'!$E:$E,'Gap Analysis update'!$B87,'RCS Initiatives'!$A:$A,'Gap Analysis update'!$A87,'RCS Initiatives'!$B:$B,'Gap Analysis update'!V$2)-SUMIFS('RCS Initiatives'!Q:Q,'RCS Initiatives'!$E:$E,'Gap Analysis update'!$B87,'RCS Initiatives'!$A:$A,'Gap Analysis update'!$A87,'RCS Initiatives'!$B:$B,'Gap Analysis update'!V$2,'RCS Initiatives'!$C:$C,'Gap Analysis update'!$B$72)</f>
        <v>0</v>
      </c>
      <c r="W87" s="298">
        <f>SUMIFS('RCS Initiatives'!R:R,'RCS Initiatives'!$E:$E,'Gap Analysis update'!$B87,'RCS Initiatives'!$A:$A,'Gap Analysis update'!$A87,'RCS Initiatives'!$B:$B,'Gap Analysis update'!W$2)-SUMIFS('RCS Initiatives'!R:R,'RCS Initiatives'!$E:$E,'Gap Analysis update'!$B87,'RCS Initiatives'!$A:$A,'Gap Analysis update'!$A87,'RCS Initiatives'!$B:$B,'Gap Analysis update'!W$2,'RCS Initiatives'!$C:$C,'Gap Analysis update'!$B$72)</f>
        <v>0</v>
      </c>
      <c r="Z87" s="293"/>
      <c r="AD87" s="298">
        <f>SUMIFS('RCS Initiatives'!G:G,'RCS Initiatives'!$E:$E,'Gap Analysis update'!$B87,'RCS Initiatives'!$A:$A,'Gap Analysis update'!$A87,'RCS Initiatives'!$B:$B,'Gap Analysis update'!AD$2)-SUMIFS('RCS Initiatives'!G:G,'RCS Initiatives'!$E:$E,'Gap Analysis update'!$B87,'RCS Initiatives'!$A:$A,'Gap Analysis update'!$A87,'RCS Initiatives'!$B:$B,'Gap Analysis update'!AD$2,'RCS Initiatives'!$C:$C,'Gap Analysis update'!$B$72)</f>
        <v>0</v>
      </c>
      <c r="AE87" s="298">
        <f>SUMIFS('RCS Initiatives'!H:H,'RCS Initiatives'!$E:$E,'Gap Analysis update'!$B87,'RCS Initiatives'!$A:$A,'Gap Analysis update'!$A87,'RCS Initiatives'!$B:$B,'Gap Analysis update'!AE$2)-SUMIFS('RCS Initiatives'!H:H,'RCS Initiatives'!$E:$E,'Gap Analysis update'!$B87,'RCS Initiatives'!$A:$A,'Gap Analysis update'!$A87,'RCS Initiatives'!$B:$B,'Gap Analysis update'!AE$2,'RCS Initiatives'!$C:$C,'Gap Analysis update'!$B$72)</f>
        <v>0</v>
      </c>
      <c r="AF87" s="298">
        <f>SUMIFS('RCS Initiatives'!I:I,'RCS Initiatives'!$E:$E,'Gap Analysis update'!$B87,'RCS Initiatives'!$A:$A,'Gap Analysis update'!$A87,'RCS Initiatives'!$B:$B,'Gap Analysis update'!AF$2)-SUMIFS('RCS Initiatives'!I:I,'RCS Initiatives'!$E:$E,'Gap Analysis update'!$B87,'RCS Initiatives'!$A:$A,'Gap Analysis update'!$A87,'RCS Initiatives'!$B:$B,'Gap Analysis update'!AF$2,'RCS Initiatives'!$C:$C,'Gap Analysis update'!$B$72)</f>
        <v>0</v>
      </c>
      <c r="AG87" s="298">
        <f>SUMIFS('RCS Initiatives'!J:J,'RCS Initiatives'!$E:$E,'Gap Analysis update'!$B87,'RCS Initiatives'!$A:$A,'Gap Analysis update'!$A87,'RCS Initiatives'!$B:$B,'Gap Analysis update'!AG$2)-SUMIFS('RCS Initiatives'!J:J,'RCS Initiatives'!$E:$E,'Gap Analysis update'!$B87,'RCS Initiatives'!$A:$A,'Gap Analysis update'!$A87,'RCS Initiatives'!$B:$B,'Gap Analysis update'!AG$2,'RCS Initiatives'!$C:$C,'Gap Analysis update'!$B$72)</f>
        <v>0</v>
      </c>
      <c r="AH87" s="298">
        <f>SUMIFS('RCS Initiatives'!K:K,'RCS Initiatives'!$E:$E,'Gap Analysis update'!$B87,'RCS Initiatives'!$A:$A,'Gap Analysis update'!$A87,'RCS Initiatives'!$B:$B,'Gap Analysis update'!AH$2)-SUMIFS('RCS Initiatives'!K:K,'RCS Initiatives'!$E:$E,'Gap Analysis update'!$B87,'RCS Initiatives'!$A:$A,'Gap Analysis update'!$A87,'RCS Initiatives'!$B:$B,'Gap Analysis update'!AH$2,'RCS Initiatives'!$C:$C,'Gap Analysis update'!$B$72)</f>
        <v>0</v>
      </c>
      <c r="AI87" s="298">
        <f>SUMIFS('RCS Initiatives'!L:L,'RCS Initiatives'!$E:$E,'Gap Analysis update'!$B87,'RCS Initiatives'!$A:$A,'Gap Analysis update'!$A87,'RCS Initiatives'!$B:$B,'Gap Analysis update'!AI$2)-SUMIFS('RCS Initiatives'!L:L,'RCS Initiatives'!$E:$E,'Gap Analysis update'!$B87,'RCS Initiatives'!$A:$A,'Gap Analysis update'!$A87,'RCS Initiatives'!$B:$B,'Gap Analysis update'!AI$2,'RCS Initiatives'!$C:$C,'Gap Analysis update'!$B$72)</f>
        <v>0</v>
      </c>
      <c r="AJ87" s="298">
        <f>SUMIFS('RCS Initiatives'!M:M,'RCS Initiatives'!$E:$E,'Gap Analysis update'!$B87,'RCS Initiatives'!$A:$A,'Gap Analysis update'!$A87,'RCS Initiatives'!$B:$B,'Gap Analysis update'!AJ$2)-SUMIFS('RCS Initiatives'!M:M,'RCS Initiatives'!$E:$E,'Gap Analysis update'!$B87,'RCS Initiatives'!$A:$A,'Gap Analysis update'!$A87,'RCS Initiatives'!$B:$B,'Gap Analysis update'!AJ$2,'RCS Initiatives'!$C:$C,'Gap Analysis update'!$B$72)</f>
        <v>0</v>
      </c>
      <c r="AK87" s="298">
        <f>SUMIFS('RCS Initiatives'!N:N,'RCS Initiatives'!$E:$E,'Gap Analysis update'!$B87,'RCS Initiatives'!$A:$A,'Gap Analysis update'!$A87,'RCS Initiatives'!$B:$B,'Gap Analysis update'!AK$2)-SUMIFS('RCS Initiatives'!N:N,'RCS Initiatives'!$E:$E,'Gap Analysis update'!$B87,'RCS Initiatives'!$A:$A,'Gap Analysis update'!$A87,'RCS Initiatives'!$B:$B,'Gap Analysis update'!AK$2,'RCS Initiatives'!$C:$C,'Gap Analysis update'!$B$72)</f>
        <v>0</v>
      </c>
      <c r="AL87" s="298">
        <f>SUMIFS('RCS Initiatives'!O:O,'RCS Initiatives'!$E:$E,'Gap Analysis update'!$B87,'RCS Initiatives'!$A:$A,'Gap Analysis update'!$A87,'RCS Initiatives'!$B:$B,'Gap Analysis update'!AL$2)-SUMIFS('RCS Initiatives'!O:O,'RCS Initiatives'!$E:$E,'Gap Analysis update'!$B87,'RCS Initiatives'!$A:$A,'Gap Analysis update'!$A87,'RCS Initiatives'!$B:$B,'Gap Analysis update'!AL$2,'RCS Initiatives'!$C:$C,'Gap Analysis update'!$B$72)</f>
        <v>0</v>
      </c>
      <c r="AM87" s="298">
        <f>SUMIFS('RCS Initiatives'!P:P,'RCS Initiatives'!$E:$E,'Gap Analysis update'!$B87,'RCS Initiatives'!$A:$A,'Gap Analysis update'!$A87,'RCS Initiatives'!$B:$B,'Gap Analysis update'!AM$2)-SUMIFS('RCS Initiatives'!P:P,'RCS Initiatives'!$E:$E,'Gap Analysis update'!$B87,'RCS Initiatives'!$A:$A,'Gap Analysis update'!$A87,'RCS Initiatives'!$B:$B,'Gap Analysis update'!AM$2,'RCS Initiatives'!$C:$C,'Gap Analysis update'!$B$72)</f>
        <v>0</v>
      </c>
      <c r="AN87" s="298">
        <f>SUMIFS('RCS Initiatives'!Q:Q,'RCS Initiatives'!$E:$E,'Gap Analysis update'!$B87,'RCS Initiatives'!$A:$A,'Gap Analysis update'!$A87,'RCS Initiatives'!$B:$B,'Gap Analysis update'!AN$2)-SUMIFS('RCS Initiatives'!Q:Q,'RCS Initiatives'!$E:$E,'Gap Analysis update'!$B87,'RCS Initiatives'!$A:$A,'Gap Analysis update'!$A87,'RCS Initiatives'!$B:$B,'Gap Analysis update'!AN$2,'RCS Initiatives'!$C:$C,'Gap Analysis update'!$B$72)</f>
        <v>0</v>
      </c>
      <c r="AO87" s="298">
        <f>SUMIFS('RCS Initiatives'!R:R,'RCS Initiatives'!$E:$E,'Gap Analysis update'!$B87,'RCS Initiatives'!$A:$A,'Gap Analysis update'!$A87,'RCS Initiatives'!$B:$B,'Gap Analysis update'!AO$2)-SUMIFS('RCS Initiatives'!R:R,'RCS Initiatives'!$E:$E,'Gap Analysis update'!$B87,'RCS Initiatives'!$A:$A,'Gap Analysis update'!$A87,'RCS Initiatives'!$B:$B,'Gap Analysis update'!AO$2,'RCS Initiatives'!$C:$C,'Gap Analysis update'!$B$72)</f>
        <v>0</v>
      </c>
      <c r="AR87" s="293"/>
      <c r="AS87" s="303"/>
      <c r="AT87" s="289">
        <f t="shared" si="110"/>
        <v>0</v>
      </c>
      <c r="AU87" s="303">
        <f t="shared" si="120"/>
        <v>0</v>
      </c>
      <c r="AV87" s="303">
        <f t="shared" si="121"/>
        <v>0</v>
      </c>
      <c r="AW87" s="303">
        <f t="shared" si="122"/>
        <v>0</v>
      </c>
      <c r="AX87" s="303">
        <f t="shared" si="115"/>
        <v>0</v>
      </c>
      <c r="AY87" s="303">
        <f t="shared" si="116"/>
        <v>0</v>
      </c>
      <c r="AZ87" s="303">
        <f t="shared" si="117"/>
        <v>0</v>
      </c>
      <c r="BA87" s="303">
        <f t="shared" si="118"/>
        <v>0</v>
      </c>
      <c r="BB87" s="303">
        <f t="shared" si="119"/>
        <v>0</v>
      </c>
      <c r="BC87" s="303">
        <f t="shared" si="123"/>
        <v>0</v>
      </c>
      <c r="BD87" s="303">
        <f t="shared" si="124"/>
        <v>0</v>
      </c>
      <c r="BE87" s="303">
        <f t="shared" si="125"/>
        <v>0</v>
      </c>
      <c r="BF87" s="303">
        <f t="shared" si="126"/>
        <v>0</v>
      </c>
      <c r="BG87" s="303">
        <f t="shared" si="111"/>
        <v>0</v>
      </c>
      <c r="BH87" s="303">
        <f t="shared" si="127"/>
        <v>0</v>
      </c>
      <c r="BI87" s="303">
        <f t="shared" si="128"/>
        <v>0</v>
      </c>
      <c r="BJ87" s="293"/>
      <c r="BK87" s="288"/>
      <c r="BL87" s="288"/>
      <c r="BM87" s="288"/>
      <c r="BN87" s="288"/>
      <c r="BO87" s="288"/>
      <c r="BP87" s="288"/>
      <c r="BQ87" s="288"/>
      <c r="BR87" s="288"/>
      <c r="BS87" s="288"/>
      <c r="BT87" s="288"/>
      <c r="BU87" s="288"/>
      <c r="BV87" s="288"/>
      <c r="BW87" s="288"/>
      <c r="BX87" s="288"/>
      <c r="BY87" s="288"/>
      <c r="BZ87" s="288"/>
      <c r="CA87" s="288"/>
      <c r="CB87" s="288"/>
    </row>
    <row r="88" spans="1:80" s="299" customFormat="1" ht="13">
      <c r="A88" s="300" t="s">
        <v>153</v>
      </c>
      <c r="B88" s="275" t="s">
        <v>20</v>
      </c>
      <c r="C88" s="276">
        <f>AI88-Q88</f>
        <v>7.5256070361284788E-2</v>
      </c>
      <c r="D88" s="277">
        <f>AQ88-Y88-C88</f>
        <v>1.3436951718039047E-2</v>
      </c>
      <c r="E88" s="277">
        <f>D88+C88</f>
        <v>8.8693022079323836E-2</v>
      </c>
      <c r="F88" s="300"/>
      <c r="G88" s="278"/>
      <c r="H88" s="285"/>
      <c r="I88" s="276"/>
      <c r="J88" s="280"/>
      <c r="K88" s="280">
        <v>2.9586151122557967</v>
      </c>
      <c r="L88" s="280">
        <f>+K88+L89+L90</f>
        <v>3.0597151457483909</v>
      </c>
      <c r="M88" s="280">
        <f t="shared" ref="M88" si="129">+L88+M89+M90</f>
        <v>3.0597151457483909</v>
      </c>
      <c r="N88" s="280">
        <f t="shared" ref="N88" si="130">+M88+N89+N90</f>
        <v>3.0248983990919998</v>
      </c>
      <c r="O88" s="280">
        <f t="shared" ref="O88" si="131">+N88+O89+O90</f>
        <v>3.0248983990919998</v>
      </c>
      <c r="P88" s="280">
        <f t="shared" ref="P88" si="132">+O88+P89+P90</f>
        <v>2.8748293647996221</v>
      </c>
      <c r="Q88" s="280">
        <f t="shared" ref="Q88" si="133">+P88+Q89+Q90</f>
        <v>2.8748293647996221</v>
      </c>
      <c r="R88" s="280">
        <f t="shared" ref="R88" si="134">+Q88+R89+R90</f>
        <v>2.8748293647996221</v>
      </c>
      <c r="S88" s="280">
        <f t="shared" ref="S88" si="135">+R88+S89+S90</f>
        <v>2.8633352368942888</v>
      </c>
      <c r="T88" s="280">
        <f t="shared" ref="T88" si="136">+S88+T89+T90</f>
        <v>2.8633352368942888</v>
      </c>
      <c r="U88" s="280">
        <f t="shared" ref="U88" si="137">+T88+U89+U90</f>
        <v>2.8633352368942888</v>
      </c>
      <c r="V88" s="280">
        <f t="shared" ref="V88" si="138">+U88+V89+V90</f>
        <v>2.8518411089889555</v>
      </c>
      <c r="W88" s="280">
        <f t="shared" ref="W88" si="139">+V88+W89+W90</f>
        <v>2.8518411089889555</v>
      </c>
      <c r="X88" s="280">
        <f t="shared" ref="X88" si="140">+W88+X89+X90</f>
        <v>2.8518411089889555</v>
      </c>
      <c r="Y88" s="280">
        <f>+X88+Y89+Y90</f>
        <v>2.8518411089889555</v>
      </c>
      <c r="Z88" s="285"/>
      <c r="AA88" s="276"/>
      <c r="AB88" s="280"/>
      <c r="AC88" s="280">
        <v>2.9854310744157666</v>
      </c>
      <c r="AD88" s="280">
        <f t="shared" ref="AD88" si="141">+AC88+AD89+AD90</f>
        <v>2.9854310744157666</v>
      </c>
      <c r="AE88" s="280">
        <f t="shared" ref="AE88" si="142">+AD88+AE89+AE90</f>
        <v>2.9422248085287119</v>
      </c>
      <c r="AF88" s="280">
        <f t="shared" ref="AF88" si="143">+AE88+AF89+AF90</f>
        <v>2.9400503539247582</v>
      </c>
      <c r="AG88" s="280">
        <f t="shared" ref="AG88" si="144">+AF88+AG89+AG90</f>
        <v>2.9402134448676391</v>
      </c>
      <c r="AH88" s="280">
        <f t="shared" ref="AH88" si="145">+AG88+AH89+AH90</f>
        <v>2.9818106198258354</v>
      </c>
      <c r="AI88" s="280">
        <f t="shared" ref="AI88" si="146">+AH88+AI89+AI90</f>
        <v>2.9500854351609069</v>
      </c>
      <c r="AJ88" s="280">
        <f>+AI88+AJ89+AJ90</f>
        <v>2.953744356809052</v>
      </c>
      <c r="AK88" s="280">
        <f t="shared" ref="AK88" si="147">+AJ88+AK89+AK90</f>
        <v>2.953744356809052</v>
      </c>
      <c r="AL88" s="280">
        <f t="shared" ref="AL88" si="148">+AK88+AL89+AL90</f>
        <v>2.9594995900914856</v>
      </c>
      <c r="AM88" s="280">
        <f t="shared" ref="AM88" si="149">+AL88+AM89+AM90</f>
        <v>2.9723897825652776</v>
      </c>
      <c r="AN88" s="280">
        <f t="shared" ref="AN88" si="150">+AM88+AN89+AN90</f>
        <v>2.9405341310682793</v>
      </c>
      <c r="AO88" s="280">
        <f t="shared" ref="AO88" si="151">+AN88+AO89+AO90</f>
        <v>2.9405341310682793</v>
      </c>
      <c r="AP88" s="280">
        <f t="shared" ref="AP88" si="152">+AO88+AP89+AP90</f>
        <v>2.9405341310682793</v>
      </c>
      <c r="AQ88" s="280">
        <f t="shared" ref="AQ88" si="153">+AP88+AQ89+AQ90</f>
        <v>2.9405341310682793</v>
      </c>
      <c r="AR88" s="280" t="e">
        <f t="shared" ref="AR88" si="154">+AQ88+AR89+AR90</f>
        <v>#VALUE!</v>
      </c>
      <c r="AS88" s="280" t="e">
        <f t="shared" ref="AS88" si="155">+AR88+AS89+AS90</f>
        <v>#VALUE!</v>
      </c>
      <c r="AT88" s="284">
        <f t="shared" si="110"/>
        <v>0</v>
      </c>
      <c r="AU88" s="284">
        <f>AC88-K88</f>
        <v>2.6815962159969953E-2</v>
      </c>
      <c r="AV88" s="284">
        <f>AD88-L88</f>
        <v>-7.4284071332624269E-2</v>
      </c>
      <c r="AW88" s="284">
        <f t="shared" si="122"/>
        <v>-0.11749033721967894</v>
      </c>
      <c r="AX88" s="284">
        <f t="shared" si="115"/>
        <v>-8.4848045167241537E-2</v>
      </c>
      <c r="AY88" s="284">
        <f t="shared" si="116"/>
        <v>-8.468495422436062E-2</v>
      </c>
      <c r="AZ88" s="284">
        <f>AH88-P88</f>
        <v>0.10698125502621325</v>
      </c>
      <c r="BA88" s="284">
        <f t="shared" si="118"/>
        <v>7.5256070361284788E-2</v>
      </c>
      <c r="BB88" s="284">
        <f>AJ88-R88</f>
        <v>7.8914992009429863E-2</v>
      </c>
      <c r="BC88" s="284">
        <f t="shared" si="123"/>
        <v>9.0409119914763192E-2</v>
      </c>
      <c r="BD88" s="284">
        <f t="shared" si="124"/>
        <v>9.6164353197196739E-2</v>
      </c>
      <c r="BE88" s="284">
        <f t="shared" si="125"/>
        <v>0.10905454567098882</v>
      </c>
      <c r="BF88" s="284">
        <f t="shared" si="126"/>
        <v>8.8693022079323836E-2</v>
      </c>
      <c r="BG88" s="284">
        <f t="shared" si="111"/>
        <v>8.8693022079323836E-2</v>
      </c>
      <c r="BH88" s="284">
        <f t="shared" si="127"/>
        <v>8.8693022079323836E-2</v>
      </c>
      <c r="BI88" s="284">
        <f t="shared" si="128"/>
        <v>8.8693022079323836E-2</v>
      </c>
      <c r="BJ88" s="285"/>
      <c r="BK88" s="288"/>
      <c r="BL88" s="288"/>
      <c r="BM88" s="288"/>
      <c r="BN88" s="288"/>
      <c r="BO88" s="288"/>
      <c r="BP88" s="288"/>
      <c r="BQ88" s="288"/>
      <c r="BR88" s="288"/>
      <c r="BS88" s="288"/>
      <c r="BT88" s="288"/>
      <c r="BU88" s="288"/>
      <c r="BV88" s="288"/>
      <c r="BW88" s="288"/>
      <c r="BX88" s="288"/>
      <c r="BY88" s="288"/>
      <c r="BZ88" s="288"/>
      <c r="CA88" s="288"/>
      <c r="CB88" s="288"/>
    </row>
    <row r="89" spans="1:80" s="299" customFormat="1" ht="12" customHeight="1">
      <c r="A89" s="300" t="s">
        <v>153</v>
      </c>
      <c r="B89" s="275" t="s">
        <v>21</v>
      </c>
      <c r="C89" s="276">
        <f>SUM(AT89:BA89)</f>
        <v>0.13037884772386868</v>
      </c>
      <c r="D89" s="277">
        <f>SUM(BB89:BI89)</f>
        <v>-2.8642347958270913E-2</v>
      </c>
      <c r="E89" s="277">
        <f t="shared" ref="E89" si="156">D89+C89</f>
        <v>0.10173649976559776</v>
      </c>
      <c r="F89" s="278"/>
      <c r="G89" s="278"/>
      <c r="H89" s="285"/>
      <c r="I89" s="280"/>
      <c r="J89" s="280"/>
      <c r="K89" s="280"/>
      <c r="L89" s="280">
        <f>SUBTOTAL(9,L91:L96)</f>
        <v>1.9161293970040467E-2</v>
      </c>
      <c r="M89" s="280">
        <f t="shared" ref="M89:P89" si="157">SUBTOTAL(9,M91:M96)</f>
        <v>0</v>
      </c>
      <c r="N89" s="280">
        <f t="shared" si="157"/>
        <v>-3.4816746656391201E-2</v>
      </c>
      <c r="O89" s="280">
        <f t="shared" si="157"/>
        <v>0</v>
      </c>
      <c r="P89" s="280">
        <f t="shared" si="157"/>
        <v>-0.15006903429237775</v>
      </c>
      <c r="Q89" s="280">
        <f>SUBTOTAL(9,Q91:Q96)</f>
        <v>0</v>
      </c>
      <c r="R89" s="280">
        <f>SUBTOTAL(9,R91:R96)</f>
        <v>0</v>
      </c>
      <c r="S89" s="280">
        <f t="shared" ref="S89:Y89" si="158">SUBTOTAL(9,S91:S96)</f>
        <v>-1.1494127905333267E-2</v>
      </c>
      <c r="T89" s="280">
        <f t="shared" si="158"/>
        <v>0</v>
      </c>
      <c r="U89" s="280">
        <f t="shared" si="158"/>
        <v>0</v>
      </c>
      <c r="V89" s="280">
        <f t="shared" si="158"/>
        <v>-1.1494127905333267E-2</v>
      </c>
      <c r="W89" s="280">
        <f t="shared" si="158"/>
        <v>0</v>
      </c>
      <c r="X89" s="280">
        <f t="shared" si="158"/>
        <v>0</v>
      </c>
      <c r="Y89" s="280">
        <f t="shared" si="158"/>
        <v>0</v>
      </c>
      <c r="Z89" s="285"/>
      <c r="AA89" s="285"/>
      <c r="AB89" s="280">
        <f>SUBTOTAL(9,AB91:AB96)</f>
        <v>0</v>
      </c>
      <c r="AC89" s="280">
        <f t="shared" ref="AC89" si="159">SUBTOTAL(9,AC91:AC96)</f>
        <v>0</v>
      </c>
      <c r="AD89" s="280">
        <f>SUBTOTAL(9,AD91:AD96)</f>
        <v>0</v>
      </c>
      <c r="AE89" s="280">
        <f t="shared" ref="AE89:AI89" si="160">SUBTOTAL(9,AE91:AE96)</f>
        <v>-4.3206265887054861E-2</v>
      </c>
      <c r="AF89" s="280">
        <f t="shared" si="160"/>
        <v>-2.1744546039537526E-3</v>
      </c>
      <c r="AG89" s="280">
        <f t="shared" si="160"/>
        <v>1.6309094288108832E-4</v>
      </c>
      <c r="AH89" s="280">
        <f t="shared" si="160"/>
        <v>4.1597174958196176E-2</v>
      </c>
      <c r="AI89" s="280">
        <f t="shared" si="160"/>
        <v>-3.1725184664928463E-2</v>
      </c>
      <c r="AJ89" s="280">
        <f>SUBTOTAL(9,AJ91:AJ96)</f>
        <v>3.6589216481449551E-3</v>
      </c>
      <c r="AK89" s="280">
        <f t="shared" ref="AK89:AM89" si="161">SUBTOTAL(9,AK91:AK96)</f>
        <v>0</v>
      </c>
      <c r="AL89" s="280">
        <f t="shared" si="161"/>
        <v>-2.3433873920084201E-2</v>
      </c>
      <c r="AM89" s="280">
        <f t="shared" si="161"/>
        <v>0</v>
      </c>
      <c r="AN89" s="280">
        <f>SUBTOTAL(9,AN91:AN96)</f>
        <v>-3.1855651496998198E-2</v>
      </c>
      <c r="AO89" s="280">
        <f t="shared" ref="AO89:AQ89" si="162">SUBTOTAL(9,AO91:AO96)</f>
        <v>0</v>
      </c>
      <c r="AP89" s="280">
        <f t="shared" si="162"/>
        <v>0</v>
      </c>
      <c r="AQ89" s="280">
        <f t="shared" si="162"/>
        <v>0</v>
      </c>
      <c r="AR89" s="285"/>
      <c r="AS89" s="284">
        <f>I89-AA89</f>
        <v>0</v>
      </c>
      <c r="AT89" s="284">
        <f>AB89-J89</f>
        <v>0</v>
      </c>
      <c r="AU89" s="284">
        <f t="shared" si="120"/>
        <v>0</v>
      </c>
      <c r="AV89" s="284">
        <f t="shared" si="121"/>
        <v>-1.9161293970040467E-2</v>
      </c>
      <c r="AW89" s="284">
        <f t="shared" si="122"/>
        <v>-4.3206265887054861E-2</v>
      </c>
      <c r="AX89" s="284">
        <f t="shared" si="115"/>
        <v>3.2642292052437447E-2</v>
      </c>
      <c r="AY89" s="284">
        <f t="shared" si="116"/>
        <v>1.6309094288108832E-4</v>
      </c>
      <c r="AZ89" s="284">
        <f t="shared" ref="AZ89" si="163">AH89-P89</f>
        <v>0.19166620925057393</v>
      </c>
      <c r="BA89" s="284">
        <f t="shared" si="118"/>
        <v>-3.1725184664928463E-2</v>
      </c>
      <c r="BB89" s="284">
        <f t="shared" ref="BB89" si="164">AJ89-R89</f>
        <v>3.6589216481449551E-3</v>
      </c>
      <c r="BC89" s="284">
        <f t="shared" si="123"/>
        <v>1.1494127905333267E-2</v>
      </c>
      <c r="BD89" s="284">
        <f t="shared" si="124"/>
        <v>-2.3433873920084201E-2</v>
      </c>
      <c r="BE89" s="284">
        <f t="shared" si="125"/>
        <v>0</v>
      </c>
      <c r="BF89" s="284">
        <f t="shared" si="126"/>
        <v>-2.0361523591664932E-2</v>
      </c>
      <c r="BG89" s="284">
        <f t="shared" si="111"/>
        <v>0</v>
      </c>
      <c r="BH89" s="284">
        <f t="shared" si="127"/>
        <v>0</v>
      </c>
      <c r="BI89" s="284">
        <f t="shared" si="128"/>
        <v>0</v>
      </c>
      <c r="BJ89" s="285"/>
      <c r="BK89" s="301"/>
      <c r="BL89" s="301"/>
      <c r="BM89" s="301"/>
      <c r="BN89" s="301"/>
      <c r="BO89" s="301"/>
      <c r="BP89" s="301"/>
      <c r="BQ89" s="301"/>
      <c r="BR89" s="301"/>
      <c r="BS89" s="301"/>
      <c r="BT89" s="301"/>
      <c r="BU89" s="301"/>
      <c r="BV89" s="301"/>
      <c r="BW89" s="301"/>
      <c r="BX89" s="301"/>
      <c r="BY89" s="301"/>
      <c r="BZ89" s="301"/>
      <c r="CA89" s="301"/>
      <c r="CB89" s="288"/>
    </row>
    <row r="90" spans="1:80" s="299" customFormat="1" ht="13">
      <c r="A90" s="300" t="s">
        <v>153</v>
      </c>
      <c r="B90" s="275" t="s">
        <v>22</v>
      </c>
      <c r="C90" s="276">
        <f>SUM(AT90:BA90)</f>
        <v>-8.1938739522553955E-2</v>
      </c>
      <c r="D90" s="277">
        <f>SUM(BB90:BI90)</f>
        <v>4.2079299676309807E-2</v>
      </c>
      <c r="E90" s="277">
        <f>D90+C90</f>
        <v>-3.9859439846244148E-2</v>
      </c>
      <c r="F90" s="278"/>
      <c r="G90" s="275"/>
      <c r="H90" s="285"/>
      <c r="I90" s="280"/>
      <c r="J90" s="280"/>
      <c r="K90" s="280"/>
      <c r="L90" s="280">
        <f>SUMIFS('RCS Initiatives'!G:G,'RCS Initiatives'!$A:$A,'Gap Analysis update'!$A90,'RCS Initiatives'!$C:$C,'Gap Analysis update'!$B90,'RCS Initiatives'!$B:$B,'Gap Analysis update'!L$2)</f>
        <v>8.1938739522553955E-2</v>
      </c>
      <c r="M90" s="280">
        <f>SUMIFS('RCS Initiatives'!H:H,'RCS Initiatives'!$A:$A,'Gap Analysis update'!$A90,'RCS Initiatives'!$C:$C,'Gap Analysis update'!$B90,'RCS Initiatives'!$B:$B,'Gap Analysis update'!M$2)</f>
        <v>0</v>
      </c>
      <c r="N90" s="280">
        <f>SUMIFS('RCS Initiatives'!I:I,'RCS Initiatives'!$A:$A,'Gap Analysis update'!$A90,'RCS Initiatives'!$C:$C,'Gap Analysis update'!$B90,'RCS Initiatives'!$B:$B,'Gap Analysis update'!N$2)</f>
        <v>0</v>
      </c>
      <c r="O90" s="280">
        <f>SUMIFS('RCS Initiatives'!J:J,'RCS Initiatives'!$A:$A,'Gap Analysis update'!$A90,'RCS Initiatives'!$C:$C,'Gap Analysis update'!$B90,'RCS Initiatives'!$B:$B,'Gap Analysis update'!O$2)</f>
        <v>0</v>
      </c>
      <c r="P90" s="280">
        <f>SUMIFS('RCS Initiatives'!K:K,'RCS Initiatives'!$A:$A,'Gap Analysis update'!$A90,'RCS Initiatives'!$C:$C,'Gap Analysis update'!$B90,'RCS Initiatives'!$B:$B,'Gap Analysis update'!P$2)</f>
        <v>0</v>
      </c>
      <c r="Q90" s="280">
        <f>SUMIFS('RCS Initiatives'!L:L,'RCS Initiatives'!$A:$A,'Gap Analysis update'!$A90,'RCS Initiatives'!$C:$C,'Gap Analysis update'!$B90,'RCS Initiatives'!$B:$B,'Gap Analysis update'!Q$2)</f>
        <v>0</v>
      </c>
      <c r="R90" s="280">
        <f>SUMIFS('RCS Initiatives'!M:M,'RCS Initiatives'!$A:$A,'Gap Analysis update'!$A90,'RCS Initiatives'!$C:$C,'Gap Analysis update'!$B90,'RCS Initiatives'!$B:$B,'Gap Analysis update'!R$2)</f>
        <v>0</v>
      </c>
      <c r="S90" s="280">
        <f>SUMIFS('RCS Initiatives'!N:N,'RCS Initiatives'!$A:$A,'Gap Analysis update'!$A90,'RCS Initiatives'!$C:$C,'Gap Analysis update'!$B90,'RCS Initiatives'!$B:$B,'Gap Analysis update'!S$2)</f>
        <v>0</v>
      </c>
      <c r="T90" s="280">
        <f>SUMIFS('RCS Initiatives'!O:O,'RCS Initiatives'!$A:$A,'Gap Analysis update'!$A90,'RCS Initiatives'!$C:$C,'Gap Analysis update'!$B90,'RCS Initiatives'!$B:$B,'Gap Analysis update'!T$2)</f>
        <v>0</v>
      </c>
      <c r="U90" s="280">
        <f>SUMIFS('RCS Initiatives'!P:P,'RCS Initiatives'!$A:$A,'Gap Analysis update'!$A90,'RCS Initiatives'!$C:$C,'Gap Analysis update'!$B90,'RCS Initiatives'!$B:$B,'Gap Analysis update'!U$2)</f>
        <v>0</v>
      </c>
      <c r="V90" s="280">
        <f>SUMIFS('RCS Initiatives'!Q:Q,'RCS Initiatives'!$A:$A,'Gap Analysis update'!$A90,'RCS Initiatives'!$C:$C,'Gap Analysis update'!$B90,'RCS Initiatives'!$B:$B,'Gap Analysis update'!V$2)</f>
        <v>0</v>
      </c>
      <c r="W90" s="280">
        <f>SUMIFS('RCS Initiatives'!R:R,'RCS Initiatives'!$A:$A,'Gap Analysis update'!$A90,'RCS Initiatives'!$C:$C,'Gap Analysis update'!$B90,'RCS Initiatives'!$B:$B,'Gap Analysis update'!W$2)</f>
        <v>0</v>
      </c>
      <c r="X90" s="280"/>
      <c r="Y90" s="280"/>
      <c r="Z90" s="285"/>
      <c r="AA90" s="280"/>
      <c r="AB90" s="280"/>
      <c r="AC90" s="280"/>
      <c r="AD90" s="280">
        <f>SUMIFS('RCS Initiatives'!G:G,'RCS Initiatives'!$A:$A,'Gap Analysis update'!$A90,'RCS Initiatives'!$C:$C,'Gap Analysis update'!$B90,'RCS Initiatives'!$B:$B,'Gap Analysis update'!AD$2)</f>
        <v>0</v>
      </c>
      <c r="AE90" s="280">
        <f>SUMIFS('RCS Initiatives'!H:H,'RCS Initiatives'!$A:$A,'Gap Analysis update'!$A90,'RCS Initiatives'!$C:$C,'Gap Analysis update'!$B90,'RCS Initiatives'!$B:$B,'Gap Analysis update'!AE$2)</f>
        <v>0</v>
      </c>
      <c r="AF90" s="280">
        <f>SUMIFS('RCS Initiatives'!I:I,'RCS Initiatives'!$A:$A,'Gap Analysis update'!$A90,'RCS Initiatives'!$C:$C,'Gap Analysis update'!$B90,'RCS Initiatives'!$B:$B,'Gap Analysis update'!AF$2)</f>
        <v>0</v>
      </c>
      <c r="AG90" s="280">
        <f>SUMIFS('RCS Initiatives'!J:J,'RCS Initiatives'!$A:$A,'Gap Analysis update'!$A90,'RCS Initiatives'!$C:$C,'Gap Analysis update'!$B90,'RCS Initiatives'!$B:$B,'Gap Analysis update'!AG$2)</f>
        <v>0</v>
      </c>
      <c r="AH90" s="280">
        <f>SUMIFS('RCS Initiatives'!K:K,'RCS Initiatives'!$A:$A,'Gap Analysis update'!$A90,'RCS Initiatives'!$C:$C,'Gap Analysis update'!$B90,'RCS Initiatives'!$B:$B,'Gap Analysis update'!AH$2)</f>
        <v>0</v>
      </c>
      <c r="AI90" s="280">
        <f>SUMIFS('RCS Initiatives'!L:L,'RCS Initiatives'!$A:$A,'Gap Analysis update'!$A90,'RCS Initiatives'!$C:$C,'Gap Analysis update'!$B90,'RCS Initiatives'!$B:$B,'Gap Analysis update'!AI$2)</f>
        <v>0</v>
      </c>
      <c r="AJ90" s="280">
        <f>SUMIFS('RCS Initiatives'!M:M,'RCS Initiatives'!$A:$A,'Gap Analysis update'!$A90,'RCS Initiatives'!$C:$C,'Gap Analysis update'!$B90,'RCS Initiatives'!$B:$B,'Gap Analysis update'!AJ$2)</f>
        <v>0</v>
      </c>
      <c r="AK90" s="280">
        <f>SUMIFS('RCS Initiatives'!N:N,'RCS Initiatives'!$A:$A,'Gap Analysis update'!$A90,'RCS Initiatives'!$C:$C,'Gap Analysis update'!$B90,'RCS Initiatives'!$B:$B,'Gap Analysis update'!AK$2)</f>
        <v>0</v>
      </c>
      <c r="AL90" s="280">
        <f>SUMIFS('RCS Initiatives'!O:O,'RCS Initiatives'!$A:$A,'Gap Analysis update'!$A90,'RCS Initiatives'!$C:$C,'Gap Analysis update'!$B90,'RCS Initiatives'!$B:$B,'Gap Analysis update'!AL$2)</f>
        <v>2.9189107202517828E-2</v>
      </c>
      <c r="AM90" s="280">
        <f>SUMIFS('RCS Initiatives'!P:P,'RCS Initiatives'!$A:$A,'Gap Analysis update'!$A90,'RCS Initiatives'!$C:$C,'Gap Analysis update'!$B90,'RCS Initiatives'!$B:$B,'Gap Analysis update'!AM$2)</f>
        <v>1.2890192473791978E-2</v>
      </c>
      <c r="AN90" s="280">
        <f>SUMIFS('RCS Initiatives'!Q:Q,'RCS Initiatives'!$A:$A,'Gap Analysis update'!$A90,'RCS Initiatives'!$C:$C,'Gap Analysis update'!$B90,'RCS Initiatives'!$B:$B,'Gap Analysis update'!AN$2)</f>
        <v>0</v>
      </c>
      <c r="AO90" s="280">
        <f>SUMIFS('RCS Initiatives'!R:R,'RCS Initiatives'!$A:$A,'Gap Analysis update'!$A90,'RCS Initiatives'!$C:$C,'Gap Analysis update'!$B90,'RCS Initiatives'!$B:$B,'Gap Analysis update'!AO$2)</f>
        <v>0</v>
      </c>
      <c r="AP90" s="280"/>
      <c r="AQ90" s="280"/>
      <c r="AR90" s="280" t="e">
        <f>SUMIFS('[2]RCS Initiatives'!T:T,'[2]RCS Initiatives'!$A:$A,'Gap Analysis update'!$A90,'[2]RCS Initiatives'!$C:$C,'Gap Analysis update'!$B90,'[2]RCS Initiatives'!$B:$B,'Gap Analysis update'!AR$2)</f>
        <v>#VALUE!</v>
      </c>
      <c r="AS90" s="280" t="e">
        <f>SUMIFS('[2]RCS Initiatives'!U:U,'[2]RCS Initiatives'!$A:$A,'Gap Analysis update'!$A90,'[2]RCS Initiatives'!$C:$C,'Gap Analysis update'!$B90,'[2]RCS Initiatives'!$B:$B,'Gap Analysis update'!AS$2)</f>
        <v>#VALUE!</v>
      </c>
      <c r="AT90" s="284">
        <f t="shared" ref="AT90:AT96" si="165">AB90-J90</f>
        <v>0</v>
      </c>
      <c r="AU90" s="284">
        <f t="shared" si="120"/>
        <v>0</v>
      </c>
      <c r="AV90" s="284">
        <f t="shared" si="121"/>
        <v>-8.1938739522553955E-2</v>
      </c>
      <c r="AW90" s="284">
        <f t="shared" si="122"/>
        <v>0</v>
      </c>
      <c r="AX90" s="284">
        <f>AF90-N90</f>
        <v>0</v>
      </c>
      <c r="AY90" s="284">
        <f t="shared" si="116"/>
        <v>0</v>
      </c>
      <c r="AZ90" s="284">
        <f>AH90-P90</f>
        <v>0</v>
      </c>
      <c r="BA90" s="284">
        <f t="shared" si="118"/>
        <v>0</v>
      </c>
      <c r="BB90" s="284">
        <f>AJ90-R90</f>
        <v>0</v>
      </c>
      <c r="BC90" s="284">
        <f t="shared" si="123"/>
        <v>0</v>
      </c>
      <c r="BD90" s="284">
        <f t="shared" si="124"/>
        <v>2.9189107202517828E-2</v>
      </c>
      <c r="BE90" s="284">
        <f t="shared" si="125"/>
        <v>1.2890192473791978E-2</v>
      </c>
      <c r="BF90" s="284">
        <f t="shared" si="126"/>
        <v>0</v>
      </c>
      <c r="BG90" s="284">
        <f>AO90-W90</f>
        <v>0</v>
      </c>
      <c r="BH90" s="284">
        <f t="shared" si="127"/>
        <v>0</v>
      </c>
      <c r="BI90" s="284">
        <f t="shared" si="128"/>
        <v>0</v>
      </c>
      <c r="BJ90" s="285"/>
      <c r="BK90" s="301"/>
      <c r="BL90" s="301"/>
      <c r="BM90" s="301"/>
      <c r="BN90" s="301"/>
      <c r="BO90" s="301"/>
      <c r="BP90" s="301"/>
      <c r="BQ90" s="301"/>
      <c r="BR90" s="301"/>
      <c r="BS90" s="301"/>
      <c r="BT90" s="301"/>
      <c r="BU90" s="301"/>
      <c r="BV90" s="301"/>
      <c r="BW90" s="301"/>
      <c r="BX90" s="301"/>
      <c r="BY90" s="301"/>
      <c r="BZ90" s="301"/>
      <c r="CA90" s="301"/>
      <c r="CB90" s="288"/>
    </row>
    <row r="91" spans="1:80" s="298" customFormat="1" ht="52">
      <c r="A91" s="296" t="s">
        <v>153</v>
      </c>
      <c r="B91" s="287" t="s">
        <v>24</v>
      </c>
      <c r="C91" s="288">
        <f>SUM(AS91:BA91)</f>
        <v>0</v>
      </c>
      <c r="D91" s="289">
        <f>SUM(BB91:BG91)</f>
        <v>0</v>
      </c>
      <c r="E91" s="289">
        <f>D91+C91</f>
        <v>0</v>
      </c>
      <c r="F91" s="286"/>
      <c r="G91" s="286" t="s">
        <v>154</v>
      </c>
      <c r="H91" s="297"/>
      <c r="L91" s="298">
        <f>SUMIFS('RCS Initiatives'!G:G,'RCS Initiatives'!$E:$E,'Gap Analysis update'!$B91,'RCS Initiatives'!$A:$A,'Gap Analysis update'!$A91,'RCS Initiatives'!$B:$B,'Gap Analysis update'!L$2)-SUMIFS('RCS Initiatives'!G:G,'RCS Initiatives'!$E:$E,'Gap Analysis update'!$B91,'RCS Initiatives'!$A:$A,'Gap Analysis update'!$A91,'RCS Initiatives'!$B:$B,'Gap Analysis update'!L$2,'RCS Initiatives'!$C:$C,'Gap Analysis update'!$B$72)</f>
        <v>0</v>
      </c>
      <c r="M91" s="298">
        <f>SUMIFS('RCS Initiatives'!H:H,'RCS Initiatives'!$E:$E,'Gap Analysis update'!$B91,'RCS Initiatives'!$A:$A,'Gap Analysis update'!$A91,'RCS Initiatives'!$B:$B,'Gap Analysis update'!M$2)-SUMIFS('RCS Initiatives'!H:H,'RCS Initiatives'!$E:$E,'Gap Analysis update'!$B91,'RCS Initiatives'!$A:$A,'Gap Analysis update'!$A91,'RCS Initiatives'!$B:$B,'Gap Analysis update'!M$2,'RCS Initiatives'!$C:$C,'Gap Analysis update'!$B$72)</f>
        <v>0</v>
      </c>
      <c r="N91" s="298">
        <f>SUMIFS('RCS Initiatives'!I:I,'RCS Initiatives'!$E:$E,'Gap Analysis update'!$B91,'RCS Initiatives'!$A:$A,'Gap Analysis update'!$A91,'RCS Initiatives'!$B:$B,'Gap Analysis update'!N$2)-SUMIFS('RCS Initiatives'!I:I,'RCS Initiatives'!$E:$E,'Gap Analysis update'!$B91,'RCS Initiatives'!$A:$A,'Gap Analysis update'!$A91,'RCS Initiatives'!$B:$B,'Gap Analysis update'!N$2,'RCS Initiatives'!$C:$C,'Gap Analysis update'!$B$72)</f>
        <v>0</v>
      </c>
      <c r="O91" s="298">
        <f>SUMIFS('RCS Initiatives'!J:J,'RCS Initiatives'!$E:$E,'Gap Analysis update'!$B91,'RCS Initiatives'!$A:$A,'Gap Analysis update'!$A91,'RCS Initiatives'!$B:$B,'Gap Analysis update'!O$2)-SUMIFS('RCS Initiatives'!J:J,'RCS Initiatives'!$E:$E,'Gap Analysis update'!$B91,'RCS Initiatives'!$A:$A,'Gap Analysis update'!$A91,'RCS Initiatives'!$B:$B,'Gap Analysis update'!O$2,'RCS Initiatives'!$C:$C,'Gap Analysis update'!$B$72)</f>
        <v>0</v>
      </c>
      <c r="P91" s="298">
        <f>SUMIFS('RCS Initiatives'!K:K,'RCS Initiatives'!$E:$E,'Gap Analysis update'!$B91,'RCS Initiatives'!$A:$A,'Gap Analysis update'!$A91,'RCS Initiatives'!$B:$B,'Gap Analysis update'!P$2)-SUMIFS('RCS Initiatives'!K:K,'RCS Initiatives'!$E:$E,'Gap Analysis update'!$B91,'RCS Initiatives'!$A:$A,'Gap Analysis update'!$A91,'RCS Initiatives'!$B:$B,'Gap Analysis update'!P$2,'RCS Initiatives'!$C:$C,'Gap Analysis update'!$B$72)</f>
        <v>0</v>
      </c>
      <c r="Q91" s="298">
        <f>SUMIFS('RCS Initiatives'!L:L,'RCS Initiatives'!$E:$E,'Gap Analysis update'!$B91,'RCS Initiatives'!$A:$A,'Gap Analysis update'!$A91,'RCS Initiatives'!$B:$B,'Gap Analysis update'!Q$2)-SUMIFS('RCS Initiatives'!L:L,'RCS Initiatives'!$E:$E,'Gap Analysis update'!$B91,'RCS Initiatives'!$A:$A,'Gap Analysis update'!$A91,'RCS Initiatives'!$B:$B,'Gap Analysis update'!Q$2,'RCS Initiatives'!$C:$C,'Gap Analysis update'!$B$72)</f>
        <v>0</v>
      </c>
      <c r="R91" s="298">
        <f>SUMIFS('RCS Initiatives'!M:M,'RCS Initiatives'!$E:$E,'Gap Analysis update'!$B91,'RCS Initiatives'!$A:$A,'Gap Analysis update'!$A91,'RCS Initiatives'!$B:$B,'Gap Analysis update'!R$2)-SUMIFS('RCS Initiatives'!M:M,'RCS Initiatives'!$E:$E,'Gap Analysis update'!$B91,'RCS Initiatives'!$A:$A,'Gap Analysis update'!$A91,'RCS Initiatives'!$B:$B,'Gap Analysis update'!R$2,'RCS Initiatives'!$C:$C,'Gap Analysis update'!$B$72)</f>
        <v>0</v>
      </c>
      <c r="S91" s="298">
        <f>SUMIFS('RCS Initiatives'!N:N,'RCS Initiatives'!$E:$E,'Gap Analysis update'!$B91,'RCS Initiatives'!$A:$A,'Gap Analysis update'!$A91,'RCS Initiatives'!$B:$B,'Gap Analysis update'!S$2)-SUMIFS('RCS Initiatives'!N:N,'RCS Initiatives'!$E:$E,'Gap Analysis update'!$B91,'RCS Initiatives'!$A:$A,'Gap Analysis update'!$A91,'RCS Initiatives'!$B:$B,'Gap Analysis update'!S$2,'RCS Initiatives'!$C:$C,'Gap Analysis update'!$B$72)</f>
        <v>0</v>
      </c>
      <c r="T91" s="298">
        <f>SUMIFS('RCS Initiatives'!O:O,'RCS Initiatives'!$E:$E,'Gap Analysis update'!$B91,'RCS Initiatives'!$A:$A,'Gap Analysis update'!$A91,'RCS Initiatives'!$B:$B,'Gap Analysis update'!T$2)-SUMIFS('RCS Initiatives'!O:O,'RCS Initiatives'!$E:$E,'Gap Analysis update'!$B91,'RCS Initiatives'!$A:$A,'Gap Analysis update'!$A91,'RCS Initiatives'!$B:$B,'Gap Analysis update'!T$2,'RCS Initiatives'!$C:$C,'Gap Analysis update'!$B$72)</f>
        <v>0</v>
      </c>
      <c r="U91" s="298">
        <f>SUMIFS('RCS Initiatives'!P:P,'RCS Initiatives'!$E:$E,'Gap Analysis update'!$B91,'RCS Initiatives'!$A:$A,'Gap Analysis update'!$A91,'RCS Initiatives'!$B:$B,'Gap Analysis update'!U$2)-SUMIFS('RCS Initiatives'!P:P,'RCS Initiatives'!$E:$E,'Gap Analysis update'!$B91,'RCS Initiatives'!$A:$A,'Gap Analysis update'!$A91,'RCS Initiatives'!$B:$B,'Gap Analysis update'!U$2,'RCS Initiatives'!$C:$C,'Gap Analysis update'!$B$72)</f>
        <v>0</v>
      </c>
      <c r="V91" s="298">
        <f>SUMIFS('RCS Initiatives'!Q:Q,'RCS Initiatives'!$E:$E,'Gap Analysis update'!$B91,'RCS Initiatives'!$A:$A,'Gap Analysis update'!$A91,'RCS Initiatives'!$B:$B,'Gap Analysis update'!V$2)-SUMIFS('RCS Initiatives'!Q:Q,'RCS Initiatives'!$E:$E,'Gap Analysis update'!$B91,'RCS Initiatives'!$A:$A,'Gap Analysis update'!$A91,'RCS Initiatives'!$B:$B,'Gap Analysis update'!V$2,'RCS Initiatives'!$C:$C,'Gap Analysis update'!$B$72)</f>
        <v>0</v>
      </c>
      <c r="W91" s="298">
        <f>SUMIFS('RCS Initiatives'!R:R,'RCS Initiatives'!$E:$E,'Gap Analysis update'!$B91,'RCS Initiatives'!$A:$A,'Gap Analysis update'!$A91,'RCS Initiatives'!$B:$B,'Gap Analysis update'!W$2)-SUMIFS('RCS Initiatives'!R:R,'RCS Initiatives'!$E:$E,'Gap Analysis update'!$B91,'RCS Initiatives'!$A:$A,'Gap Analysis update'!$A91,'RCS Initiatives'!$B:$B,'Gap Analysis update'!W$2,'RCS Initiatives'!$C:$C,'Gap Analysis update'!$B$72)</f>
        <v>0</v>
      </c>
      <c r="Z91" s="293"/>
      <c r="AD91" s="298">
        <f>SUMIFS('RCS Initiatives'!G:G,'RCS Initiatives'!$E:$E,'Gap Analysis update'!$B91,'RCS Initiatives'!$A:$A,'Gap Analysis update'!$A91,'RCS Initiatives'!$B:$B,'Gap Analysis update'!AD$2)-SUMIFS('RCS Initiatives'!G:G,'RCS Initiatives'!$E:$E,'Gap Analysis update'!$B91,'RCS Initiatives'!$A:$A,'Gap Analysis update'!$A91,'RCS Initiatives'!$B:$B,'Gap Analysis update'!AD$2,'RCS Initiatives'!$C:$C,'Gap Analysis update'!$B$72)</f>
        <v>0</v>
      </c>
      <c r="AE91" s="298">
        <f>SUMIFS('RCS Initiatives'!H:H,'RCS Initiatives'!$E:$E,'Gap Analysis update'!$B91,'RCS Initiatives'!$A:$A,'Gap Analysis update'!$A91,'RCS Initiatives'!$B:$B,'Gap Analysis update'!AE$2)-SUMIFS('RCS Initiatives'!H:H,'RCS Initiatives'!$E:$E,'Gap Analysis update'!$B91,'RCS Initiatives'!$A:$A,'Gap Analysis update'!$A91,'RCS Initiatives'!$B:$B,'Gap Analysis update'!AE$2,'RCS Initiatives'!$C:$C,'Gap Analysis update'!$B$72)</f>
        <v>0</v>
      </c>
      <c r="AF91" s="298">
        <f>SUMIFS('RCS Initiatives'!I:I,'RCS Initiatives'!$E:$E,'Gap Analysis update'!$B91,'RCS Initiatives'!$A:$A,'Gap Analysis update'!$A91,'RCS Initiatives'!$B:$B,'Gap Analysis update'!AF$2)-SUMIFS('RCS Initiatives'!I:I,'RCS Initiatives'!$E:$E,'Gap Analysis update'!$B91,'RCS Initiatives'!$A:$A,'Gap Analysis update'!$A91,'RCS Initiatives'!$B:$B,'Gap Analysis update'!AF$2,'RCS Initiatives'!$C:$C,'Gap Analysis update'!$B$72)</f>
        <v>0</v>
      </c>
      <c r="AG91" s="298">
        <f>SUMIFS('RCS Initiatives'!J:J,'RCS Initiatives'!$E:$E,'Gap Analysis update'!$B91,'RCS Initiatives'!$A:$A,'Gap Analysis update'!$A91,'RCS Initiatives'!$B:$B,'Gap Analysis update'!AG$2)-SUMIFS('RCS Initiatives'!J:J,'RCS Initiatives'!$E:$E,'Gap Analysis update'!$B91,'RCS Initiatives'!$A:$A,'Gap Analysis update'!$A91,'RCS Initiatives'!$B:$B,'Gap Analysis update'!AG$2,'RCS Initiatives'!$C:$C,'Gap Analysis update'!$B$72)</f>
        <v>0</v>
      </c>
      <c r="AH91" s="298">
        <f>SUMIFS('RCS Initiatives'!K:K,'RCS Initiatives'!$E:$E,'Gap Analysis update'!$B91,'RCS Initiatives'!$A:$A,'Gap Analysis update'!$A91,'RCS Initiatives'!$B:$B,'Gap Analysis update'!AH$2)-SUMIFS('RCS Initiatives'!K:K,'RCS Initiatives'!$E:$E,'Gap Analysis update'!$B91,'RCS Initiatives'!$A:$A,'Gap Analysis update'!$A91,'RCS Initiatives'!$B:$B,'Gap Analysis update'!AH$2,'RCS Initiatives'!$C:$C,'Gap Analysis update'!$B$72)</f>
        <v>0</v>
      </c>
      <c r="AI91" s="298">
        <f>SUMIFS('RCS Initiatives'!L:L,'RCS Initiatives'!$E:$E,'Gap Analysis update'!$B91,'RCS Initiatives'!$A:$A,'Gap Analysis update'!$A91,'RCS Initiatives'!$B:$B,'Gap Analysis update'!AI$2)-SUMIFS('RCS Initiatives'!L:L,'RCS Initiatives'!$E:$E,'Gap Analysis update'!$B91,'RCS Initiatives'!$A:$A,'Gap Analysis update'!$A91,'RCS Initiatives'!$B:$B,'Gap Analysis update'!AI$2,'RCS Initiatives'!$C:$C,'Gap Analysis update'!$B$72)</f>
        <v>0</v>
      </c>
      <c r="AJ91" s="298">
        <f>SUMIFS('RCS Initiatives'!M:M,'RCS Initiatives'!$E:$E,'Gap Analysis update'!$B91,'RCS Initiatives'!$A:$A,'Gap Analysis update'!$A91,'RCS Initiatives'!$B:$B,'Gap Analysis update'!AJ$2)-SUMIFS('RCS Initiatives'!M:M,'RCS Initiatives'!$E:$E,'Gap Analysis update'!$B91,'RCS Initiatives'!$A:$A,'Gap Analysis update'!$A91,'RCS Initiatives'!$B:$B,'Gap Analysis update'!AJ$2,'RCS Initiatives'!$C:$C,'Gap Analysis update'!$B$72)</f>
        <v>0</v>
      </c>
      <c r="AK91" s="298">
        <f>SUMIFS('RCS Initiatives'!N:N,'RCS Initiatives'!$E:$E,'Gap Analysis update'!$B91,'RCS Initiatives'!$A:$A,'Gap Analysis update'!$A91,'RCS Initiatives'!$B:$B,'Gap Analysis update'!AK$2)-SUMIFS('RCS Initiatives'!N:N,'RCS Initiatives'!$E:$E,'Gap Analysis update'!$B91,'RCS Initiatives'!$A:$A,'Gap Analysis update'!$A91,'RCS Initiatives'!$B:$B,'Gap Analysis update'!AK$2,'RCS Initiatives'!$C:$C,'Gap Analysis update'!$B$72)</f>
        <v>0</v>
      </c>
      <c r="AL91" s="298">
        <f>SUMIFS('RCS Initiatives'!O:O,'RCS Initiatives'!$E:$E,'Gap Analysis update'!$B91,'RCS Initiatives'!$A:$A,'Gap Analysis update'!$A91,'RCS Initiatives'!$B:$B,'Gap Analysis update'!AL$2)-SUMIFS('RCS Initiatives'!O:O,'RCS Initiatives'!$E:$E,'Gap Analysis update'!$B91,'RCS Initiatives'!$A:$A,'Gap Analysis update'!$A91,'RCS Initiatives'!$B:$B,'Gap Analysis update'!AL$2,'RCS Initiatives'!$C:$C,'Gap Analysis update'!$B$72)</f>
        <v>0</v>
      </c>
      <c r="AM91" s="298">
        <f>SUMIFS('RCS Initiatives'!P:P,'RCS Initiatives'!$E:$E,'Gap Analysis update'!$B91,'RCS Initiatives'!$A:$A,'Gap Analysis update'!$A91,'RCS Initiatives'!$B:$B,'Gap Analysis update'!AM$2)-SUMIFS('RCS Initiatives'!P:P,'RCS Initiatives'!$E:$E,'Gap Analysis update'!$B91,'RCS Initiatives'!$A:$A,'Gap Analysis update'!$A91,'RCS Initiatives'!$B:$B,'Gap Analysis update'!AM$2,'RCS Initiatives'!$C:$C,'Gap Analysis update'!$B$72)</f>
        <v>0</v>
      </c>
      <c r="AN91" s="298">
        <f>SUMIFS('RCS Initiatives'!Q:Q,'RCS Initiatives'!$E:$E,'Gap Analysis update'!$B91,'RCS Initiatives'!$A:$A,'Gap Analysis update'!$A91,'RCS Initiatives'!$B:$B,'Gap Analysis update'!AN$2)-SUMIFS('RCS Initiatives'!Q:Q,'RCS Initiatives'!$E:$E,'Gap Analysis update'!$B91,'RCS Initiatives'!$A:$A,'Gap Analysis update'!$A91,'RCS Initiatives'!$B:$B,'Gap Analysis update'!AN$2,'RCS Initiatives'!$C:$C,'Gap Analysis update'!$B$72)</f>
        <v>0</v>
      </c>
      <c r="AO91" s="298">
        <f>SUMIFS('RCS Initiatives'!R:R,'RCS Initiatives'!$E:$E,'Gap Analysis update'!$B91,'RCS Initiatives'!$A:$A,'Gap Analysis update'!$A91,'RCS Initiatives'!$B:$B,'Gap Analysis update'!AO$2)-SUMIFS('RCS Initiatives'!R:R,'RCS Initiatives'!$E:$E,'Gap Analysis update'!$B91,'RCS Initiatives'!$A:$A,'Gap Analysis update'!$A91,'RCS Initiatives'!$B:$B,'Gap Analysis update'!AO$2,'RCS Initiatives'!$C:$C,'Gap Analysis update'!$B$72)</f>
        <v>0</v>
      </c>
      <c r="AR91" s="293"/>
      <c r="AS91" s="303"/>
      <c r="AT91" s="289">
        <f t="shared" si="165"/>
        <v>0</v>
      </c>
      <c r="AU91" s="303">
        <f t="shared" si="120"/>
        <v>0</v>
      </c>
      <c r="AV91" s="303">
        <f t="shared" si="121"/>
        <v>0</v>
      </c>
      <c r="AW91" s="303">
        <f t="shared" si="122"/>
        <v>0</v>
      </c>
      <c r="AX91" s="303">
        <f>AF91-N91</f>
        <v>0</v>
      </c>
      <c r="AY91" s="303">
        <f>AG91-O91</f>
        <v>0</v>
      </c>
      <c r="AZ91" s="303">
        <f>AH91-P91</f>
        <v>0</v>
      </c>
      <c r="BA91" s="303">
        <f>AI91-Q91</f>
        <v>0</v>
      </c>
      <c r="BB91" s="303">
        <f>AJ91-R91</f>
        <v>0</v>
      </c>
      <c r="BC91" s="303">
        <f t="shared" si="123"/>
        <v>0</v>
      </c>
      <c r="BD91" s="303">
        <f t="shared" si="124"/>
        <v>0</v>
      </c>
      <c r="BE91" s="303">
        <f t="shared" si="125"/>
        <v>0</v>
      </c>
      <c r="BF91" s="303">
        <f t="shared" si="126"/>
        <v>0</v>
      </c>
      <c r="BG91" s="303">
        <f t="shared" ref="BG91:BG96" si="166">AO91-W91</f>
        <v>0</v>
      </c>
      <c r="BH91" s="303">
        <f t="shared" si="127"/>
        <v>0</v>
      </c>
      <c r="BI91" s="303">
        <f t="shared" si="128"/>
        <v>0</v>
      </c>
      <c r="BJ91" s="293"/>
      <c r="BK91" s="288"/>
      <c r="BL91" s="288"/>
      <c r="BM91" s="288"/>
      <c r="BN91" s="288"/>
      <c r="BO91" s="288"/>
      <c r="BP91" s="288"/>
      <c r="BQ91" s="288"/>
      <c r="BR91" s="288"/>
      <c r="BS91" s="288"/>
      <c r="BT91" s="288"/>
      <c r="BU91" s="288"/>
      <c r="BV91" s="288"/>
      <c r="BW91" s="288"/>
      <c r="BX91" s="288"/>
      <c r="BY91" s="288"/>
      <c r="BZ91" s="288"/>
      <c r="CA91" s="288"/>
      <c r="CB91" s="288"/>
    </row>
    <row r="92" spans="1:80" s="298" customFormat="1" ht="156">
      <c r="A92" s="296" t="s">
        <v>153</v>
      </c>
      <c r="B92" s="287" t="s">
        <v>33</v>
      </c>
      <c r="C92" s="288">
        <f t="shared" ref="C92:C96" si="167">SUM(AS92:BA92)</f>
        <v>0.13037884772386868</v>
      </c>
      <c r="D92" s="289">
        <f t="shared" ref="D92:D95" si="168">SUM(BB92:BG92)</f>
        <v>-3.2328035964237598E-2</v>
      </c>
      <c r="E92" s="289">
        <f t="shared" ref="E92:E96" si="169">D92+C92</f>
        <v>9.8050811759631082E-2</v>
      </c>
      <c r="F92" s="286"/>
      <c r="G92" s="286" t="s">
        <v>155</v>
      </c>
      <c r="H92" s="297"/>
      <c r="K92" s="288"/>
      <c r="L92" s="298">
        <f>SUMIFS('RCS Initiatives'!G:G,'RCS Initiatives'!$E:$E,'Gap Analysis update'!$B92,'RCS Initiatives'!$A:$A,'Gap Analysis update'!$A92,'RCS Initiatives'!$B:$B,'Gap Analysis update'!L$2)-SUMIFS('RCS Initiatives'!G:G,'RCS Initiatives'!$E:$E,'Gap Analysis update'!$B92,'RCS Initiatives'!$A:$A,'Gap Analysis update'!$A92,'RCS Initiatives'!$B:$B,'Gap Analysis update'!L$2,'RCS Initiatives'!$C:$C,'Gap Analysis update'!$B$72)</f>
        <v>1.9161293970040467E-2</v>
      </c>
      <c r="M92" s="298">
        <f>SUMIFS('RCS Initiatives'!H:H,'RCS Initiatives'!$E:$E,'Gap Analysis update'!$B92,'RCS Initiatives'!$A:$A,'Gap Analysis update'!$A92,'RCS Initiatives'!$B:$B,'Gap Analysis update'!M$2)-SUMIFS('RCS Initiatives'!H:H,'RCS Initiatives'!$E:$E,'Gap Analysis update'!$B92,'RCS Initiatives'!$A:$A,'Gap Analysis update'!$A92,'RCS Initiatives'!$B:$B,'Gap Analysis update'!M$2,'RCS Initiatives'!$C:$C,'Gap Analysis update'!$B$72)</f>
        <v>0</v>
      </c>
      <c r="N92" s="298">
        <f>SUMIFS('RCS Initiatives'!I:I,'RCS Initiatives'!$E:$E,'Gap Analysis update'!$B92,'RCS Initiatives'!$A:$A,'Gap Analysis update'!$A92,'RCS Initiatives'!$B:$B,'Gap Analysis update'!N$2)-SUMIFS('RCS Initiatives'!I:I,'RCS Initiatives'!$E:$E,'Gap Analysis update'!$B92,'RCS Initiatives'!$A:$A,'Gap Analysis update'!$A92,'RCS Initiatives'!$B:$B,'Gap Analysis update'!N$2,'RCS Initiatives'!$C:$C,'Gap Analysis update'!$B$72)</f>
        <v>-3.4816746656391201E-2</v>
      </c>
      <c r="O92" s="298">
        <f>SUMIFS('RCS Initiatives'!J:J,'RCS Initiatives'!$E:$E,'Gap Analysis update'!$B92,'RCS Initiatives'!$A:$A,'Gap Analysis update'!$A92,'RCS Initiatives'!$B:$B,'Gap Analysis update'!O$2)-SUMIFS('RCS Initiatives'!J:J,'RCS Initiatives'!$E:$E,'Gap Analysis update'!$B92,'RCS Initiatives'!$A:$A,'Gap Analysis update'!$A92,'RCS Initiatives'!$B:$B,'Gap Analysis update'!O$2,'RCS Initiatives'!$C:$C,'Gap Analysis update'!$B$72)</f>
        <v>0</v>
      </c>
      <c r="P92" s="298">
        <f>SUMIFS('RCS Initiatives'!K:K,'RCS Initiatives'!$E:$E,'Gap Analysis update'!$B92,'RCS Initiatives'!$A:$A,'Gap Analysis update'!$A92,'RCS Initiatives'!$B:$B,'Gap Analysis update'!P$2)-SUMIFS('RCS Initiatives'!K:K,'RCS Initiatives'!$E:$E,'Gap Analysis update'!$B92,'RCS Initiatives'!$A:$A,'Gap Analysis update'!$A92,'RCS Initiatives'!$B:$B,'Gap Analysis update'!P$2,'RCS Initiatives'!$C:$C,'Gap Analysis update'!$B$72)</f>
        <v>-0.15006903429237775</v>
      </c>
      <c r="Q92" s="298">
        <f>SUMIFS('RCS Initiatives'!L:L,'RCS Initiatives'!$E:$E,'Gap Analysis update'!$B92,'RCS Initiatives'!$A:$A,'Gap Analysis update'!$A92,'RCS Initiatives'!$B:$B,'Gap Analysis update'!Q$2)-SUMIFS('RCS Initiatives'!L:L,'RCS Initiatives'!$E:$E,'Gap Analysis update'!$B92,'RCS Initiatives'!$A:$A,'Gap Analysis update'!$A92,'RCS Initiatives'!$B:$B,'Gap Analysis update'!Q$2,'RCS Initiatives'!$C:$C,'Gap Analysis update'!$B$72)</f>
        <v>0</v>
      </c>
      <c r="R92" s="298">
        <f>SUMIFS('RCS Initiatives'!M:M,'RCS Initiatives'!$E:$E,'Gap Analysis update'!$B92,'RCS Initiatives'!$A:$A,'Gap Analysis update'!$A92,'RCS Initiatives'!$B:$B,'Gap Analysis update'!R$2)-SUMIFS('RCS Initiatives'!M:M,'RCS Initiatives'!$E:$E,'Gap Analysis update'!$B92,'RCS Initiatives'!$A:$A,'Gap Analysis update'!$A92,'RCS Initiatives'!$B:$B,'Gap Analysis update'!R$2,'RCS Initiatives'!$C:$C,'Gap Analysis update'!$B$72)</f>
        <v>0</v>
      </c>
      <c r="S92" s="298">
        <f>SUMIFS('RCS Initiatives'!N:N,'RCS Initiatives'!$E:$E,'Gap Analysis update'!$B92,'RCS Initiatives'!$A:$A,'Gap Analysis update'!$A92,'RCS Initiatives'!$B:$B,'Gap Analysis update'!S$2)-SUMIFS('RCS Initiatives'!N:N,'RCS Initiatives'!$E:$E,'Gap Analysis update'!$B92,'RCS Initiatives'!$A:$A,'Gap Analysis update'!$A92,'RCS Initiatives'!$B:$B,'Gap Analysis update'!S$2,'RCS Initiatives'!$C:$C,'Gap Analysis update'!$B$72)</f>
        <v>-1.1494127905333267E-2</v>
      </c>
      <c r="T92" s="298">
        <f>SUMIFS('RCS Initiatives'!O:O,'RCS Initiatives'!$E:$E,'Gap Analysis update'!$B92,'RCS Initiatives'!$A:$A,'Gap Analysis update'!$A92,'RCS Initiatives'!$B:$B,'Gap Analysis update'!T$2)-SUMIFS('RCS Initiatives'!O:O,'RCS Initiatives'!$E:$E,'Gap Analysis update'!$B92,'RCS Initiatives'!$A:$A,'Gap Analysis update'!$A92,'RCS Initiatives'!$B:$B,'Gap Analysis update'!T$2,'RCS Initiatives'!$C:$C,'Gap Analysis update'!$B$72)</f>
        <v>0</v>
      </c>
      <c r="U92" s="298">
        <f>SUMIFS('RCS Initiatives'!P:P,'RCS Initiatives'!$E:$E,'Gap Analysis update'!$B92,'RCS Initiatives'!$A:$A,'Gap Analysis update'!$A92,'RCS Initiatives'!$B:$B,'Gap Analysis update'!U$2)-SUMIFS('RCS Initiatives'!P:P,'RCS Initiatives'!$E:$E,'Gap Analysis update'!$B92,'RCS Initiatives'!$A:$A,'Gap Analysis update'!$A92,'RCS Initiatives'!$B:$B,'Gap Analysis update'!U$2,'RCS Initiatives'!$C:$C,'Gap Analysis update'!$B$72)</f>
        <v>0</v>
      </c>
      <c r="V92" s="298">
        <f>SUMIFS('RCS Initiatives'!Q:Q,'RCS Initiatives'!$E:$E,'Gap Analysis update'!$B92,'RCS Initiatives'!$A:$A,'Gap Analysis update'!$A92,'RCS Initiatives'!$B:$B,'Gap Analysis update'!V$2)-SUMIFS('RCS Initiatives'!Q:Q,'RCS Initiatives'!$E:$E,'Gap Analysis update'!$B92,'RCS Initiatives'!$A:$A,'Gap Analysis update'!$A92,'RCS Initiatives'!$B:$B,'Gap Analysis update'!V$2,'RCS Initiatives'!$C:$C,'Gap Analysis update'!$B$72)</f>
        <v>-1.1494127905333267E-2</v>
      </c>
      <c r="W92" s="298">
        <f>SUMIFS('RCS Initiatives'!R:R,'RCS Initiatives'!$E:$E,'Gap Analysis update'!$B92,'RCS Initiatives'!$A:$A,'Gap Analysis update'!$A92,'RCS Initiatives'!$B:$B,'Gap Analysis update'!W$2)-SUMIFS('RCS Initiatives'!R:R,'RCS Initiatives'!$E:$E,'Gap Analysis update'!$B92,'RCS Initiatives'!$A:$A,'Gap Analysis update'!$A92,'RCS Initiatives'!$B:$B,'Gap Analysis update'!W$2,'RCS Initiatives'!$C:$C,'Gap Analysis update'!$B$72)</f>
        <v>0</v>
      </c>
      <c r="Z92" s="293"/>
      <c r="AD92" s="298">
        <f>SUMIFS('RCS Initiatives'!G:G,'RCS Initiatives'!$E:$E,'Gap Analysis update'!$B92,'RCS Initiatives'!$A:$A,'Gap Analysis update'!$A92,'RCS Initiatives'!$B:$B,'Gap Analysis update'!AD$2)-SUMIFS('RCS Initiatives'!G:G,'RCS Initiatives'!$E:$E,'Gap Analysis update'!$B92,'RCS Initiatives'!$A:$A,'Gap Analysis update'!$A92,'RCS Initiatives'!$B:$B,'Gap Analysis update'!AD$2,'RCS Initiatives'!$C:$C,'Gap Analysis update'!$B$72)</f>
        <v>0</v>
      </c>
      <c r="AE92" s="298">
        <f>SUMIFS('RCS Initiatives'!H:H,'RCS Initiatives'!$E:$E,'Gap Analysis update'!$B92,'RCS Initiatives'!$A:$A,'Gap Analysis update'!$A92,'RCS Initiatives'!$B:$B,'Gap Analysis update'!AE$2)-SUMIFS('RCS Initiatives'!H:H,'RCS Initiatives'!$E:$E,'Gap Analysis update'!$B92,'RCS Initiatives'!$A:$A,'Gap Analysis update'!$A92,'RCS Initiatives'!$B:$B,'Gap Analysis update'!AE$2,'RCS Initiatives'!$C:$C,'Gap Analysis update'!$B$72)</f>
        <v>-4.3206265887054861E-2</v>
      </c>
      <c r="AF92" s="298">
        <f>SUMIFS('RCS Initiatives'!I:I,'RCS Initiatives'!$E:$E,'Gap Analysis update'!$B92,'RCS Initiatives'!$A:$A,'Gap Analysis update'!$A92,'RCS Initiatives'!$B:$B,'Gap Analysis update'!AF$2)-SUMIFS('RCS Initiatives'!I:I,'RCS Initiatives'!$E:$E,'Gap Analysis update'!$B92,'RCS Initiatives'!$A:$A,'Gap Analysis update'!$A92,'RCS Initiatives'!$B:$B,'Gap Analysis update'!AF$2,'RCS Initiatives'!$C:$C,'Gap Analysis update'!$B$72)</f>
        <v>-2.1744546039537526E-3</v>
      </c>
      <c r="AG92" s="298">
        <f>SUMIFS('RCS Initiatives'!J:J,'RCS Initiatives'!$E:$E,'Gap Analysis update'!$B92,'RCS Initiatives'!$A:$A,'Gap Analysis update'!$A92,'RCS Initiatives'!$B:$B,'Gap Analysis update'!AG$2)-SUMIFS('RCS Initiatives'!J:J,'RCS Initiatives'!$E:$E,'Gap Analysis update'!$B92,'RCS Initiatives'!$A:$A,'Gap Analysis update'!$A92,'RCS Initiatives'!$B:$B,'Gap Analysis update'!AG$2,'RCS Initiatives'!$C:$C,'Gap Analysis update'!$B$72)</f>
        <v>1.6309094288108832E-4</v>
      </c>
      <c r="AH92" s="298">
        <f>SUMIFS('RCS Initiatives'!K:K,'RCS Initiatives'!$E:$E,'Gap Analysis update'!$B92,'RCS Initiatives'!$A:$A,'Gap Analysis update'!$A92,'RCS Initiatives'!$B:$B,'Gap Analysis update'!AH$2)-SUMIFS('RCS Initiatives'!K:K,'RCS Initiatives'!$E:$E,'Gap Analysis update'!$B92,'RCS Initiatives'!$A:$A,'Gap Analysis update'!$A92,'RCS Initiatives'!$B:$B,'Gap Analysis update'!AH$2,'RCS Initiatives'!$C:$C,'Gap Analysis update'!$B$72)</f>
        <v>4.1597174958196176E-2</v>
      </c>
      <c r="AI92" s="298">
        <f>SUMIFS('RCS Initiatives'!L:L,'RCS Initiatives'!$E:$E,'Gap Analysis update'!$B92,'RCS Initiatives'!$A:$A,'Gap Analysis update'!$A92,'RCS Initiatives'!$B:$B,'Gap Analysis update'!AI$2)-SUMIFS('RCS Initiatives'!L:L,'RCS Initiatives'!$E:$E,'Gap Analysis update'!$B92,'RCS Initiatives'!$A:$A,'Gap Analysis update'!$A92,'RCS Initiatives'!$B:$B,'Gap Analysis update'!AI$2,'RCS Initiatives'!$C:$C,'Gap Analysis update'!$B$72)</f>
        <v>-3.1725184664928463E-2</v>
      </c>
      <c r="AJ92" s="298">
        <f>SUMIFS('RCS Initiatives'!M:M,'RCS Initiatives'!$E:$E,'Gap Analysis update'!$B92,'RCS Initiatives'!$A:$A,'Gap Analysis update'!$A92,'RCS Initiatives'!$B:$B,'Gap Analysis update'!AJ$2)-SUMIFS('RCS Initiatives'!M:M,'RCS Initiatives'!$E:$E,'Gap Analysis update'!$B92,'RCS Initiatives'!$A:$A,'Gap Analysis update'!$A92,'RCS Initiatives'!$B:$B,'Gap Analysis update'!AJ$2,'RCS Initiatives'!$C:$C,'Gap Analysis update'!$B$72)</f>
        <v>-2.6766357821728093E-5</v>
      </c>
      <c r="AK92" s="298">
        <f>SUMIFS('RCS Initiatives'!N:N,'RCS Initiatives'!$E:$E,'Gap Analysis update'!$B92,'RCS Initiatives'!$A:$A,'Gap Analysis update'!$A92,'RCS Initiatives'!$B:$B,'Gap Analysis update'!AK$2)-SUMIFS('RCS Initiatives'!N:N,'RCS Initiatives'!$E:$E,'Gap Analysis update'!$B92,'RCS Initiatives'!$A:$A,'Gap Analysis update'!$A92,'RCS Initiatives'!$B:$B,'Gap Analysis update'!AK$2,'RCS Initiatives'!$C:$C,'Gap Analysis update'!$B$72)</f>
        <v>0</v>
      </c>
      <c r="AL92" s="298">
        <f>SUMIFS('RCS Initiatives'!O:O,'RCS Initiatives'!$E:$E,'Gap Analysis update'!$B92,'RCS Initiatives'!$A:$A,'Gap Analysis update'!$A92,'RCS Initiatives'!$B:$B,'Gap Analysis update'!AL$2)-SUMIFS('RCS Initiatives'!O:O,'RCS Initiatives'!$E:$E,'Gap Analysis update'!$B92,'RCS Initiatives'!$A:$A,'Gap Analysis update'!$A92,'RCS Initiatives'!$B:$B,'Gap Analysis update'!AL$2,'RCS Initiatives'!$C:$C,'Gap Analysis update'!$B$72)</f>
        <v>-2.3433873920084201E-2</v>
      </c>
      <c r="AM92" s="298">
        <f>SUMIFS('RCS Initiatives'!P:P,'RCS Initiatives'!$E:$E,'Gap Analysis update'!$B92,'RCS Initiatives'!$A:$A,'Gap Analysis update'!$A92,'RCS Initiatives'!$B:$B,'Gap Analysis update'!AM$2)-SUMIFS('RCS Initiatives'!P:P,'RCS Initiatives'!$E:$E,'Gap Analysis update'!$B92,'RCS Initiatives'!$A:$A,'Gap Analysis update'!$A92,'RCS Initiatives'!$B:$B,'Gap Analysis update'!AM$2,'RCS Initiatives'!$C:$C,'Gap Analysis update'!$B$72)</f>
        <v>0</v>
      </c>
      <c r="AN92" s="298">
        <f>SUMIFS('RCS Initiatives'!Q:Q,'RCS Initiatives'!$E:$E,'Gap Analysis update'!$B92,'RCS Initiatives'!$A:$A,'Gap Analysis update'!$A92,'RCS Initiatives'!$B:$B,'Gap Analysis update'!AN$2)-SUMIFS('RCS Initiatives'!Q:Q,'RCS Initiatives'!$E:$E,'Gap Analysis update'!$B92,'RCS Initiatives'!$A:$A,'Gap Analysis update'!$A92,'RCS Initiatives'!$B:$B,'Gap Analysis update'!AN$2,'RCS Initiatives'!$C:$C,'Gap Analysis update'!$B$72)</f>
        <v>-3.1855651496998198E-2</v>
      </c>
      <c r="AO92" s="298">
        <f>SUMIFS('RCS Initiatives'!R:R,'RCS Initiatives'!$E:$E,'Gap Analysis update'!$B92,'RCS Initiatives'!$A:$A,'Gap Analysis update'!$A92,'RCS Initiatives'!$B:$B,'Gap Analysis update'!AO$2)-SUMIFS('RCS Initiatives'!R:R,'RCS Initiatives'!$E:$E,'Gap Analysis update'!$B92,'RCS Initiatives'!$A:$A,'Gap Analysis update'!$A92,'RCS Initiatives'!$B:$B,'Gap Analysis update'!AO$2,'RCS Initiatives'!$C:$C,'Gap Analysis update'!$B$72)</f>
        <v>0</v>
      </c>
      <c r="AR92" s="293"/>
      <c r="AS92" s="303"/>
      <c r="AT92" s="289">
        <f t="shared" si="165"/>
        <v>0</v>
      </c>
      <c r="AU92" s="303">
        <f t="shared" si="120"/>
        <v>0</v>
      </c>
      <c r="AV92" s="303">
        <f t="shared" si="121"/>
        <v>-1.9161293970040467E-2</v>
      </c>
      <c r="AW92" s="303">
        <f t="shared" si="122"/>
        <v>-4.3206265887054861E-2</v>
      </c>
      <c r="AX92" s="303">
        <f>AF92-N92</f>
        <v>3.2642292052437447E-2</v>
      </c>
      <c r="AY92" s="303">
        <f>AG92-O92</f>
        <v>1.6309094288108832E-4</v>
      </c>
      <c r="AZ92" s="303">
        <f>AH92-P92</f>
        <v>0.19166620925057393</v>
      </c>
      <c r="BA92" s="303">
        <f>AI92-Q92</f>
        <v>-3.1725184664928463E-2</v>
      </c>
      <c r="BB92" s="303">
        <f>AJ92-R92</f>
        <v>-2.6766357821728093E-5</v>
      </c>
      <c r="BC92" s="303">
        <f t="shared" si="123"/>
        <v>1.1494127905333267E-2</v>
      </c>
      <c r="BD92" s="303">
        <f t="shared" si="124"/>
        <v>-2.3433873920084201E-2</v>
      </c>
      <c r="BE92" s="303">
        <f t="shared" si="125"/>
        <v>0</v>
      </c>
      <c r="BF92" s="303">
        <f t="shared" si="126"/>
        <v>-2.0361523591664932E-2</v>
      </c>
      <c r="BG92" s="303">
        <f t="shared" si="166"/>
        <v>0</v>
      </c>
      <c r="BH92" s="303">
        <f t="shared" si="127"/>
        <v>0</v>
      </c>
      <c r="BI92" s="303">
        <f t="shared" si="128"/>
        <v>0</v>
      </c>
      <c r="BJ92" s="293"/>
      <c r="BK92" s="288"/>
      <c r="BL92" s="288"/>
      <c r="BM92" s="288"/>
      <c r="BN92" s="288"/>
      <c r="BO92" s="288"/>
      <c r="BP92" s="288"/>
      <c r="BQ92" s="288"/>
      <c r="BR92" s="288"/>
      <c r="BS92" s="288"/>
      <c r="BT92" s="288"/>
      <c r="BU92" s="288"/>
      <c r="BV92" s="288"/>
      <c r="BW92" s="288"/>
      <c r="BX92" s="288"/>
      <c r="BY92" s="288"/>
      <c r="BZ92" s="288"/>
      <c r="CA92" s="288"/>
      <c r="CB92" s="288"/>
    </row>
    <row r="93" spans="1:80" s="298" customFormat="1" ht="13">
      <c r="A93" s="296" t="s">
        <v>153</v>
      </c>
      <c r="B93" s="287" t="s">
        <v>140</v>
      </c>
      <c r="C93" s="288">
        <f t="shared" si="167"/>
        <v>0</v>
      </c>
      <c r="D93" s="289">
        <f t="shared" si="168"/>
        <v>3.6856880059666832E-3</v>
      </c>
      <c r="E93" s="289">
        <f t="shared" si="169"/>
        <v>3.6856880059666832E-3</v>
      </c>
      <c r="F93" s="286"/>
      <c r="G93" s="286"/>
      <c r="H93" s="297"/>
      <c r="K93" s="288"/>
      <c r="L93" s="298">
        <f>SUMIFS('RCS Initiatives'!G:G,'RCS Initiatives'!$E:$E,'Gap Analysis update'!$B93,'RCS Initiatives'!$A:$A,'Gap Analysis update'!$A93,'RCS Initiatives'!$B:$B,'Gap Analysis update'!L$2)-SUMIFS('RCS Initiatives'!G:G,'RCS Initiatives'!$E:$E,'Gap Analysis update'!$B93,'RCS Initiatives'!$A:$A,'Gap Analysis update'!$A93,'RCS Initiatives'!$B:$B,'Gap Analysis update'!L$2,'RCS Initiatives'!$C:$C,'Gap Analysis update'!$B$72)</f>
        <v>0</v>
      </c>
      <c r="M93" s="298">
        <f>SUMIFS('RCS Initiatives'!H:H,'RCS Initiatives'!$E:$E,'Gap Analysis update'!$B93,'RCS Initiatives'!$A:$A,'Gap Analysis update'!$A93,'RCS Initiatives'!$B:$B,'Gap Analysis update'!M$2)-SUMIFS('RCS Initiatives'!H:H,'RCS Initiatives'!$E:$E,'Gap Analysis update'!$B93,'RCS Initiatives'!$A:$A,'Gap Analysis update'!$A93,'RCS Initiatives'!$B:$B,'Gap Analysis update'!M$2,'RCS Initiatives'!$C:$C,'Gap Analysis update'!$B$72)</f>
        <v>0</v>
      </c>
      <c r="N93" s="298">
        <f>SUMIFS('RCS Initiatives'!I:I,'RCS Initiatives'!$E:$E,'Gap Analysis update'!$B93,'RCS Initiatives'!$A:$A,'Gap Analysis update'!$A93,'RCS Initiatives'!$B:$B,'Gap Analysis update'!N$2)-SUMIFS('RCS Initiatives'!I:I,'RCS Initiatives'!$E:$E,'Gap Analysis update'!$B93,'RCS Initiatives'!$A:$A,'Gap Analysis update'!$A93,'RCS Initiatives'!$B:$B,'Gap Analysis update'!N$2,'RCS Initiatives'!$C:$C,'Gap Analysis update'!$B$72)</f>
        <v>0</v>
      </c>
      <c r="O93" s="298">
        <f>SUMIFS('RCS Initiatives'!J:J,'RCS Initiatives'!$E:$E,'Gap Analysis update'!$B93,'RCS Initiatives'!$A:$A,'Gap Analysis update'!$A93,'RCS Initiatives'!$B:$B,'Gap Analysis update'!O$2)-SUMIFS('RCS Initiatives'!J:J,'RCS Initiatives'!$E:$E,'Gap Analysis update'!$B93,'RCS Initiatives'!$A:$A,'Gap Analysis update'!$A93,'RCS Initiatives'!$B:$B,'Gap Analysis update'!O$2,'RCS Initiatives'!$C:$C,'Gap Analysis update'!$B$72)</f>
        <v>0</v>
      </c>
      <c r="P93" s="298">
        <f>SUMIFS('RCS Initiatives'!K:K,'RCS Initiatives'!$E:$E,'Gap Analysis update'!$B93,'RCS Initiatives'!$A:$A,'Gap Analysis update'!$A93,'RCS Initiatives'!$B:$B,'Gap Analysis update'!P$2)-SUMIFS('RCS Initiatives'!K:K,'RCS Initiatives'!$E:$E,'Gap Analysis update'!$B93,'RCS Initiatives'!$A:$A,'Gap Analysis update'!$A93,'RCS Initiatives'!$B:$B,'Gap Analysis update'!P$2,'RCS Initiatives'!$C:$C,'Gap Analysis update'!$B$72)</f>
        <v>0</v>
      </c>
      <c r="Q93" s="298">
        <f>SUMIFS('RCS Initiatives'!L:L,'RCS Initiatives'!$E:$E,'Gap Analysis update'!$B93,'RCS Initiatives'!$A:$A,'Gap Analysis update'!$A93,'RCS Initiatives'!$B:$B,'Gap Analysis update'!Q$2)-SUMIFS('RCS Initiatives'!L:L,'RCS Initiatives'!$E:$E,'Gap Analysis update'!$B93,'RCS Initiatives'!$A:$A,'Gap Analysis update'!$A93,'RCS Initiatives'!$B:$B,'Gap Analysis update'!Q$2,'RCS Initiatives'!$C:$C,'Gap Analysis update'!$B$72)</f>
        <v>0</v>
      </c>
      <c r="R93" s="298">
        <f>SUMIFS('RCS Initiatives'!M:M,'RCS Initiatives'!$E:$E,'Gap Analysis update'!$B93,'RCS Initiatives'!$A:$A,'Gap Analysis update'!$A93,'RCS Initiatives'!$B:$B,'Gap Analysis update'!R$2)-SUMIFS('RCS Initiatives'!M:M,'RCS Initiatives'!$E:$E,'Gap Analysis update'!$B93,'RCS Initiatives'!$A:$A,'Gap Analysis update'!$A93,'RCS Initiatives'!$B:$B,'Gap Analysis update'!R$2,'RCS Initiatives'!$C:$C,'Gap Analysis update'!$B$72)</f>
        <v>0</v>
      </c>
      <c r="S93" s="298">
        <f>SUMIFS('RCS Initiatives'!N:N,'RCS Initiatives'!$E:$E,'Gap Analysis update'!$B93,'RCS Initiatives'!$A:$A,'Gap Analysis update'!$A93,'RCS Initiatives'!$B:$B,'Gap Analysis update'!S$2)-SUMIFS('RCS Initiatives'!N:N,'RCS Initiatives'!$E:$E,'Gap Analysis update'!$B93,'RCS Initiatives'!$A:$A,'Gap Analysis update'!$A93,'RCS Initiatives'!$B:$B,'Gap Analysis update'!S$2,'RCS Initiatives'!$C:$C,'Gap Analysis update'!$B$72)</f>
        <v>0</v>
      </c>
      <c r="T93" s="298">
        <f>SUMIFS('RCS Initiatives'!O:O,'RCS Initiatives'!$E:$E,'Gap Analysis update'!$B93,'RCS Initiatives'!$A:$A,'Gap Analysis update'!$A93,'RCS Initiatives'!$B:$B,'Gap Analysis update'!T$2)-SUMIFS('RCS Initiatives'!O:O,'RCS Initiatives'!$E:$E,'Gap Analysis update'!$B93,'RCS Initiatives'!$A:$A,'Gap Analysis update'!$A93,'RCS Initiatives'!$B:$B,'Gap Analysis update'!T$2,'RCS Initiatives'!$C:$C,'Gap Analysis update'!$B$72)</f>
        <v>0</v>
      </c>
      <c r="U93" s="298">
        <f>SUMIFS('RCS Initiatives'!P:P,'RCS Initiatives'!$E:$E,'Gap Analysis update'!$B93,'RCS Initiatives'!$A:$A,'Gap Analysis update'!$A93,'RCS Initiatives'!$B:$B,'Gap Analysis update'!U$2)-SUMIFS('RCS Initiatives'!P:P,'RCS Initiatives'!$E:$E,'Gap Analysis update'!$B93,'RCS Initiatives'!$A:$A,'Gap Analysis update'!$A93,'RCS Initiatives'!$B:$B,'Gap Analysis update'!U$2,'RCS Initiatives'!$C:$C,'Gap Analysis update'!$B$72)</f>
        <v>0</v>
      </c>
      <c r="V93" s="298">
        <f>SUMIFS('RCS Initiatives'!Q:Q,'RCS Initiatives'!$E:$E,'Gap Analysis update'!$B93,'RCS Initiatives'!$A:$A,'Gap Analysis update'!$A93,'RCS Initiatives'!$B:$B,'Gap Analysis update'!V$2)-SUMIFS('RCS Initiatives'!Q:Q,'RCS Initiatives'!$E:$E,'Gap Analysis update'!$B93,'RCS Initiatives'!$A:$A,'Gap Analysis update'!$A93,'RCS Initiatives'!$B:$B,'Gap Analysis update'!V$2,'RCS Initiatives'!$C:$C,'Gap Analysis update'!$B$72)</f>
        <v>0</v>
      </c>
      <c r="W93" s="298">
        <f>SUMIFS('RCS Initiatives'!R:R,'RCS Initiatives'!$E:$E,'Gap Analysis update'!$B93,'RCS Initiatives'!$A:$A,'Gap Analysis update'!$A93,'RCS Initiatives'!$B:$B,'Gap Analysis update'!W$2)-SUMIFS('RCS Initiatives'!R:R,'RCS Initiatives'!$E:$E,'Gap Analysis update'!$B93,'RCS Initiatives'!$A:$A,'Gap Analysis update'!$A93,'RCS Initiatives'!$B:$B,'Gap Analysis update'!W$2,'RCS Initiatives'!$C:$C,'Gap Analysis update'!$B$72)</f>
        <v>0</v>
      </c>
      <c r="Z93" s="293"/>
      <c r="AD93" s="298">
        <f>SUMIFS('RCS Initiatives'!G:G,'RCS Initiatives'!$E:$E,'Gap Analysis update'!$B93,'RCS Initiatives'!$A:$A,'Gap Analysis update'!$A93,'RCS Initiatives'!$B:$B,'Gap Analysis update'!AD$2)-SUMIFS('RCS Initiatives'!G:G,'RCS Initiatives'!$E:$E,'Gap Analysis update'!$B93,'RCS Initiatives'!$A:$A,'Gap Analysis update'!$A93,'RCS Initiatives'!$B:$B,'Gap Analysis update'!AD$2,'RCS Initiatives'!$C:$C,'Gap Analysis update'!$B$72)</f>
        <v>0</v>
      </c>
      <c r="AE93" s="298">
        <f>SUMIFS('RCS Initiatives'!H:H,'RCS Initiatives'!$E:$E,'Gap Analysis update'!$B93,'RCS Initiatives'!$A:$A,'Gap Analysis update'!$A93,'RCS Initiatives'!$B:$B,'Gap Analysis update'!AE$2)-SUMIFS('RCS Initiatives'!H:H,'RCS Initiatives'!$E:$E,'Gap Analysis update'!$B93,'RCS Initiatives'!$A:$A,'Gap Analysis update'!$A93,'RCS Initiatives'!$B:$B,'Gap Analysis update'!AE$2,'RCS Initiatives'!$C:$C,'Gap Analysis update'!$B$72)</f>
        <v>0</v>
      </c>
      <c r="AF93" s="298">
        <f>SUMIFS('RCS Initiatives'!I:I,'RCS Initiatives'!$E:$E,'Gap Analysis update'!$B93,'RCS Initiatives'!$A:$A,'Gap Analysis update'!$A93,'RCS Initiatives'!$B:$B,'Gap Analysis update'!AF$2)-SUMIFS('RCS Initiatives'!I:I,'RCS Initiatives'!$E:$E,'Gap Analysis update'!$B93,'RCS Initiatives'!$A:$A,'Gap Analysis update'!$A93,'RCS Initiatives'!$B:$B,'Gap Analysis update'!AF$2,'RCS Initiatives'!$C:$C,'Gap Analysis update'!$B$72)</f>
        <v>0</v>
      </c>
      <c r="AG93" s="298">
        <f>SUMIFS('RCS Initiatives'!J:J,'RCS Initiatives'!$E:$E,'Gap Analysis update'!$B93,'RCS Initiatives'!$A:$A,'Gap Analysis update'!$A93,'RCS Initiatives'!$B:$B,'Gap Analysis update'!AG$2)-SUMIFS('RCS Initiatives'!J:J,'RCS Initiatives'!$E:$E,'Gap Analysis update'!$B93,'RCS Initiatives'!$A:$A,'Gap Analysis update'!$A93,'RCS Initiatives'!$B:$B,'Gap Analysis update'!AG$2,'RCS Initiatives'!$C:$C,'Gap Analysis update'!$B$72)</f>
        <v>0</v>
      </c>
      <c r="AH93" s="298">
        <f>SUMIFS('RCS Initiatives'!K:K,'RCS Initiatives'!$E:$E,'Gap Analysis update'!$B93,'RCS Initiatives'!$A:$A,'Gap Analysis update'!$A93,'RCS Initiatives'!$B:$B,'Gap Analysis update'!AH$2)-SUMIFS('RCS Initiatives'!K:K,'RCS Initiatives'!$E:$E,'Gap Analysis update'!$B93,'RCS Initiatives'!$A:$A,'Gap Analysis update'!$A93,'RCS Initiatives'!$B:$B,'Gap Analysis update'!AH$2,'RCS Initiatives'!$C:$C,'Gap Analysis update'!$B$72)</f>
        <v>0</v>
      </c>
      <c r="AI93" s="298">
        <f>SUMIFS('RCS Initiatives'!L:L,'RCS Initiatives'!$E:$E,'Gap Analysis update'!$B93,'RCS Initiatives'!$A:$A,'Gap Analysis update'!$A93,'RCS Initiatives'!$B:$B,'Gap Analysis update'!AI$2)-SUMIFS('RCS Initiatives'!L:L,'RCS Initiatives'!$E:$E,'Gap Analysis update'!$B93,'RCS Initiatives'!$A:$A,'Gap Analysis update'!$A93,'RCS Initiatives'!$B:$B,'Gap Analysis update'!AI$2,'RCS Initiatives'!$C:$C,'Gap Analysis update'!$B$72)</f>
        <v>0</v>
      </c>
      <c r="AJ93" s="298">
        <f>SUMIFS('RCS Initiatives'!M:M,'RCS Initiatives'!$E:$E,'Gap Analysis update'!$B93,'RCS Initiatives'!$A:$A,'Gap Analysis update'!$A93,'RCS Initiatives'!$B:$B,'Gap Analysis update'!AJ$2)-SUMIFS('RCS Initiatives'!M:M,'RCS Initiatives'!$E:$E,'Gap Analysis update'!$B93,'RCS Initiatives'!$A:$A,'Gap Analysis update'!$A93,'RCS Initiatives'!$B:$B,'Gap Analysis update'!AJ$2,'RCS Initiatives'!$C:$C,'Gap Analysis update'!$B$72)</f>
        <v>3.6856880059666832E-3</v>
      </c>
      <c r="AK93" s="298">
        <f>SUMIFS('RCS Initiatives'!N:N,'RCS Initiatives'!$E:$E,'Gap Analysis update'!$B93,'RCS Initiatives'!$A:$A,'Gap Analysis update'!$A93,'RCS Initiatives'!$B:$B,'Gap Analysis update'!AK$2)-SUMIFS('RCS Initiatives'!N:N,'RCS Initiatives'!$E:$E,'Gap Analysis update'!$B93,'RCS Initiatives'!$A:$A,'Gap Analysis update'!$A93,'RCS Initiatives'!$B:$B,'Gap Analysis update'!AK$2,'RCS Initiatives'!$C:$C,'Gap Analysis update'!$B$72)</f>
        <v>0</v>
      </c>
      <c r="AL93" s="298">
        <f>SUMIFS('RCS Initiatives'!O:O,'RCS Initiatives'!$E:$E,'Gap Analysis update'!$B93,'RCS Initiatives'!$A:$A,'Gap Analysis update'!$A93,'RCS Initiatives'!$B:$B,'Gap Analysis update'!AL$2)-SUMIFS('RCS Initiatives'!O:O,'RCS Initiatives'!$E:$E,'Gap Analysis update'!$B93,'RCS Initiatives'!$A:$A,'Gap Analysis update'!$A93,'RCS Initiatives'!$B:$B,'Gap Analysis update'!AL$2,'RCS Initiatives'!$C:$C,'Gap Analysis update'!$B$72)</f>
        <v>0</v>
      </c>
      <c r="AM93" s="298">
        <f>SUMIFS('RCS Initiatives'!P:P,'RCS Initiatives'!$E:$E,'Gap Analysis update'!$B93,'RCS Initiatives'!$A:$A,'Gap Analysis update'!$A93,'RCS Initiatives'!$B:$B,'Gap Analysis update'!AM$2)-SUMIFS('RCS Initiatives'!P:P,'RCS Initiatives'!$E:$E,'Gap Analysis update'!$B93,'RCS Initiatives'!$A:$A,'Gap Analysis update'!$A93,'RCS Initiatives'!$B:$B,'Gap Analysis update'!AM$2,'RCS Initiatives'!$C:$C,'Gap Analysis update'!$B$72)</f>
        <v>0</v>
      </c>
      <c r="AN93" s="298">
        <f>SUMIFS('RCS Initiatives'!Q:Q,'RCS Initiatives'!$E:$E,'Gap Analysis update'!$B93,'RCS Initiatives'!$A:$A,'Gap Analysis update'!$A93,'RCS Initiatives'!$B:$B,'Gap Analysis update'!AN$2)-SUMIFS('RCS Initiatives'!Q:Q,'RCS Initiatives'!$E:$E,'Gap Analysis update'!$B93,'RCS Initiatives'!$A:$A,'Gap Analysis update'!$A93,'RCS Initiatives'!$B:$B,'Gap Analysis update'!AN$2,'RCS Initiatives'!$C:$C,'Gap Analysis update'!$B$72)</f>
        <v>0</v>
      </c>
      <c r="AO93" s="298">
        <f>SUMIFS('RCS Initiatives'!R:R,'RCS Initiatives'!$E:$E,'Gap Analysis update'!$B93,'RCS Initiatives'!$A:$A,'Gap Analysis update'!$A93,'RCS Initiatives'!$B:$B,'Gap Analysis update'!AO$2)-SUMIFS('RCS Initiatives'!R:R,'RCS Initiatives'!$E:$E,'Gap Analysis update'!$B93,'RCS Initiatives'!$A:$A,'Gap Analysis update'!$A93,'RCS Initiatives'!$B:$B,'Gap Analysis update'!AO$2,'RCS Initiatives'!$C:$C,'Gap Analysis update'!$B$72)</f>
        <v>0</v>
      </c>
      <c r="AR93" s="293"/>
      <c r="AS93" s="303"/>
      <c r="AT93" s="289">
        <f t="shared" si="165"/>
        <v>0</v>
      </c>
      <c r="AU93" s="303">
        <f t="shared" si="120"/>
        <v>0</v>
      </c>
      <c r="AV93" s="303">
        <f t="shared" si="121"/>
        <v>0</v>
      </c>
      <c r="AW93" s="303">
        <f t="shared" si="122"/>
        <v>0</v>
      </c>
      <c r="AX93" s="303">
        <f>AF93-N93</f>
        <v>0</v>
      </c>
      <c r="AY93" s="303">
        <f>AG93-O93</f>
        <v>0</v>
      </c>
      <c r="AZ93" s="303">
        <f>AH93-P93</f>
        <v>0</v>
      </c>
      <c r="BA93" s="303">
        <f>AI93-Q93</f>
        <v>0</v>
      </c>
      <c r="BB93" s="303">
        <f>AJ93-R93</f>
        <v>3.6856880059666832E-3</v>
      </c>
      <c r="BC93" s="303">
        <f t="shared" si="123"/>
        <v>0</v>
      </c>
      <c r="BD93" s="303">
        <f t="shared" si="124"/>
        <v>0</v>
      </c>
      <c r="BE93" s="303">
        <f t="shared" si="125"/>
        <v>0</v>
      </c>
      <c r="BF93" s="303">
        <f t="shared" si="126"/>
        <v>0</v>
      </c>
      <c r="BG93" s="303">
        <f t="shared" si="166"/>
        <v>0</v>
      </c>
      <c r="BH93" s="303">
        <f t="shared" si="127"/>
        <v>0</v>
      </c>
      <c r="BI93" s="303">
        <f t="shared" si="128"/>
        <v>0</v>
      </c>
      <c r="BJ93" s="293"/>
      <c r="BK93" s="288"/>
      <c r="BL93" s="288"/>
      <c r="BM93" s="288"/>
      <c r="BN93" s="288"/>
      <c r="BO93" s="288"/>
      <c r="BP93" s="288"/>
      <c r="BQ93" s="288"/>
      <c r="BR93" s="288"/>
      <c r="BS93" s="288"/>
      <c r="BT93" s="288"/>
      <c r="BU93" s="288"/>
      <c r="BV93" s="288"/>
      <c r="BW93" s="288"/>
      <c r="BX93" s="288"/>
      <c r="BY93" s="288"/>
      <c r="BZ93" s="288"/>
      <c r="CA93" s="288"/>
      <c r="CB93" s="288"/>
    </row>
    <row r="94" spans="1:80" s="298" customFormat="1" ht="13">
      <c r="A94" s="296" t="s">
        <v>153</v>
      </c>
      <c r="B94" s="287" t="s">
        <v>142</v>
      </c>
      <c r="C94" s="288">
        <f t="shared" si="167"/>
        <v>0</v>
      </c>
      <c r="D94" s="289">
        <f t="shared" si="168"/>
        <v>0</v>
      </c>
      <c r="E94" s="289">
        <f t="shared" si="169"/>
        <v>0</v>
      </c>
      <c r="F94" s="286"/>
      <c r="G94" s="308"/>
      <c r="H94" s="297"/>
      <c r="K94" s="288"/>
      <c r="L94" s="298">
        <f>SUMIFS('RCS Initiatives'!G:G,'RCS Initiatives'!$E:$E,'Gap Analysis update'!$B94,'RCS Initiatives'!$A:$A,'Gap Analysis update'!$A94,'RCS Initiatives'!$B:$B,'Gap Analysis update'!L$2)-SUMIFS('RCS Initiatives'!G:G,'RCS Initiatives'!$E:$E,'Gap Analysis update'!$B94,'RCS Initiatives'!$A:$A,'Gap Analysis update'!$A94,'RCS Initiatives'!$B:$B,'Gap Analysis update'!L$2,'RCS Initiatives'!$C:$C,'Gap Analysis update'!$B$72)</f>
        <v>0</v>
      </c>
      <c r="M94" s="298">
        <f>SUMIFS('RCS Initiatives'!H:H,'RCS Initiatives'!$E:$E,'Gap Analysis update'!$B94,'RCS Initiatives'!$A:$A,'Gap Analysis update'!$A94,'RCS Initiatives'!$B:$B,'Gap Analysis update'!M$2)-SUMIFS('RCS Initiatives'!H:H,'RCS Initiatives'!$E:$E,'Gap Analysis update'!$B94,'RCS Initiatives'!$A:$A,'Gap Analysis update'!$A94,'RCS Initiatives'!$B:$B,'Gap Analysis update'!M$2,'RCS Initiatives'!$C:$C,'Gap Analysis update'!$B$72)</f>
        <v>0</v>
      </c>
      <c r="N94" s="298">
        <f>SUMIFS('RCS Initiatives'!I:I,'RCS Initiatives'!$E:$E,'Gap Analysis update'!$B94,'RCS Initiatives'!$A:$A,'Gap Analysis update'!$A94,'RCS Initiatives'!$B:$B,'Gap Analysis update'!N$2)-SUMIFS('RCS Initiatives'!I:I,'RCS Initiatives'!$E:$E,'Gap Analysis update'!$B94,'RCS Initiatives'!$A:$A,'Gap Analysis update'!$A94,'RCS Initiatives'!$B:$B,'Gap Analysis update'!N$2,'RCS Initiatives'!$C:$C,'Gap Analysis update'!$B$72)</f>
        <v>0</v>
      </c>
      <c r="O94" s="298">
        <f>SUMIFS('RCS Initiatives'!J:J,'RCS Initiatives'!$E:$E,'Gap Analysis update'!$B94,'RCS Initiatives'!$A:$A,'Gap Analysis update'!$A94,'RCS Initiatives'!$B:$B,'Gap Analysis update'!O$2)-SUMIFS('RCS Initiatives'!J:J,'RCS Initiatives'!$E:$E,'Gap Analysis update'!$B94,'RCS Initiatives'!$A:$A,'Gap Analysis update'!$A94,'RCS Initiatives'!$B:$B,'Gap Analysis update'!O$2,'RCS Initiatives'!$C:$C,'Gap Analysis update'!$B$72)</f>
        <v>0</v>
      </c>
      <c r="P94" s="298">
        <f>SUMIFS('RCS Initiatives'!K:K,'RCS Initiatives'!$E:$E,'Gap Analysis update'!$B94,'RCS Initiatives'!$A:$A,'Gap Analysis update'!$A94,'RCS Initiatives'!$B:$B,'Gap Analysis update'!P$2)-SUMIFS('RCS Initiatives'!K:K,'RCS Initiatives'!$E:$E,'Gap Analysis update'!$B94,'RCS Initiatives'!$A:$A,'Gap Analysis update'!$A94,'RCS Initiatives'!$B:$B,'Gap Analysis update'!P$2,'RCS Initiatives'!$C:$C,'Gap Analysis update'!$B$72)</f>
        <v>0</v>
      </c>
      <c r="Q94" s="298">
        <f>SUMIFS('RCS Initiatives'!L:L,'RCS Initiatives'!$E:$E,'Gap Analysis update'!$B94,'RCS Initiatives'!$A:$A,'Gap Analysis update'!$A94,'RCS Initiatives'!$B:$B,'Gap Analysis update'!Q$2)-SUMIFS('RCS Initiatives'!L:L,'RCS Initiatives'!$E:$E,'Gap Analysis update'!$B94,'RCS Initiatives'!$A:$A,'Gap Analysis update'!$A94,'RCS Initiatives'!$B:$B,'Gap Analysis update'!Q$2,'RCS Initiatives'!$C:$C,'Gap Analysis update'!$B$72)</f>
        <v>0</v>
      </c>
      <c r="R94" s="298">
        <f>SUMIFS('RCS Initiatives'!M:M,'RCS Initiatives'!$E:$E,'Gap Analysis update'!$B94,'RCS Initiatives'!$A:$A,'Gap Analysis update'!$A94,'RCS Initiatives'!$B:$B,'Gap Analysis update'!R$2)-SUMIFS('RCS Initiatives'!M:M,'RCS Initiatives'!$E:$E,'Gap Analysis update'!$B94,'RCS Initiatives'!$A:$A,'Gap Analysis update'!$A94,'RCS Initiatives'!$B:$B,'Gap Analysis update'!R$2,'RCS Initiatives'!$C:$C,'Gap Analysis update'!$B$72)</f>
        <v>0</v>
      </c>
      <c r="S94" s="298">
        <f>SUMIFS('RCS Initiatives'!N:N,'RCS Initiatives'!$E:$E,'Gap Analysis update'!$B94,'RCS Initiatives'!$A:$A,'Gap Analysis update'!$A94,'RCS Initiatives'!$B:$B,'Gap Analysis update'!S$2)-SUMIFS('RCS Initiatives'!N:N,'RCS Initiatives'!$E:$E,'Gap Analysis update'!$B94,'RCS Initiatives'!$A:$A,'Gap Analysis update'!$A94,'RCS Initiatives'!$B:$B,'Gap Analysis update'!S$2,'RCS Initiatives'!$C:$C,'Gap Analysis update'!$B$72)</f>
        <v>0</v>
      </c>
      <c r="T94" s="298">
        <f>SUMIFS('RCS Initiatives'!O:O,'RCS Initiatives'!$E:$E,'Gap Analysis update'!$B94,'RCS Initiatives'!$A:$A,'Gap Analysis update'!$A94,'RCS Initiatives'!$B:$B,'Gap Analysis update'!T$2)-SUMIFS('RCS Initiatives'!O:O,'RCS Initiatives'!$E:$E,'Gap Analysis update'!$B94,'RCS Initiatives'!$A:$A,'Gap Analysis update'!$A94,'RCS Initiatives'!$B:$B,'Gap Analysis update'!T$2,'RCS Initiatives'!$C:$C,'Gap Analysis update'!$B$72)</f>
        <v>0</v>
      </c>
      <c r="U94" s="298">
        <f>SUMIFS('RCS Initiatives'!P:P,'RCS Initiatives'!$E:$E,'Gap Analysis update'!$B94,'RCS Initiatives'!$A:$A,'Gap Analysis update'!$A94,'RCS Initiatives'!$B:$B,'Gap Analysis update'!U$2)-SUMIFS('RCS Initiatives'!P:P,'RCS Initiatives'!$E:$E,'Gap Analysis update'!$B94,'RCS Initiatives'!$A:$A,'Gap Analysis update'!$A94,'RCS Initiatives'!$B:$B,'Gap Analysis update'!U$2,'RCS Initiatives'!$C:$C,'Gap Analysis update'!$B$72)</f>
        <v>0</v>
      </c>
      <c r="V94" s="298">
        <f>SUMIFS('RCS Initiatives'!Q:Q,'RCS Initiatives'!$E:$E,'Gap Analysis update'!$B94,'RCS Initiatives'!$A:$A,'Gap Analysis update'!$A94,'RCS Initiatives'!$B:$B,'Gap Analysis update'!V$2)-SUMIFS('RCS Initiatives'!Q:Q,'RCS Initiatives'!$E:$E,'Gap Analysis update'!$B94,'RCS Initiatives'!$A:$A,'Gap Analysis update'!$A94,'RCS Initiatives'!$B:$B,'Gap Analysis update'!V$2,'RCS Initiatives'!$C:$C,'Gap Analysis update'!$B$72)</f>
        <v>0</v>
      </c>
      <c r="W94" s="298">
        <f>SUMIFS('RCS Initiatives'!R:R,'RCS Initiatives'!$E:$E,'Gap Analysis update'!$B94,'RCS Initiatives'!$A:$A,'Gap Analysis update'!$A94,'RCS Initiatives'!$B:$B,'Gap Analysis update'!W$2)-SUMIFS('RCS Initiatives'!R:R,'RCS Initiatives'!$E:$E,'Gap Analysis update'!$B94,'RCS Initiatives'!$A:$A,'Gap Analysis update'!$A94,'RCS Initiatives'!$B:$B,'Gap Analysis update'!W$2,'RCS Initiatives'!$C:$C,'Gap Analysis update'!$B$72)</f>
        <v>0</v>
      </c>
      <c r="Z94" s="293"/>
      <c r="AD94" s="298">
        <f>SUMIFS('RCS Initiatives'!G:G,'RCS Initiatives'!$E:$E,'Gap Analysis update'!$B94,'RCS Initiatives'!$A:$A,'Gap Analysis update'!$A94,'RCS Initiatives'!$B:$B,'Gap Analysis update'!AD$2)-SUMIFS('RCS Initiatives'!G:G,'RCS Initiatives'!$E:$E,'Gap Analysis update'!$B94,'RCS Initiatives'!$A:$A,'Gap Analysis update'!$A94,'RCS Initiatives'!$B:$B,'Gap Analysis update'!AD$2,'RCS Initiatives'!$C:$C,'Gap Analysis update'!$B$72)</f>
        <v>0</v>
      </c>
      <c r="AE94" s="298">
        <f>SUMIFS('RCS Initiatives'!H:H,'RCS Initiatives'!$E:$E,'Gap Analysis update'!$B94,'RCS Initiatives'!$A:$A,'Gap Analysis update'!$A94,'RCS Initiatives'!$B:$B,'Gap Analysis update'!AE$2)-SUMIFS('RCS Initiatives'!H:H,'RCS Initiatives'!$E:$E,'Gap Analysis update'!$B94,'RCS Initiatives'!$A:$A,'Gap Analysis update'!$A94,'RCS Initiatives'!$B:$B,'Gap Analysis update'!AE$2,'RCS Initiatives'!$C:$C,'Gap Analysis update'!$B$72)</f>
        <v>0</v>
      </c>
      <c r="AF94" s="298">
        <f>SUMIFS('RCS Initiatives'!I:I,'RCS Initiatives'!$E:$E,'Gap Analysis update'!$B94,'RCS Initiatives'!$A:$A,'Gap Analysis update'!$A94,'RCS Initiatives'!$B:$B,'Gap Analysis update'!AF$2)-SUMIFS('RCS Initiatives'!I:I,'RCS Initiatives'!$E:$E,'Gap Analysis update'!$B94,'RCS Initiatives'!$A:$A,'Gap Analysis update'!$A94,'RCS Initiatives'!$B:$B,'Gap Analysis update'!AF$2,'RCS Initiatives'!$C:$C,'Gap Analysis update'!$B$72)</f>
        <v>0</v>
      </c>
      <c r="AG94" s="298">
        <f>SUMIFS('RCS Initiatives'!J:J,'RCS Initiatives'!$E:$E,'Gap Analysis update'!$B94,'RCS Initiatives'!$A:$A,'Gap Analysis update'!$A94,'RCS Initiatives'!$B:$B,'Gap Analysis update'!AG$2)-SUMIFS('RCS Initiatives'!J:J,'RCS Initiatives'!$E:$E,'Gap Analysis update'!$B94,'RCS Initiatives'!$A:$A,'Gap Analysis update'!$A94,'RCS Initiatives'!$B:$B,'Gap Analysis update'!AG$2,'RCS Initiatives'!$C:$C,'Gap Analysis update'!$B$72)</f>
        <v>0</v>
      </c>
      <c r="AH94" s="298">
        <f>SUMIFS('RCS Initiatives'!K:K,'RCS Initiatives'!$E:$E,'Gap Analysis update'!$B94,'RCS Initiatives'!$A:$A,'Gap Analysis update'!$A94,'RCS Initiatives'!$B:$B,'Gap Analysis update'!AH$2)-SUMIFS('RCS Initiatives'!K:K,'RCS Initiatives'!$E:$E,'Gap Analysis update'!$B94,'RCS Initiatives'!$A:$A,'Gap Analysis update'!$A94,'RCS Initiatives'!$B:$B,'Gap Analysis update'!AH$2,'RCS Initiatives'!$C:$C,'Gap Analysis update'!$B$72)</f>
        <v>0</v>
      </c>
      <c r="AI94" s="298">
        <f>SUMIFS('RCS Initiatives'!L:L,'RCS Initiatives'!$E:$E,'Gap Analysis update'!$B94,'RCS Initiatives'!$A:$A,'Gap Analysis update'!$A94,'RCS Initiatives'!$B:$B,'Gap Analysis update'!AI$2)-SUMIFS('RCS Initiatives'!L:L,'RCS Initiatives'!$E:$E,'Gap Analysis update'!$B94,'RCS Initiatives'!$A:$A,'Gap Analysis update'!$A94,'RCS Initiatives'!$B:$B,'Gap Analysis update'!AI$2,'RCS Initiatives'!$C:$C,'Gap Analysis update'!$B$72)</f>
        <v>0</v>
      </c>
      <c r="AJ94" s="298">
        <f>SUMIFS('RCS Initiatives'!M:M,'RCS Initiatives'!$E:$E,'Gap Analysis update'!$B94,'RCS Initiatives'!$A:$A,'Gap Analysis update'!$A94,'RCS Initiatives'!$B:$B,'Gap Analysis update'!AJ$2)-SUMIFS('RCS Initiatives'!M:M,'RCS Initiatives'!$E:$E,'Gap Analysis update'!$B94,'RCS Initiatives'!$A:$A,'Gap Analysis update'!$A94,'RCS Initiatives'!$B:$B,'Gap Analysis update'!AJ$2,'RCS Initiatives'!$C:$C,'Gap Analysis update'!$B$72)</f>
        <v>0</v>
      </c>
      <c r="AK94" s="298">
        <f>SUMIFS('RCS Initiatives'!N:N,'RCS Initiatives'!$E:$E,'Gap Analysis update'!$B94,'RCS Initiatives'!$A:$A,'Gap Analysis update'!$A94,'RCS Initiatives'!$B:$B,'Gap Analysis update'!AK$2)-SUMIFS('RCS Initiatives'!N:N,'RCS Initiatives'!$E:$E,'Gap Analysis update'!$B94,'RCS Initiatives'!$A:$A,'Gap Analysis update'!$A94,'RCS Initiatives'!$B:$B,'Gap Analysis update'!AK$2,'RCS Initiatives'!$C:$C,'Gap Analysis update'!$B$72)</f>
        <v>0</v>
      </c>
      <c r="AL94" s="298">
        <f>SUMIFS('RCS Initiatives'!O:O,'RCS Initiatives'!$E:$E,'Gap Analysis update'!$B94,'RCS Initiatives'!$A:$A,'Gap Analysis update'!$A94,'RCS Initiatives'!$B:$B,'Gap Analysis update'!AL$2)-SUMIFS('RCS Initiatives'!O:O,'RCS Initiatives'!$E:$E,'Gap Analysis update'!$B94,'RCS Initiatives'!$A:$A,'Gap Analysis update'!$A94,'RCS Initiatives'!$B:$B,'Gap Analysis update'!AL$2,'RCS Initiatives'!$C:$C,'Gap Analysis update'!$B$72)</f>
        <v>0</v>
      </c>
      <c r="AM94" s="298">
        <f>SUMIFS('RCS Initiatives'!P:P,'RCS Initiatives'!$E:$E,'Gap Analysis update'!$B94,'RCS Initiatives'!$A:$A,'Gap Analysis update'!$A94,'RCS Initiatives'!$B:$B,'Gap Analysis update'!AM$2)-SUMIFS('RCS Initiatives'!P:P,'RCS Initiatives'!$E:$E,'Gap Analysis update'!$B94,'RCS Initiatives'!$A:$A,'Gap Analysis update'!$A94,'RCS Initiatives'!$B:$B,'Gap Analysis update'!AM$2,'RCS Initiatives'!$C:$C,'Gap Analysis update'!$B$72)</f>
        <v>0</v>
      </c>
      <c r="AN94" s="298">
        <f>SUMIFS('RCS Initiatives'!Q:Q,'RCS Initiatives'!$E:$E,'Gap Analysis update'!$B94,'RCS Initiatives'!$A:$A,'Gap Analysis update'!$A94,'RCS Initiatives'!$B:$B,'Gap Analysis update'!AN$2)-SUMIFS('RCS Initiatives'!Q:Q,'RCS Initiatives'!$E:$E,'Gap Analysis update'!$B94,'RCS Initiatives'!$A:$A,'Gap Analysis update'!$A94,'RCS Initiatives'!$B:$B,'Gap Analysis update'!AN$2,'RCS Initiatives'!$C:$C,'Gap Analysis update'!$B$72)</f>
        <v>0</v>
      </c>
      <c r="AO94" s="298">
        <f>SUMIFS('RCS Initiatives'!R:R,'RCS Initiatives'!$E:$E,'Gap Analysis update'!$B94,'RCS Initiatives'!$A:$A,'Gap Analysis update'!$A94,'RCS Initiatives'!$B:$B,'Gap Analysis update'!AO$2)-SUMIFS('RCS Initiatives'!R:R,'RCS Initiatives'!$E:$E,'Gap Analysis update'!$B94,'RCS Initiatives'!$A:$A,'Gap Analysis update'!$A94,'RCS Initiatives'!$B:$B,'Gap Analysis update'!AO$2,'RCS Initiatives'!$C:$C,'Gap Analysis update'!$B$72)</f>
        <v>0</v>
      </c>
      <c r="AR94" s="293"/>
      <c r="AS94" s="303"/>
      <c r="AT94" s="289">
        <f t="shared" si="165"/>
        <v>0</v>
      </c>
      <c r="AU94" s="303">
        <f t="shared" si="120"/>
        <v>0</v>
      </c>
      <c r="AV94" s="303">
        <f t="shared" si="121"/>
        <v>0</v>
      </c>
      <c r="AW94" s="303">
        <f t="shared" si="122"/>
        <v>0</v>
      </c>
      <c r="AX94" s="303">
        <f t="shared" ref="AX94:AX96" si="170">AF94-N94</f>
        <v>0</v>
      </c>
      <c r="AY94" s="303">
        <f t="shared" ref="AY94:AY96" si="171">AG94-O94</f>
        <v>0</v>
      </c>
      <c r="AZ94" s="303">
        <f t="shared" ref="AZ94:AZ96" si="172">AH94-P94</f>
        <v>0</v>
      </c>
      <c r="BA94" s="303">
        <f t="shared" ref="BA94:BA96" si="173">AI94-Q94</f>
        <v>0</v>
      </c>
      <c r="BB94" s="303">
        <f t="shared" ref="BB94:BB96" si="174">AJ94-R94</f>
        <v>0</v>
      </c>
      <c r="BC94" s="303">
        <f t="shared" si="123"/>
        <v>0</v>
      </c>
      <c r="BD94" s="303">
        <f t="shared" si="124"/>
        <v>0</v>
      </c>
      <c r="BE94" s="303">
        <f t="shared" si="125"/>
        <v>0</v>
      </c>
      <c r="BF94" s="303">
        <f t="shared" si="126"/>
        <v>0</v>
      </c>
      <c r="BG94" s="303">
        <f t="shared" si="166"/>
        <v>0</v>
      </c>
      <c r="BH94" s="303">
        <f t="shared" si="127"/>
        <v>0</v>
      </c>
      <c r="BI94" s="303">
        <f t="shared" si="128"/>
        <v>0</v>
      </c>
      <c r="BJ94" s="293"/>
      <c r="BK94" s="288"/>
      <c r="BL94" s="288"/>
      <c r="BM94" s="288"/>
      <c r="BN94" s="288"/>
      <c r="BO94" s="288"/>
      <c r="BP94" s="288"/>
      <c r="BQ94" s="288"/>
      <c r="BR94" s="288"/>
      <c r="BS94" s="288"/>
      <c r="BT94" s="288"/>
      <c r="BU94" s="288"/>
      <c r="BV94" s="288"/>
      <c r="BW94" s="288"/>
      <c r="BX94" s="288"/>
      <c r="BY94" s="288"/>
      <c r="BZ94" s="288"/>
      <c r="CA94" s="288"/>
      <c r="CB94" s="288"/>
    </row>
    <row r="95" spans="1:80" s="298" customFormat="1" ht="13">
      <c r="A95" s="296" t="s">
        <v>153</v>
      </c>
      <c r="B95" s="287" t="s">
        <v>145</v>
      </c>
      <c r="C95" s="288">
        <f t="shared" si="167"/>
        <v>0</v>
      </c>
      <c r="D95" s="289">
        <f t="shared" si="168"/>
        <v>0</v>
      </c>
      <c r="E95" s="289">
        <f t="shared" si="169"/>
        <v>0</v>
      </c>
      <c r="F95" s="286"/>
      <c r="G95" s="286"/>
      <c r="H95" s="297"/>
      <c r="K95" s="288"/>
      <c r="L95" s="298">
        <f>SUMIFS('RCS Initiatives'!G:G,'RCS Initiatives'!$E:$E,'Gap Analysis update'!$B95,'RCS Initiatives'!$A:$A,'Gap Analysis update'!$A95,'RCS Initiatives'!$B:$B,'Gap Analysis update'!L$2)-SUMIFS('RCS Initiatives'!G:G,'RCS Initiatives'!$E:$E,'Gap Analysis update'!$B95,'RCS Initiatives'!$A:$A,'Gap Analysis update'!$A95,'RCS Initiatives'!$B:$B,'Gap Analysis update'!L$2,'RCS Initiatives'!$C:$C,'Gap Analysis update'!$B$72)</f>
        <v>0</v>
      </c>
      <c r="M95" s="298">
        <f>SUMIFS('RCS Initiatives'!H:H,'RCS Initiatives'!$E:$E,'Gap Analysis update'!$B95,'RCS Initiatives'!$A:$A,'Gap Analysis update'!$A95,'RCS Initiatives'!$B:$B,'Gap Analysis update'!M$2)-SUMIFS('RCS Initiatives'!H:H,'RCS Initiatives'!$E:$E,'Gap Analysis update'!$B95,'RCS Initiatives'!$A:$A,'Gap Analysis update'!$A95,'RCS Initiatives'!$B:$B,'Gap Analysis update'!M$2,'RCS Initiatives'!$C:$C,'Gap Analysis update'!$B$72)</f>
        <v>0</v>
      </c>
      <c r="N95" s="298">
        <f>SUMIFS('RCS Initiatives'!I:I,'RCS Initiatives'!$E:$E,'Gap Analysis update'!$B95,'RCS Initiatives'!$A:$A,'Gap Analysis update'!$A95,'RCS Initiatives'!$B:$B,'Gap Analysis update'!N$2)-SUMIFS('RCS Initiatives'!I:I,'RCS Initiatives'!$E:$E,'Gap Analysis update'!$B95,'RCS Initiatives'!$A:$A,'Gap Analysis update'!$A95,'RCS Initiatives'!$B:$B,'Gap Analysis update'!N$2,'RCS Initiatives'!$C:$C,'Gap Analysis update'!$B$72)</f>
        <v>0</v>
      </c>
      <c r="O95" s="298">
        <f>SUMIFS('RCS Initiatives'!J:J,'RCS Initiatives'!$E:$E,'Gap Analysis update'!$B95,'RCS Initiatives'!$A:$A,'Gap Analysis update'!$A95,'RCS Initiatives'!$B:$B,'Gap Analysis update'!O$2)-SUMIFS('RCS Initiatives'!J:J,'RCS Initiatives'!$E:$E,'Gap Analysis update'!$B95,'RCS Initiatives'!$A:$A,'Gap Analysis update'!$A95,'RCS Initiatives'!$B:$B,'Gap Analysis update'!O$2,'RCS Initiatives'!$C:$C,'Gap Analysis update'!$B$72)</f>
        <v>0</v>
      </c>
      <c r="P95" s="298">
        <f>SUMIFS('RCS Initiatives'!K:K,'RCS Initiatives'!$E:$E,'Gap Analysis update'!$B95,'RCS Initiatives'!$A:$A,'Gap Analysis update'!$A95,'RCS Initiatives'!$B:$B,'Gap Analysis update'!P$2)-SUMIFS('RCS Initiatives'!K:K,'RCS Initiatives'!$E:$E,'Gap Analysis update'!$B95,'RCS Initiatives'!$A:$A,'Gap Analysis update'!$A95,'RCS Initiatives'!$B:$B,'Gap Analysis update'!P$2,'RCS Initiatives'!$C:$C,'Gap Analysis update'!$B$72)</f>
        <v>0</v>
      </c>
      <c r="Q95" s="298">
        <f>SUMIFS('RCS Initiatives'!L:L,'RCS Initiatives'!$E:$E,'Gap Analysis update'!$B95,'RCS Initiatives'!$A:$A,'Gap Analysis update'!$A95,'RCS Initiatives'!$B:$B,'Gap Analysis update'!Q$2)-SUMIFS('RCS Initiatives'!L:L,'RCS Initiatives'!$E:$E,'Gap Analysis update'!$B95,'RCS Initiatives'!$A:$A,'Gap Analysis update'!$A95,'RCS Initiatives'!$B:$B,'Gap Analysis update'!Q$2,'RCS Initiatives'!$C:$C,'Gap Analysis update'!$B$72)</f>
        <v>0</v>
      </c>
      <c r="R95" s="298">
        <f>SUMIFS('RCS Initiatives'!M:M,'RCS Initiatives'!$E:$E,'Gap Analysis update'!$B95,'RCS Initiatives'!$A:$A,'Gap Analysis update'!$A95,'RCS Initiatives'!$B:$B,'Gap Analysis update'!R$2)-SUMIFS('RCS Initiatives'!M:M,'RCS Initiatives'!$E:$E,'Gap Analysis update'!$B95,'RCS Initiatives'!$A:$A,'Gap Analysis update'!$A95,'RCS Initiatives'!$B:$B,'Gap Analysis update'!R$2,'RCS Initiatives'!$C:$C,'Gap Analysis update'!$B$72)</f>
        <v>0</v>
      </c>
      <c r="S95" s="298">
        <f>SUMIFS('RCS Initiatives'!N:N,'RCS Initiatives'!$E:$E,'Gap Analysis update'!$B95,'RCS Initiatives'!$A:$A,'Gap Analysis update'!$A95,'RCS Initiatives'!$B:$B,'Gap Analysis update'!S$2)-SUMIFS('RCS Initiatives'!N:N,'RCS Initiatives'!$E:$E,'Gap Analysis update'!$B95,'RCS Initiatives'!$A:$A,'Gap Analysis update'!$A95,'RCS Initiatives'!$B:$B,'Gap Analysis update'!S$2,'RCS Initiatives'!$C:$C,'Gap Analysis update'!$B$72)</f>
        <v>0</v>
      </c>
      <c r="T95" s="298">
        <f>SUMIFS('RCS Initiatives'!O:O,'RCS Initiatives'!$E:$E,'Gap Analysis update'!$B95,'RCS Initiatives'!$A:$A,'Gap Analysis update'!$A95,'RCS Initiatives'!$B:$B,'Gap Analysis update'!T$2)-SUMIFS('RCS Initiatives'!O:O,'RCS Initiatives'!$E:$E,'Gap Analysis update'!$B95,'RCS Initiatives'!$A:$A,'Gap Analysis update'!$A95,'RCS Initiatives'!$B:$B,'Gap Analysis update'!T$2,'RCS Initiatives'!$C:$C,'Gap Analysis update'!$B$72)</f>
        <v>0</v>
      </c>
      <c r="U95" s="298">
        <f>SUMIFS('RCS Initiatives'!P:P,'RCS Initiatives'!$E:$E,'Gap Analysis update'!$B95,'RCS Initiatives'!$A:$A,'Gap Analysis update'!$A95,'RCS Initiatives'!$B:$B,'Gap Analysis update'!U$2)-SUMIFS('RCS Initiatives'!P:P,'RCS Initiatives'!$E:$E,'Gap Analysis update'!$B95,'RCS Initiatives'!$A:$A,'Gap Analysis update'!$A95,'RCS Initiatives'!$B:$B,'Gap Analysis update'!U$2,'RCS Initiatives'!$C:$C,'Gap Analysis update'!$B$72)</f>
        <v>0</v>
      </c>
      <c r="V95" s="298">
        <f>SUMIFS('RCS Initiatives'!Q:Q,'RCS Initiatives'!$E:$E,'Gap Analysis update'!$B95,'RCS Initiatives'!$A:$A,'Gap Analysis update'!$A95,'RCS Initiatives'!$B:$B,'Gap Analysis update'!V$2)-SUMIFS('RCS Initiatives'!Q:Q,'RCS Initiatives'!$E:$E,'Gap Analysis update'!$B95,'RCS Initiatives'!$A:$A,'Gap Analysis update'!$A95,'RCS Initiatives'!$B:$B,'Gap Analysis update'!V$2,'RCS Initiatives'!$C:$C,'Gap Analysis update'!$B$72)</f>
        <v>0</v>
      </c>
      <c r="W95" s="298">
        <f>SUMIFS('RCS Initiatives'!R:R,'RCS Initiatives'!$E:$E,'Gap Analysis update'!$B95,'RCS Initiatives'!$A:$A,'Gap Analysis update'!$A95,'RCS Initiatives'!$B:$B,'Gap Analysis update'!W$2)-SUMIFS('RCS Initiatives'!R:R,'RCS Initiatives'!$E:$E,'Gap Analysis update'!$B95,'RCS Initiatives'!$A:$A,'Gap Analysis update'!$A95,'RCS Initiatives'!$B:$B,'Gap Analysis update'!W$2,'RCS Initiatives'!$C:$C,'Gap Analysis update'!$B$72)</f>
        <v>0</v>
      </c>
      <c r="Z95" s="293"/>
      <c r="AD95" s="298">
        <f>SUMIFS('RCS Initiatives'!G:G,'RCS Initiatives'!$E:$E,'Gap Analysis update'!$B95,'RCS Initiatives'!$A:$A,'Gap Analysis update'!$A95,'RCS Initiatives'!$B:$B,'Gap Analysis update'!AD$2)-SUMIFS('RCS Initiatives'!G:G,'RCS Initiatives'!$E:$E,'Gap Analysis update'!$B95,'RCS Initiatives'!$A:$A,'Gap Analysis update'!$A95,'RCS Initiatives'!$B:$B,'Gap Analysis update'!AD$2,'RCS Initiatives'!$C:$C,'Gap Analysis update'!$B$72)</f>
        <v>0</v>
      </c>
      <c r="AE95" s="298">
        <f>SUMIFS('RCS Initiatives'!H:H,'RCS Initiatives'!$E:$E,'Gap Analysis update'!$B95,'RCS Initiatives'!$A:$A,'Gap Analysis update'!$A95,'RCS Initiatives'!$B:$B,'Gap Analysis update'!AE$2)-SUMIFS('RCS Initiatives'!H:H,'RCS Initiatives'!$E:$E,'Gap Analysis update'!$B95,'RCS Initiatives'!$A:$A,'Gap Analysis update'!$A95,'RCS Initiatives'!$B:$B,'Gap Analysis update'!AE$2,'RCS Initiatives'!$C:$C,'Gap Analysis update'!$B$72)</f>
        <v>0</v>
      </c>
      <c r="AF95" s="298">
        <f>SUMIFS('RCS Initiatives'!I:I,'RCS Initiatives'!$E:$E,'Gap Analysis update'!$B95,'RCS Initiatives'!$A:$A,'Gap Analysis update'!$A95,'RCS Initiatives'!$B:$B,'Gap Analysis update'!AF$2)-SUMIFS('RCS Initiatives'!I:I,'RCS Initiatives'!$E:$E,'Gap Analysis update'!$B95,'RCS Initiatives'!$A:$A,'Gap Analysis update'!$A95,'RCS Initiatives'!$B:$B,'Gap Analysis update'!AF$2,'RCS Initiatives'!$C:$C,'Gap Analysis update'!$B$72)</f>
        <v>0</v>
      </c>
      <c r="AG95" s="298">
        <f>SUMIFS('RCS Initiatives'!J:J,'RCS Initiatives'!$E:$E,'Gap Analysis update'!$B95,'RCS Initiatives'!$A:$A,'Gap Analysis update'!$A95,'RCS Initiatives'!$B:$B,'Gap Analysis update'!AG$2)-SUMIFS('RCS Initiatives'!J:J,'RCS Initiatives'!$E:$E,'Gap Analysis update'!$B95,'RCS Initiatives'!$A:$A,'Gap Analysis update'!$A95,'RCS Initiatives'!$B:$B,'Gap Analysis update'!AG$2,'RCS Initiatives'!$C:$C,'Gap Analysis update'!$B$72)</f>
        <v>0</v>
      </c>
      <c r="AH95" s="298">
        <f>SUMIFS('RCS Initiatives'!K:K,'RCS Initiatives'!$E:$E,'Gap Analysis update'!$B95,'RCS Initiatives'!$A:$A,'Gap Analysis update'!$A95,'RCS Initiatives'!$B:$B,'Gap Analysis update'!AH$2)-SUMIFS('RCS Initiatives'!K:K,'RCS Initiatives'!$E:$E,'Gap Analysis update'!$B95,'RCS Initiatives'!$A:$A,'Gap Analysis update'!$A95,'RCS Initiatives'!$B:$B,'Gap Analysis update'!AH$2,'RCS Initiatives'!$C:$C,'Gap Analysis update'!$B$72)</f>
        <v>0</v>
      </c>
      <c r="AI95" s="298">
        <f>SUMIFS('RCS Initiatives'!L:L,'RCS Initiatives'!$E:$E,'Gap Analysis update'!$B95,'RCS Initiatives'!$A:$A,'Gap Analysis update'!$A95,'RCS Initiatives'!$B:$B,'Gap Analysis update'!AI$2)-SUMIFS('RCS Initiatives'!L:L,'RCS Initiatives'!$E:$E,'Gap Analysis update'!$B95,'RCS Initiatives'!$A:$A,'Gap Analysis update'!$A95,'RCS Initiatives'!$B:$B,'Gap Analysis update'!AI$2,'RCS Initiatives'!$C:$C,'Gap Analysis update'!$B$72)</f>
        <v>0</v>
      </c>
      <c r="AJ95" s="298">
        <f>SUMIFS('RCS Initiatives'!M:M,'RCS Initiatives'!$E:$E,'Gap Analysis update'!$B95,'RCS Initiatives'!$A:$A,'Gap Analysis update'!$A95,'RCS Initiatives'!$B:$B,'Gap Analysis update'!AJ$2)-SUMIFS('RCS Initiatives'!M:M,'RCS Initiatives'!$E:$E,'Gap Analysis update'!$B95,'RCS Initiatives'!$A:$A,'Gap Analysis update'!$A95,'RCS Initiatives'!$B:$B,'Gap Analysis update'!AJ$2,'RCS Initiatives'!$C:$C,'Gap Analysis update'!$B$72)</f>
        <v>0</v>
      </c>
      <c r="AK95" s="298">
        <f>SUMIFS('RCS Initiatives'!N:N,'RCS Initiatives'!$E:$E,'Gap Analysis update'!$B95,'RCS Initiatives'!$A:$A,'Gap Analysis update'!$A95,'RCS Initiatives'!$B:$B,'Gap Analysis update'!AK$2)-SUMIFS('RCS Initiatives'!N:N,'RCS Initiatives'!$E:$E,'Gap Analysis update'!$B95,'RCS Initiatives'!$A:$A,'Gap Analysis update'!$A95,'RCS Initiatives'!$B:$B,'Gap Analysis update'!AK$2,'RCS Initiatives'!$C:$C,'Gap Analysis update'!$B$72)</f>
        <v>0</v>
      </c>
      <c r="AL95" s="298">
        <f>SUMIFS('RCS Initiatives'!O:O,'RCS Initiatives'!$E:$E,'Gap Analysis update'!$B95,'RCS Initiatives'!$A:$A,'Gap Analysis update'!$A95,'RCS Initiatives'!$B:$B,'Gap Analysis update'!AL$2)-SUMIFS('RCS Initiatives'!O:O,'RCS Initiatives'!$E:$E,'Gap Analysis update'!$B95,'RCS Initiatives'!$A:$A,'Gap Analysis update'!$A95,'RCS Initiatives'!$B:$B,'Gap Analysis update'!AL$2,'RCS Initiatives'!$C:$C,'Gap Analysis update'!$B$72)</f>
        <v>0</v>
      </c>
      <c r="AM95" s="298">
        <f>SUMIFS('RCS Initiatives'!P:P,'RCS Initiatives'!$E:$E,'Gap Analysis update'!$B95,'RCS Initiatives'!$A:$A,'Gap Analysis update'!$A95,'RCS Initiatives'!$B:$B,'Gap Analysis update'!AM$2)-SUMIFS('RCS Initiatives'!P:P,'RCS Initiatives'!$E:$E,'Gap Analysis update'!$B95,'RCS Initiatives'!$A:$A,'Gap Analysis update'!$A95,'RCS Initiatives'!$B:$B,'Gap Analysis update'!AM$2,'RCS Initiatives'!$C:$C,'Gap Analysis update'!$B$72)</f>
        <v>0</v>
      </c>
      <c r="AN95" s="298">
        <f>SUMIFS('RCS Initiatives'!Q:Q,'RCS Initiatives'!$E:$E,'Gap Analysis update'!$B95,'RCS Initiatives'!$A:$A,'Gap Analysis update'!$A95,'RCS Initiatives'!$B:$B,'Gap Analysis update'!AN$2)-SUMIFS('RCS Initiatives'!Q:Q,'RCS Initiatives'!$E:$E,'Gap Analysis update'!$B95,'RCS Initiatives'!$A:$A,'Gap Analysis update'!$A95,'RCS Initiatives'!$B:$B,'Gap Analysis update'!AN$2,'RCS Initiatives'!$C:$C,'Gap Analysis update'!$B$72)</f>
        <v>0</v>
      </c>
      <c r="AO95" s="298">
        <f>SUMIFS('RCS Initiatives'!R:R,'RCS Initiatives'!$E:$E,'Gap Analysis update'!$B95,'RCS Initiatives'!$A:$A,'Gap Analysis update'!$A95,'RCS Initiatives'!$B:$B,'Gap Analysis update'!AO$2)-SUMIFS('RCS Initiatives'!R:R,'RCS Initiatives'!$E:$E,'Gap Analysis update'!$B95,'RCS Initiatives'!$A:$A,'Gap Analysis update'!$A95,'RCS Initiatives'!$B:$B,'Gap Analysis update'!AO$2,'RCS Initiatives'!$C:$C,'Gap Analysis update'!$B$72)</f>
        <v>0</v>
      </c>
      <c r="AR95" s="293"/>
      <c r="AS95" s="303"/>
      <c r="AT95" s="289">
        <f t="shared" si="165"/>
        <v>0</v>
      </c>
      <c r="AU95" s="303">
        <f t="shared" ref="AU95:AU96" si="175">AC95-K95</f>
        <v>0</v>
      </c>
      <c r="AV95" s="303">
        <f t="shared" ref="AV95:AV96" si="176">AD95-L95</f>
        <v>0</v>
      </c>
      <c r="AW95" s="303">
        <f t="shared" ref="AW95:AW96" si="177">AE95-M95</f>
        <v>0</v>
      </c>
      <c r="AX95" s="303">
        <f t="shared" si="170"/>
        <v>0</v>
      </c>
      <c r="AY95" s="303">
        <f t="shared" si="171"/>
        <v>0</v>
      </c>
      <c r="AZ95" s="303">
        <f t="shared" si="172"/>
        <v>0</v>
      </c>
      <c r="BA95" s="303">
        <f t="shared" si="173"/>
        <v>0</v>
      </c>
      <c r="BB95" s="303">
        <f t="shared" si="174"/>
        <v>0</v>
      </c>
      <c r="BC95" s="303">
        <f t="shared" ref="BC95:BC96" si="178">AK95-S95</f>
        <v>0</v>
      </c>
      <c r="BD95" s="303">
        <f t="shared" ref="BD95:BD96" si="179">AL95-T95</f>
        <v>0</v>
      </c>
      <c r="BE95" s="303">
        <f t="shared" ref="BE95:BE96" si="180">AM95-U95</f>
        <v>0</v>
      </c>
      <c r="BF95" s="303">
        <f t="shared" ref="BF95:BF96" si="181">AN95-V95</f>
        <v>0</v>
      </c>
      <c r="BG95" s="303">
        <f t="shared" si="166"/>
        <v>0</v>
      </c>
      <c r="BH95" s="303">
        <f t="shared" ref="BH95:BH96" si="182">AP95-X95</f>
        <v>0</v>
      </c>
      <c r="BI95" s="303">
        <f t="shared" ref="BI95:BI96" si="183">AQ95-Y95</f>
        <v>0</v>
      </c>
      <c r="BJ95" s="293"/>
      <c r="BK95" s="288"/>
      <c r="BL95" s="288"/>
      <c r="BM95" s="288"/>
      <c r="BN95" s="288"/>
      <c r="BO95" s="288"/>
      <c r="BP95" s="288"/>
      <c r="BQ95" s="288"/>
      <c r="BR95" s="288"/>
      <c r="BS95" s="288"/>
      <c r="BT95" s="288"/>
      <c r="BU95" s="288"/>
      <c r="BV95" s="288"/>
      <c r="BW95" s="288"/>
      <c r="BX95" s="288"/>
      <c r="BY95" s="288"/>
      <c r="BZ95" s="288"/>
      <c r="CA95" s="288"/>
      <c r="CB95" s="288"/>
    </row>
    <row r="96" spans="1:80" s="298" customFormat="1" ht="26">
      <c r="A96" s="296" t="s">
        <v>153</v>
      </c>
      <c r="B96" s="287" t="s">
        <v>146</v>
      </c>
      <c r="C96" s="288">
        <f t="shared" si="167"/>
        <v>0</v>
      </c>
      <c r="D96" s="289">
        <f>SUM(BB96:BG96)</f>
        <v>0</v>
      </c>
      <c r="E96" s="289">
        <f t="shared" si="169"/>
        <v>0</v>
      </c>
      <c r="F96" s="286"/>
      <c r="G96" s="286" t="s">
        <v>156</v>
      </c>
      <c r="H96" s="297"/>
      <c r="K96" s="288"/>
      <c r="L96" s="298">
        <f>SUMIFS('RCS Initiatives'!G:G,'RCS Initiatives'!$E:$E,'Gap Analysis update'!$B96,'RCS Initiatives'!$A:$A,'Gap Analysis update'!$A96,'RCS Initiatives'!$B:$B,'Gap Analysis update'!L$2)-SUMIFS('RCS Initiatives'!G:G,'RCS Initiatives'!$E:$E,'Gap Analysis update'!$B96,'RCS Initiatives'!$A:$A,'Gap Analysis update'!$A96,'RCS Initiatives'!$B:$B,'Gap Analysis update'!L$2,'RCS Initiatives'!$C:$C,'Gap Analysis update'!$B$72)</f>
        <v>0</v>
      </c>
      <c r="M96" s="298">
        <f>SUMIFS('RCS Initiatives'!H:H,'RCS Initiatives'!$E:$E,'Gap Analysis update'!$B96,'RCS Initiatives'!$A:$A,'Gap Analysis update'!$A96,'RCS Initiatives'!$B:$B,'Gap Analysis update'!M$2)-SUMIFS('RCS Initiatives'!H:H,'RCS Initiatives'!$E:$E,'Gap Analysis update'!$B96,'RCS Initiatives'!$A:$A,'Gap Analysis update'!$A96,'RCS Initiatives'!$B:$B,'Gap Analysis update'!M$2,'RCS Initiatives'!$C:$C,'Gap Analysis update'!$B$72)</f>
        <v>0</v>
      </c>
      <c r="N96" s="298">
        <f>SUMIFS('RCS Initiatives'!I:I,'RCS Initiatives'!$E:$E,'Gap Analysis update'!$B96,'RCS Initiatives'!$A:$A,'Gap Analysis update'!$A96,'RCS Initiatives'!$B:$B,'Gap Analysis update'!N$2)-SUMIFS('RCS Initiatives'!I:I,'RCS Initiatives'!$E:$E,'Gap Analysis update'!$B96,'RCS Initiatives'!$A:$A,'Gap Analysis update'!$A96,'RCS Initiatives'!$B:$B,'Gap Analysis update'!N$2,'RCS Initiatives'!$C:$C,'Gap Analysis update'!$B$72)</f>
        <v>0</v>
      </c>
      <c r="O96" s="298">
        <f>SUMIFS('RCS Initiatives'!J:J,'RCS Initiatives'!$E:$E,'Gap Analysis update'!$B96,'RCS Initiatives'!$A:$A,'Gap Analysis update'!$A96,'RCS Initiatives'!$B:$B,'Gap Analysis update'!O$2)-SUMIFS('RCS Initiatives'!J:J,'RCS Initiatives'!$E:$E,'Gap Analysis update'!$B96,'RCS Initiatives'!$A:$A,'Gap Analysis update'!$A96,'RCS Initiatives'!$B:$B,'Gap Analysis update'!O$2,'RCS Initiatives'!$C:$C,'Gap Analysis update'!$B$72)</f>
        <v>0</v>
      </c>
      <c r="P96" s="298">
        <f>SUMIFS('RCS Initiatives'!K:K,'RCS Initiatives'!$E:$E,'Gap Analysis update'!$B96,'RCS Initiatives'!$A:$A,'Gap Analysis update'!$A96,'RCS Initiatives'!$B:$B,'Gap Analysis update'!P$2)-SUMIFS('RCS Initiatives'!K:K,'RCS Initiatives'!$E:$E,'Gap Analysis update'!$B96,'RCS Initiatives'!$A:$A,'Gap Analysis update'!$A96,'RCS Initiatives'!$B:$B,'Gap Analysis update'!P$2,'RCS Initiatives'!$C:$C,'Gap Analysis update'!$B$72)</f>
        <v>0</v>
      </c>
      <c r="Q96" s="298">
        <f>SUMIFS('RCS Initiatives'!L:L,'RCS Initiatives'!$E:$E,'Gap Analysis update'!$B96,'RCS Initiatives'!$A:$A,'Gap Analysis update'!$A96,'RCS Initiatives'!$B:$B,'Gap Analysis update'!Q$2)-SUMIFS('RCS Initiatives'!L:L,'RCS Initiatives'!$E:$E,'Gap Analysis update'!$B96,'RCS Initiatives'!$A:$A,'Gap Analysis update'!$A96,'RCS Initiatives'!$B:$B,'Gap Analysis update'!Q$2,'RCS Initiatives'!$C:$C,'Gap Analysis update'!$B$72)</f>
        <v>0</v>
      </c>
      <c r="R96" s="298">
        <f>SUMIFS('RCS Initiatives'!M:M,'RCS Initiatives'!$E:$E,'Gap Analysis update'!$B96,'RCS Initiatives'!$A:$A,'Gap Analysis update'!$A96,'RCS Initiatives'!$B:$B,'Gap Analysis update'!R$2)-SUMIFS('RCS Initiatives'!M:M,'RCS Initiatives'!$E:$E,'Gap Analysis update'!$B96,'RCS Initiatives'!$A:$A,'Gap Analysis update'!$A96,'RCS Initiatives'!$B:$B,'Gap Analysis update'!R$2,'RCS Initiatives'!$C:$C,'Gap Analysis update'!$B$72)</f>
        <v>0</v>
      </c>
      <c r="S96" s="298">
        <f>SUMIFS('RCS Initiatives'!N:N,'RCS Initiatives'!$E:$E,'Gap Analysis update'!$B96,'RCS Initiatives'!$A:$A,'Gap Analysis update'!$A96,'RCS Initiatives'!$B:$B,'Gap Analysis update'!S$2)-SUMIFS('RCS Initiatives'!N:N,'RCS Initiatives'!$E:$E,'Gap Analysis update'!$B96,'RCS Initiatives'!$A:$A,'Gap Analysis update'!$A96,'RCS Initiatives'!$B:$B,'Gap Analysis update'!S$2,'RCS Initiatives'!$C:$C,'Gap Analysis update'!$B$72)</f>
        <v>0</v>
      </c>
      <c r="T96" s="298">
        <f>SUMIFS('RCS Initiatives'!O:O,'RCS Initiatives'!$E:$E,'Gap Analysis update'!$B96,'RCS Initiatives'!$A:$A,'Gap Analysis update'!$A96,'RCS Initiatives'!$B:$B,'Gap Analysis update'!T$2)-SUMIFS('RCS Initiatives'!O:O,'RCS Initiatives'!$E:$E,'Gap Analysis update'!$B96,'RCS Initiatives'!$A:$A,'Gap Analysis update'!$A96,'RCS Initiatives'!$B:$B,'Gap Analysis update'!T$2,'RCS Initiatives'!$C:$C,'Gap Analysis update'!$B$72)</f>
        <v>0</v>
      </c>
      <c r="U96" s="298">
        <f>SUMIFS('RCS Initiatives'!P:P,'RCS Initiatives'!$E:$E,'Gap Analysis update'!$B96,'RCS Initiatives'!$A:$A,'Gap Analysis update'!$A96,'RCS Initiatives'!$B:$B,'Gap Analysis update'!U$2)-SUMIFS('RCS Initiatives'!P:P,'RCS Initiatives'!$E:$E,'Gap Analysis update'!$B96,'RCS Initiatives'!$A:$A,'Gap Analysis update'!$A96,'RCS Initiatives'!$B:$B,'Gap Analysis update'!U$2,'RCS Initiatives'!$C:$C,'Gap Analysis update'!$B$72)</f>
        <v>0</v>
      </c>
      <c r="V96" s="298">
        <f>SUMIFS('RCS Initiatives'!Q:Q,'RCS Initiatives'!$E:$E,'Gap Analysis update'!$B96,'RCS Initiatives'!$A:$A,'Gap Analysis update'!$A96,'RCS Initiatives'!$B:$B,'Gap Analysis update'!V$2)-SUMIFS('RCS Initiatives'!Q:Q,'RCS Initiatives'!$E:$E,'Gap Analysis update'!$B96,'RCS Initiatives'!$A:$A,'Gap Analysis update'!$A96,'RCS Initiatives'!$B:$B,'Gap Analysis update'!V$2,'RCS Initiatives'!$C:$C,'Gap Analysis update'!$B$72)</f>
        <v>0</v>
      </c>
      <c r="W96" s="298">
        <f>SUMIFS('RCS Initiatives'!R:R,'RCS Initiatives'!$E:$E,'Gap Analysis update'!$B96,'RCS Initiatives'!$A:$A,'Gap Analysis update'!$A96,'RCS Initiatives'!$B:$B,'Gap Analysis update'!W$2)-SUMIFS('RCS Initiatives'!R:R,'RCS Initiatives'!$E:$E,'Gap Analysis update'!$B96,'RCS Initiatives'!$A:$A,'Gap Analysis update'!$A96,'RCS Initiatives'!$B:$B,'Gap Analysis update'!W$2,'RCS Initiatives'!$C:$C,'Gap Analysis update'!$B$72)</f>
        <v>0</v>
      </c>
      <c r="Z96" s="293"/>
      <c r="AD96" s="298">
        <f>SUMIFS('RCS Initiatives'!G:G,'RCS Initiatives'!$E:$E,'Gap Analysis update'!$B96,'RCS Initiatives'!$A:$A,'Gap Analysis update'!$A96,'RCS Initiatives'!$B:$B,'Gap Analysis update'!AD$2)-SUMIFS('RCS Initiatives'!G:G,'RCS Initiatives'!$E:$E,'Gap Analysis update'!$B96,'RCS Initiatives'!$A:$A,'Gap Analysis update'!$A96,'RCS Initiatives'!$B:$B,'Gap Analysis update'!AD$2,'RCS Initiatives'!$C:$C,'Gap Analysis update'!$B$72)</f>
        <v>0</v>
      </c>
      <c r="AE96" s="298">
        <f>SUMIFS('RCS Initiatives'!H:H,'RCS Initiatives'!$E:$E,'Gap Analysis update'!$B96,'RCS Initiatives'!$A:$A,'Gap Analysis update'!$A96,'RCS Initiatives'!$B:$B,'Gap Analysis update'!AE$2)-SUMIFS('RCS Initiatives'!H:H,'RCS Initiatives'!$E:$E,'Gap Analysis update'!$B96,'RCS Initiatives'!$A:$A,'Gap Analysis update'!$A96,'RCS Initiatives'!$B:$B,'Gap Analysis update'!AE$2,'RCS Initiatives'!$C:$C,'Gap Analysis update'!$B$72)</f>
        <v>0</v>
      </c>
      <c r="AF96" s="298">
        <f>SUMIFS('RCS Initiatives'!I:I,'RCS Initiatives'!$E:$E,'Gap Analysis update'!$B96,'RCS Initiatives'!$A:$A,'Gap Analysis update'!$A96,'RCS Initiatives'!$B:$B,'Gap Analysis update'!AF$2)-SUMIFS('RCS Initiatives'!I:I,'RCS Initiatives'!$E:$E,'Gap Analysis update'!$B96,'RCS Initiatives'!$A:$A,'Gap Analysis update'!$A96,'RCS Initiatives'!$B:$B,'Gap Analysis update'!AF$2,'RCS Initiatives'!$C:$C,'Gap Analysis update'!$B$72)</f>
        <v>0</v>
      </c>
      <c r="AG96" s="298">
        <f>SUMIFS('RCS Initiatives'!J:J,'RCS Initiatives'!$E:$E,'Gap Analysis update'!$B96,'RCS Initiatives'!$A:$A,'Gap Analysis update'!$A96,'RCS Initiatives'!$B:$B,'Gap Analysis update'!AG$2)-SUMIFS('RCS Initiatives'!J:J,'RCS Initiatives'!$E:$E,'Gap Analysis update'!$B96,'RCS Initiatives'!$A:$A,'Gap Analysis update'!$A96,'RCS Initiatives'!$B:$B,'Gap Analysis update'!AG$2,'RCS Initiatives'!$C:$C,'Gap Analysis update'!$B$72)</f>
        <v>0</v>
      </c>
      <c r="AH96" s="298">
        <f>SUMIFS('RCS Initiatives'!K:K,'RCS Initiatives'!$E:$E,'Gap Analysis update'!$B96,'RCS Initiatives'!$A:$A,'Gap Analysis update'!$A96,'RCS Initiatives'!$B:$B,'Gap Analysis update'!AH$2)-SUMIFS('RCS Initiatives'!K:K,'RCS Initiatives'!$E:$E,'Gap Analysis update'!$B96,'RCS Initiatives'!$A:$A,'Gap Analysis update'!$A96,'RCS Initiatives'!$B:$B,'Gap Analysis update'!AH$2,'RCS Initiatives'!$C:$C,'Gap Analysis update'!$B$72)</f>
        <v>0</v>
      </c>
      <c r="AI96" s="298">
        <f>SUMIFS('RCS Initiatives'!L:L,'RCS Initiatives'!$E:$E,'Gap Analysis update'!$B96,'RCS Initiatives'!$A:$A,'Gap Analysis update'!$A96,'RCS Initiatives'!$B:$B,'Gap Analysis update'!AI$2)-SUMIFS('RCS Initiatives'!L:L,'RCS Initiatives'!$E:$E,'Gap Analysis update'!$B96,'RCS Initiatives'!$A:$A,'Gap Analysis update'!$A96,'RCS Initiatives'!$B:$B,'Gap Analysis update'!AI$2,'RCS Initiatives'!$C:$C,'Gap Analysis update'!$B$72)</f>
        <v>0</v>
      </c>
      <c r="AJ96" s="298">
        <f>SUMIFS('RCS Initiatives'!M:M,'RCS Initiatives'!$E:$E,'Gap Analysis update'!$B96,'RCS Initiatives'!$A:$A,'Gap Analysis update'!$A96,'RCS Initiatives'!$B:$B,'Gap Analysis update'!AJ$2)-SUMIFS('RCS Initiatives'!M:M,'RCS Initiatives'!$E:$E,'Gap Analysis update'!$B96,'RCS Initiatives'!$A:$A,'Gap Analysis update'!$A96,'RCS Initiatives'!$B:$B,'Gap Analysis update'!AJ$2,'RCS Initiatives'!$C:$C,'Gap Analysis update'!$B$72)</f>
        <v>0</v>
      </c>
      <c r="AK96" s="298">
        <f>SUMIFS('RCS Initiatives'!N:N,'RCS Initiatives'!$E:$E,'Gap Analysis update'!$B96,'RCS Initiatives'!$A:$A,'Gap Analysis update'!$A96,'RCS Initiatives'!$B:$B,'Gap Analysis update'!AK$2)-SUMIFS('RCS Initiatives'!N:N,'RCS Initiatives'!$E:$E,'Gap Analysis update'!$B96,'RCS Initiatives'!$A:$A,'Gap Analysis update'!$A96,'RCS Initiatives'!$B:$B,'Gap Analysis update'!AK$2,'RCS Initiatives'!$C:$C,'Gap Analysis update'!$B$72)</f>
        <v>0</v>
      </c>
      <c r="AL96" s="298">
        <f>SUMIFS('RCS Initiatives'!O:O,'RCS Initiatives'!$E:$E,'Gap Analysis update'!$B96,'RCS Initiatives'!$A:$A,'Gap Analysis update'!$A96,'RCS Initiatives'!$B:$B,'Gap Analysis update'!AL$2)-SUMIFS('RCS Initiatives'!O:O,'RCS Initiatives'!$E:$E,'Gap Analysis update'!$B96,'RCS Initiatives'!$A:$A,'Gap Analysis update'!$A96,'RCS Initiatives'!$B:$B,'Gap Analysis update'!AL$2,'RCS Initiatives'!$C:$C,'Gap Analysis update'!$B$72)</f>
        <v>0</v>
      </c>
      <c r="AM96" s="298">
        <f>SUMIFS('RCS Initiatives'!P:P,'RCS Initiatives'!$E:$E,'Gap Analysis update'!$B96,'RCS Initiatives'!$A:$A,'Gap Analysis update'!$A96,'RCS Initiatives'!$B:$B,'Gap Analysis update'!AM$2)-SUMIFS('RCS Initiatives'!P:P,'RCS Initiatives'!$E:$E,'Gap Analysis update'!$B96,'RCS Initiatives'!$A:$A,'Gap Analysis update'!$A96,'RCS Initiatives'!$B:$B,'Gap Analysis update'!AM$2,'RCS Initiatives'!$C:$C,'Gap Analysis update'!$B$72)</f>
        <v>0</v>
      </c>
      <c r="AN96" s="298">
        <f>SUMIFS('RCS Initiatives'!Q:Q,'RCS Initiatives'!$E:$E,'Gap Analysis update'!$B96,'RCS Initiatives'!$A:$A,'Gap Analysis update'!$A96,'RCS Initiatives'!$B:$B,'Gap Analysis update'!AN$2)-SUMIFS('RCS Initiatives'!Q:Q,'RCS Initiatives'!$E:$E,'Gap Analysis update'!$B96,'RCS Initiatives'!$A:$A,'Gap Analysis update'!$A96,'RCS Initiatives'!$B:$B,'Gap Analysis update'!AN$2,'RCS Initiatives'!$C:$C,'Gap Analysis update'!$B$72)</f>
        <v>0</v>
      </c>
      <c r="AO96" s="298">
        <f>SUMIFS('RCS Initiatives'!R:R,'RCS Initiatives'!$E:$E,'Gap Analysis update'!$B96,'RCS Initiatives'!$A:$A,'Gap Analysis update'!$A96,'RCS Initiatives'!$B:$B,'Gap Analysis update'!AO$2)-SUMIFS('RCS Initiatives'!R:R,'RCS Initiatives'!$E:$E,'Gap Analysis update'!$B96,'RCS Initiatives'!$A:$A,'Gap Analysis update'!$A96,'RCS Initiatives'!$B:$B,'Gap Analysis update'!AO$2,'RCS Initiatives'!$C:$C,'Gap Analysis update'!$B$72)</f>
        <v>0</v>
      </c>
      <c r="AR96" s="293"/>
      <c r="AS96" s="303"/>
      <c r="AT96" s="289">
        <f t="shared" si="165"/>
        <v>0</v>
      </c>
      <c r="AU96" s="303">
        <f t="shared" si="175"/>
        <v>0</v>
      </c>
      <c r="AV96" s="303">
        <f t="shared" si="176"/>
        <v>0</v>
      </c>
      <c r="AW96" s="303">
        <f t="shared" si="177"/>
        <v>0</v>
      </c>
      <c r="AX96" s="303">
        <f t="shared" si="170"/>
        <v>0</v>
      </c>
      <c r="AY96" s="303">
        <f t="shared" si="171"/>
        <v>0</v>
      </c>
      <c r="AZ96" s="303">
        <f t="shared" si="172"/>
        <v>0</v>
      </c>
      <c r="BA96" s="303">
        <f t="shared" si="173"/>
        <v>0</v>
      </c>
      <c r="BB96" s="303">
        <f t="shared" si="174"/>
        <v>0</v>
      </c>
      <c r="BC96" s="303">
        <f t="shared" si="178"/>
        <v>0</v>
      </c>
      <c r="BD96" s="303">
        <f t="shared" si="179"/>
        <v>0</v>
      </c>
      <c r="BE96" s="303">
        <f t="shared" si="180"/>
        <v>0</v>
      </c>
      <c r="BF96" s="303">
        <f t="shared" si="181"/>
        <v>0</v>
      </c>
      <c r="BG96" s="303">
        <f t="shared" si="166"/>
        <v>0</v>
      </c>
      <c r="BH96" s="303">
        <f t="shared" si="182"/>
        <v>0</v>
      </c>
      <c r="BI96" s="303">
        <f t="shared" si="183"/>
        <v>0</v>
      </c>
      <c r="BJ96" s="293"/>
      <c r="BK96" s="288"/>
      <c r="BL96" s="288"/>
      <c r="BM96" s="288"/>
      <c r="BN96" s="288"/>
      <c r="BO96" s="288"/>
      <c r="BP96" s="288"/>
      <c r="BQ96" s="288"/>
      <c r="BR96" s="288"/>
      <c r="BS96" s="288"/>
      <c r="BT96" s="288"/>
      <c r="BU96" s="288"/>
      <c r="BV96" s="288"/>
      <c r="BW96" s="288"/>
      <c r="BX96" s="288"/>
      <c r="BY96" s="288"/>
      <c r="BZ96" s="288"/>
      <c r="CA96" s="288"/>
      <c r="CB96" s="288"/>
    </row>
    <row r="97" spans="1:62" s="310" customFormat="1" ht="12" customHeight="1">
      <c r="A97" s="309"/>
      <c r="B97" s="309"/>
      <c r="F97" s="309"/>
      <c r="G97" s="309"/>
      <c r="H97" s="311"/>
      <c r="I97" s="312"/>
      <c r="J97" s="312"/>
      <c r="K97" s="312"/>
      <c r="L97" s="312"/>
      <c r="M97" s="312"/>
      <c r="N97" s="312"/>
      <c r="O97" s="312"/>
      <c r="P97" s="312"/>
      <c r="Q97" s="312"/>
      <c r="R97" s="312"/>
      <c r="S97" s="312"/>
      <c r="T97" s="312"/>
      <c r="U97" s="312"/>
      <c r="V97" s="312"/>
      <c r="W97" s="312"/>
      <c r="X97" s="312"/>
      <c r="Y97" s="312"/>
      <c r="Z97" s="311"/>
      <c r="AA97" s="312"/>
      <c r="AB97" s="312"/>
      <c r="AC97" s="312"/>
      <c r="AD97" s="312"/>
      <c r="AE97" s="312"/>
      <c r="AF97" s="312"/>
      <c r="AG97" s="312"/>
      <c r="AH97" s="312"/>
      <c r="AI97" s="312"/>
      <c r="AJ97" s="312"/>
      <c r="AK97" s="312"/>
      <c r="AL97" s="312"/>
      <c r="AM97" s="312"/>
      <c r="AN97" s="312"/>
      <c r="AO97" s="312"/>
      <c r="AP97" s="312"/>
      <c r="AQ97" s="312"/>
      <c r="AR97" s="313"/>
      <c r="AS97" s="312"/>
      <c r="AT97" s="312"/>
      <c r="AU97" s="312"/>
      <c r="AV97" s="312"/>
      <c r="AW97" s="312"/>
      <c r="AX97" s="312"/>
      <c r="AY97" s="312"/>
      <c r="AZ97" s="312"/>
      <c r="BA97" s="312"/>
      <c r="BB97" s="312"/>
      <c r="BC97" s="312"/>
      <c r="BD97" s="312"/>
      <c r="BE97" s="312"/>
      <c r="BF97" s="312"/>
      <c r="BG97" s="312"/>
      <c r="BH97" s="312"/>
      <c r="BI97" s="312"/>
      <c r="BJ97" s="311"/>
    </row>
    <row r="98" spans="1:62" s="310" customFormat="1" ht="12" customHeight="1">
      <c r="A98" s="309"/>
      <c r="B98" s="309"/>
      <c r="F98" s="309"/>
      <c r="G98" s="309"/>
      <c r="H98" s="311"/>
      <c r="I98" s="312"/>
      <c r="J98" s="312"/>
      <c r="K98" s="312"/>
      <c r="L98" s="312"/>
      <c r="M98" s="312"/>
      <c r="N98" s="312"/>
      <c r="O98" s="312"/>
      <c r="P98" s="312"/>
      <c r="Q98" s="312"/>
      <c r="R98" s="312"/>
      <c r="S98" s="312"/>
      <c r="T98" s="312"/>
      <c r="U98" s="312"/>
      <c r="V98" s="312"/>
      <c r="W98" s="312"/>
      <c r="X98" s="312"/>
      <c r="Y98" s="312"/>
      <c r="Z98" s="311"/>
      <c r="AA98" s="312"/>
      <c r="AB98" s="312"/>
      <c r="AC98" s="312"/>
      <c r="AD98" s="312"/>
      <c r="AE98" s="312"/>
      <c r="AF98" s="312"/>
      <c r="AG98" s="312"/>
      <c r="AH98" s="312"/>
      <c r="AI98" s="312"/>
      <c r="AJ98" s="312"/>
      <c r="AK98" s="312"/>
      <c r="AL98" s="312"/>
      <c r="AM98" s="312"/>
      <c r="AN98" s="312"/>
      <c r="AO98" s="312"/>
      <c r="AP98" s="312"/>
      <c r="AQ98" s="312"/>
      <c r="AR98" s="313"/>
      <c r="AS98" s="312"/>
      <c r="AT98" s="312"/>
      <c r="AU98" s="312"/>
      <c r="AV98" s="312"/>
      <c r="AW98" s="312"/>
      <c r="AX98" s="312"/>
      <c r="AY98" s="312"/>
      <c r="AZ98" s="312"/>
      <c r="BA98" s="312"/>
      <c r="BB98" s="312"/>
      <c r="BC98" s="312"/>
      <c r="BD98" s="312"/>
      <c r="BE98" s="312"/>
      <c r="BF98" s="312"/>
      <c r="BG98" s="312"/>
      <c r="BH98" s="312"/>
      <c r="BI98" s="312"/>
      <c r="BJ98" s="311"/>
    </row>
    <row r="99" spans="1:62" s="310" customFormat="1" ht="12" customHeight="1">
      <c r="A99" s="309"/>
      <c r="B99" s="309"/>
      <c r="F99" s="309"/>
      <c r="G99" s="309"/>
      <c r="H99" s="311"/>
      <c r="I99" s="312"/>
      <c r="J99" s="312"/>
      <c r="K99" s="312"/>
      <c r="L99" s="312"/>
      <c r="M99" s="312"/>
      <c r="N99" s="312"/>
      <c r="O99" s="312"/>
      <c r="P99" s="312"/>
      <c r="Q99" s="312"/>
      <c r="R99" s="312"/>
      <c r="S99" s="312"/>
      <c r="T99" s="312"/>
      <c r="U99" s="312"/>
      <c r="V99" s="312"/>
      <c r="W99" s="312"/>
      <c r="X99" s="312"/>
      <c r="Y99" s="312"/>
      <c r="Z99" s="311"/>
      <c r="AA99" s="312"/>
      <c r="AB99" s="312"/>
      <c r="AC99" s="312"/>
      <c r="AD99" s="312"/>
      <c r="AE99" s="312"/>
      <c r="AF99" s="312"/>
      <c r="AG99" s="312"/>
      <c r="AH99" s="312"/>
      <c r="AI99" s="312"/>
      <c r="AJ99" s="312"/>
      <c r="AK99" s="312"/>
      <c r="AL99" s="312"/>
      <c r="AM99" s="312"/>
      <c r="AN99" s="312"/>
      <c r="AO99" s="312"/>
      <c r="AP99" s="312"/>
      <c r="AQ99" s="312"/>
      <c r="AR99" s="313"/>
      <c r="AS99" s="312"/>
      <c r="AT99" s="312"/>
      <c r="AU99" s="312"/>
      <c r="AV99" s="312"/>
      <c r="AW99" s="312"/>
      <c r="AX99" s="312"/>
      <c r="AY99" s="312"/>
      <c r="AZ99" s="312"/>
      <c r="BA99" s="312"/>
      <c r="BB99" s="312"/>
      <c r="BC99" s="312"/>
      <c r="BD99" s="312"/>
      <c r="BE99" s="312"/>
      <c r="BF99" s="312"/>
      <c r="BG99" s="312"/>
      <c r="BH99" s="312"/>
      <c r="BI99" s="312"/>
      <c r="BJ99" s="311"/>
    </row>
    <row r="100" spans="1:62" s="310" customFormat="1" ht="12" customHeight="1">
      <c r="A100" s="309"/>
      <c r="B100" s="309"/>
      <c r="F100" s="309"/>
      <c r="G100" s="309"/>
      <c r="H100" s="311"/>
      <c r="I100" s="312"/>
      <c r="J100" s="312"/>
      <c r="K100" s="312"/>
      <c r="L100" s="312"/>
      <c r="M100" s="312"/>
      <c r="N100" s="312"/>
      <c r="O100" s="312"/>
      <c r="P100" s="312"/>
      <c r="Q100" s="312"/>
      <c r="R100" s="312"/>
      <c r="S100" s="312"/>
      <c r="T100" s="312"/>
      <c r="U100" s="312"/>
      <c r="V100" s="312"/>
      <c r="W100" s="312"/>
      <c r="X100" s="312"/>
      <c r="Y100" s="312"/>
      <c r="Z100" s="311"/>
      <c r="AA100" s="312"/>
      <c r="AB100" s="312"/>
      <c r="AC100" s="312"/>
      <c r="AD100" s="312"/>
      <c r="AE100" s="312"/>
      <c r="AF100" s="312"/>
      <c r="AG100" s="312"/>
      <c r="AH100" s="312"/>
      <c r="AI100" s="312"/>
      <c r="AJ100" s="312"/>
      <c r="AK100" s="312"/>
      <c r="AL100" s="312"/>
      <c r="AM100" s="312"/>
      <c r="AN100" s="312"/>
      <c r="AO100" s="312"/>
      <c r="AP100" s="312"/>
      <c r="AQ100" s="312"/>
      <c r="AR100" s="313"/>
      <c r="AS100" s="312"/>
      <c r="AT100" s="312"/>
      <c r="AU100" s="312"/>
      <c r="AV100" s="312"/>
      <c r="AW100" s="312"/>
      <c r="AX100" s="312"/>
      <c r="AY100" s="312"/>
      <c r="AZ100" s="312"/>
      <c r="BA100" s="312"/>
      <c r="BB100" s="312"/>
      <c r="BC100" s="312"/>
      <c r="BD100" s="312"/>
      <c r="BE100" s="312"/>
      <c r="BF100" s="312"/>
      <c r="BG100" s="312"/>
      <c r="BH100" s="312"/>
      <c r="BI100" s="312"/>
      <c r="BJ100" s="311"/>
    </row>
  </sheetData>
  <autoFilter ref="A4:CB78" xr:uid="{523F6FBB-0553-4FB6-B330-742A40B72539}"/>
  <phoneticPr fontId="57" type="noConversion"/>
  <conditionalFormatting sqref="I7:AQ7 I16:AR16 I25:AT25 I34:AQ34 H43:AQ43 I52:AQ52 I61:AQ61 I72:AS72">
    <cfRule type="cellIs" dxfId="11" priority="3" operator="greaterThan">
      <formula>0</formula>
    </cfRule>
  </conditionalFormatting>
  <conditionalFormatting sqref="I81:AS81">
    <cfRule type="cellIs" dxfId="10" priority="2" operator="greaterThan">
      <formula>0</formula>
    </cfRule>
  </conditionalFormatting>
  <conditionalFormatting sqref="I90:AS90">
    <cfRule type="cellIs" dxfId="9" priority="1" operator="greaterThan">
      <formula>0</formula>
    </cfRule>
  </conditionalFormatting>
  <conditionalFormatting sqref="AS8:BA13">
    <cfRule type="cellIs" dxfId="8" priority="4" operator="greaterThan">
      <formula>0</formula>
    </cfRule>
  </conditionalFormatting>
  <conditionalFormatting sqref="AT1:BI1">
    <cfRule type="cellIs" dxfId="7" priority="5" operator="lessThan">
      <formula>0</formula>
    </cfRule>
    <cfRule type="cellIs" dxfId="6" priority="6" operator="greaterThan">
      <formula>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99D06-EE66-4661-9D9F-598C5D9FDD83}">
  <dimension ref="A1:AP38"/>
  <sheetViews>
    <sheetView showGridLines="0" zoomScaleNormal="100" workbookViewId="0">
      <pane xSplit="1" ySplit="3" topLeftCell="B4" activePane="bottomRight" state="frozen"/>
      <selection pane="topRight" activeCell="B1" sqref="B1"/>
      <selection pane="bottomLeft" activeCell="A4" sqref="A4"/>
      <selection pane="bottomRight" activeCell="C4" sqref="C4"/>
    </sheetView>
  </sheetViews>
  <sheetFormatPr defaultColWidth="8.75" defaultRowHeight="14" outlineLevelCol="2"/>
  <cols>
    <col min="1" max="1" width="36.1640625" style="85" customWidth="1"/>
    <col min="2" max="2" width="15" style="85" bestFit="1" customWidth="1"/>
    <col min="3" max="3" width="17.4140625" style="85" customWidth="1"/>
    <col min="4" max="4" width="14.4140625" style="85" customWidth="1"/>
    <col min="5" max="5" width="12.1640625" style="85" bestFit="1" customWidth="1"/>
    <col min="6" max="6" width="17.1640625" style="85" bestFit="1" customWidth="1"/>
    <col min="7" max="13" width="8.75" style="85" hidden="1" customWidth="1" outlineLevel="1"/>
    <col min="14" max="14" width="2.83203125" style="85" customWidth="1" collapsed="1"/>
    <col min="15" max="15" width="20" style="85" hidden="1" customWidth="1"/>
    <col min="16" max="16" width="80.5" style="85" hidden="1" customWidth="1"/>
    <col min="17" max="17" width="11" style="323" hidden="1" customWidth="1" outlineLevel="1"/>
    <col min="18" max="18" width="10.83203125" style="323" hidden="1" customWidth="1" outlineLevel="1"/>
    <col min="19" max="19" width="15.1640625" style="323" hidden="1" customWidth="1" outlineLevel="1"/>
    <col min="20" max="20" width="1" style="323" hidden="1" customWidth="1" collapsed="1"/>
    <col min="21" max="22" width="10.75" style="324" hidden="1" customWidth="1" outlineLevel="1"/>
    <col min="23" max="23" width="11.83203125" style="324" hidden="1" customWidth="1" outlineLevel="1"/>
    <col min="24" max="24" width="1.1640625" style="331" hidden="1" customWidth="1" outlineLevel="1"/>
    <col min="25" max="25" width="11.75" style="323" hidden="1" customWidth="1" outlineLevel="1"/>
    <col min="26" max="26" width="12.1640625" style="323" hidden="1" customWidth="1" outlineLevel="1"/>
    <col min="27" max="27" width="9.4140625" style="323" hidden="1" customWidth="1" outlineLevel="1"/>
    <col min="28" max="29" width="10.5" style="85" hidden="1" customWidth="1" outlineLevel="1"/>
    <col min="30" max="30" width="10.83203125" style="85" hidden="1" customWidth="1" outlineLevel="1"/>
    <col min="31" max="33" width="10.5" style="85" hidden="1" customWidth="1" outlineLevel="1"/>
    <col min="34" max="34" width="8.75" style="85" hidden="1" customWidth="1" outlineLevel="2"/>
    <col min="35" max="35" width="19.1640625" style="85" hidden="1" customWidth="1" collapsed="1"/>
    <col min="36" max="36" width="80.83203125" style="85" hidden="1" customWidth="1"/>
    <col min="37" max="16384" width="8.75" style="85"/>
  </cols>
  <sheetData>
    <row r="1" spans="1:42" ht="28">
      <c r="A1" s="340" t="s">
        <v>157</v>
      </c>
      <c r="B1" s="341" t="s">
        <v>158</v>
      </c>
      <c r="C1" s="341" t="s">
        <v>158</v>
      </c>
      <c r="D1" s="341" t="s">
        <v>158</v>
      </c>
      <c r="G1" t="s">
        <v>159</v>
      </c>
      <c r="K1" s="112">
        <v>8.81203</v>
      </c>
      <c r="L1" s="85" t="s">
        <v>159</v>
      </c>
      <c r="Q1" s="325" t="s">
        <v>160</v>
      </c>
      <c r="R1" s="325" t="s">
        <v>160</v>
      </c>
      <c r="S1" s="325" t="s">
        <v>160</v>
      </c>
      <c r="T1" s="322"/>
      <c r="U1" s="326" t="s">
        <v>161</v>
      </c>
      <c r="V1" s="326" t="s">
        <v>161</v>
      </c>
      <c r="W1" s="326" t="s">
        <v>161</v>
      </c>
      <c r="Y1" s="326" t="s">
        <v>162</v>
      </c>
      <c r="Z1" s="326" t="s">
        <v>162</v>
      </c>
      <c r="AA1" s="326" t="s">
        <v>162</v>
      </c>
      <c r="AB1" s="326" t="s">
        <v>162</v>
      </c>
      <c r="AC1" s="326" t="s">
        <v>162</v>
      </c>
      <c r="AD1" s="326" t="s">
        <v>162</v>
      </c>
      <c r="AE1" s="326" t="s">
        <v>162</v>
      </c>
      <c r="AF1" s="326" t="s">
        <v>162</v>
      </c>
      <c r="AG1" s="326" t="s">
        <v>162</v>
      </c>
      <c r="AI1" s="85" t="s">
        <v>163</v>
      </c>
    </row>
    <row r="2" spans="1:42" ht="14.5">
      <c r="A2" s="342"/>
      <c r="B2" s="441" t="s">
        <v>164</v>
      </c>
      <c r="C2" s="441"/>
      <c r="D2" s="343"/>
      <c r="G2" t="s">
        <v>165</v>
      </c>
      <c r="K2" s="112">
        <v>9.1977399999999996</v>
      </c>
      <c r="L2" s="85" t="s">
        <v>165</v>
      </c>
      <c r="O2" s="411" t="s">
        <v>166</v>
      </c>
    </row>
    <row r="3" spans="1:42" ht="28">
      <c r="A3" s="344" t="s">
        <v>167</v>
      </c>
      <c r="B3" s="345" t="s">
        <v>4</v>
      </c>
      <c r="C3" s="346" t="s">
        <v>5</v>
      </c>
      <c r="D3" s="346" t="s">
        <v>168</v>
      </c>
      <c r="E3" s="346" t="s">
        <v>169</v>
      </c>
      <c r="F3" s="346" t="s">
        <v>6</v>
      </c>
      <c r="K3" s="85">
        <v>8.9718982963294138</v>
      </c>
      <c r="L3" s="85" t="s">
        <v>170</v>
      </c>
      <c r="O3" s="410" t="s">
        <v>171</v>
      </c>
      <c r="P3" s="335" t="s">
        <v>172</v>
      </c>
      <c r="Q3" s="330" t="s">
        <v>4</v>
      </c>
      <c r="R3" s="330" t="s">
        <v>5</v>
      </c>
      <c r="S3" s="330" t="s">
        <v>168</v>
      </c>
      <c r="T3" s="330"/>
      <c r="U3" s="328" t="s">
        <v>4</v>
      </c>
      <c r="V3" s="328" t="s">
        <v>5</v>
      </c>
      <c r="W3" s="328" t="s">
        <v>168</v>
      </c>
      <c r="Y3" s="329" t="s">
        <v>173</v>
      </c>
      <c r="Z3" s="329" t="s">
        <v>22</v>
      </c>
      <c r="AA3" s="329" t="s">
        <v>21</v>
      </c>
      <c r="AB3" s="389" t="s">
        <v>24</v>
      </c>
      <c r="AC3" s="389" t="s">
        <v>33</v>
      </c>
      <c r="AD3" s="389" t="s">
        <v>140</v>
      </c>
      <c r="AE3" s="389" t="s">
        <v>142</v>
      </c>
      <c r="AF3" s="389" t="s">
        <v>145</v>
      </c>
      <c r="AG3" s="389" t="s">
        <v>146</v>
      </c>
    </row>
    <row r="4" spans="1:42" ht="91" customHeight="1">
      <c r="A4" s="347" t="s">
        <v>136</v>
      </c>
      <c r="B4" s="348">
        <f>SUMIFS(RCS!$P:$P,RCS!$R:$R,Summary!$A4,RCS!$B:$B,Summary!B$3)</f>
        <v>0.51752538150040739</v>
      </c>
      <c r="C4" s="348">
        <f>SUMIFS(RCS!$P:$P,RCS!$R:$R,Summary!$A4,RCS!$B:$B,Summary!C$3)</f>
        <v>0.51475822884228395</v>
      </c>
      <c r="D4" s="348">
        <f>C4-B4</f>
        <v>-2.7671526581234396E-3</v>
      </c>
      <c r="E4" s="350">
        <f>SUMIFS(RCS!P:P,RCS!B:B,Summary!$E$3,RCS!R:R,Summary!A4)</f>
        <v>229.13580500000003</v>
      </c>
      <c r="F4" s="412">
        <f t="shared" ref="F4:F12" si="0">D4*E4</f>
        <v>-0.63405375187700419</v>
      </c>
      <c r="H4" s="352"/>
      <c r="P4" s="8" t="s">
        <v>174</v>
      </c>
      <c r="Q4" s="323">
        <f>RCS!I11</f>
        <v>0.51406493789545937</v>
      </c>
      <c r="R4" s="323">
        <f>RCS!I13</f>
        <v>0.52342840162729509</v>
      </c>
      <c r="S4" s="323">
        <f>R4-Q4</f>
        <v>9.3634637318357195E-3</v>
      </c>
      <c r="U4" s="324">
        <f>RCS!O11</f>
        <v>0.49232046588385653</v>
      </c>
      <c r="V4" s="324">
        <f>RCS!O13</f>
        <v>0.49989331637929663</v>
      </c>
      <c r="W4" s="324">
        <f>+V4-U4</f>
        <v>7.5728504954400977E-3</v>
      </c>
      <c r="X4" s="323"/>
      <c r="Y4" s="323">
        <f>RCS!C15</f>
        <v>-1.8184771618246387E-2</v>
      </c>
      <c r="Z4" s="323">
        <f>SUMIFS('Gap Analysis update'!$E:$E,'Gap Analysis update'!$B:$B,Summary!Z$16,'Gap Analysis update'!$A:$A,Summary!$A4)</f>
        <v>-5.9456771903650153E-3</v>
      </c>
      <c r="AA4" s="323">
        <f>SUMIFS('Gap Analysis update'!$E:$E,'Gap Analysis update'!$B:$B,Summary!AA$16,'Gap Analysis update'!$A:$A,Summary!$A4)</f>
        <v>2.883694864482415E-2</v>
      </c>
      <c r="AB4" s="323">
        <f>SUMIFS('Gap Analysis update'!$E:$E,'Gap Analysis update'!$B:$B,Summary!AB$3,'Gap Analysis update'!$A:$A,Summary!$A4)</f>
        <v>0</v>
      </c>
      <c r="AC4" s="323">
        <f>SUMIFS('Gap Analysis update'!$E:$E,'Gap Analysis update'!$B:$B,Summary!AC$3,'Gap Analysis update'!$A:$A,Summary!$A4)</f>
        <v>0</v>
      </c>
      <c r="AD4" s="323">
        <f>SUMIFS('Gap Analysis update'!$E:$E,'Gap Analysis update'!$B:$B,Summary!AD$3,'Gap Analysis update'!$A:$A,Summary!$A4)</f>
        <v>5.2596895645287793E-3</v>
      </c>
      <c r="AE4" s="323">
        <f>SUMIFS('Gap Analysis update'!$E:$E,'Gap Analysis update'!$B:$B,Summary!AE$3,'Gap Analysis update'!$A:$A,Summary!$A4)</f>
        <v>2.3523306696340163E-2</v>
      </c>
      <c r="AF4" s="323">
        <f>SUMIFS('Gap Analysis update'!$E:$E,'Gap Analysis update'!$B:$B,Summary!AF$3,'Gap Analysis update'!$A:$A,Summary!$A4)</f>
        <v>5.3952383955208245E-5</v>
      </c>
      <c r="AG4" s="323">
        <f>SUMIFS('Gap Analysis update'!$E:$E,'Gap Analysis update'!$B:$B,Summary!AG$3,'Gap Analysis update'!$A:$A,Summary!$A4)</f>
        <v>0</v>
      </c>
      <c r="AH4" s="353">
        <f>SUM(AB4:AG4)-AA4</f>
        <v>0</v>
      </c>
    </row>
    <row r="5" spans="1:42">
      <c r="A5" s="347" t="s">
        <v>175</v>
      </c>
      <c r="B5" s="348">
        <f>SUMIFS(RCS!$P:$P,RCS!$R:$R,Summary!$A5,RCS!$B:$B,Summary!B$3)</f>
        <v>0.88487248063111124</v>
      </c>
      <c r="C5" s="348">
        <f>SUMIFS(RCS!$P:$P,RCS!$R:$R,Summary!$A5,RCS!$B:$B,Summary!C$3)</f>
        <v>0.87300536565593778</v>
      </c>
      <c r="D5" s="354">
        <f t="shared" ref="D5:D12" si="1">C5-B5</f>
        <v>-1.1867114975173454E-2</v>
      </c>
      <c r="E5" s="350">
        <f>SUMIFS(RCS!P:P,RCS!B:B,Summary!$E$3,RCS!R:R,Summary!A5)</f>
        <v>6.4087829999999997</v>
      </c>
      <c r="F5" s="355">
        <f t="shared" si="0"/>
        <v>-7.6053764711937047E-2</v>
      </c>
      <c r="S5" s="323">
        <f t="shared" ref="S5:S11" si="2">R5-Q5</f>
        <v>0</v>
      </c>
      <c r="W5" s="324">
        <f t="shared" ref="W5:W12" si="3">+V5-U5</f>
        <v>0</v>
      </c>
      <c r="X5" s="323"/>
      <c r="AB5" s="323"/>
      <c r="AC5" s="323"/>
      <c r="AD5" s="323"/>
      <c r="AE5" s="323"/>
      <c r="AF5" s="323"/>
      <c r="AG5" s="323"/>
      <c r="AH5" s="353"/>
    </row>
    <row r="6" spans="1:42">
      <c r="A6" s="347" t="s">
        <v>176</v>
      </c>
      <c r="B6" s="348">
        <f>SUMIFS(RCS!$P:$P,RCS!$R:$R,Summary!$A6,RCS!$B:$B,Summary!B$3)</f>
        <v>4.2700913225578905</v>
      </c>
      <c r="C6" s="348">
        <f>SUMIFS(RCS!$P:$P,RCS!$R:$R,Summary!$A6,RCS!$B:$B,Summary!C$3)</f>
        <v>4.3302748881525224</v>
      </c>
      <c r="D6" s="354">
        <f t="shared" si="1"/>
        <v>6.0183565594631894E-2</v>
      </c>
      <c r="E6" s="356">
        <f>SUMIFS(RCS!P:P,RCS!B:B,Summary!$E$3,RCS!R:R,Summary!A6)</f>
        <v>0.86804199999999987</v>
      </c>
      <c r="F6" s="355">
        <f t="shared" si="0"/>
        <v>5.2241862645895448E-2</v>
      </c>
      <c r="P6" s="85" t="s">
        <v>177</v>
      </c>
      <c r="S6" s="323">
        <f t="shared" si="2"/>
        <v>0</v>
      </c>
      <c r="W6" s="324">
        <f t="shared" si="3"/>
        <v>0</v>
      </c>
      <c r="X6" s="323"/>
      <c r="AB6" s="323"/>
      <c r="AC6" s="323"/>
      <c r="AD6" s="323"/>
      <c r="AE6" s="323"/>
      <c r="AF6" s="323"/>
      <c r="AG6" s="323"/>
      <c r="AH6" s="353"/>
    </row>
    <row r="7" spans="1:42">
      <c r="A7" s="347" t="s">
        <v>178</v>
      </c>
      <c r="B7" s="348">
        <f>SUMIFS(RCS!$P:$P,RCS!$R:$R,Summary!$A7,RCS!$B:$B,Summary!B$3)</f>
        <v>8.7902961611320265</v>
      </c>
      <c r="C7" s="348">
        <f>SUMIFS(RCS!$P:$P,RCS!$R:$R,Summary!$A7,RCS!$B:$B,Summary!C$3)</f>
        <v>8.646189901834024</v>
      </c>
      <c r="D7" s="348">
        <f t="shared" si="1"/>
        <v>-0.14410625929800247</v>
      </c>
      <c r="E7" s="350">
        <f>SUMIFS(RCS!P:P,RCS!B:B,Summary!$E$3,RCS!R:R,Summary!A7)</f>
        <v>0.32790000000000002</v>
      </c>
      <c r="F7" s="351">
        <f t="shared" si="0"/>
        <v>-4.7252442423815016E-2</v>
      </c>
      <c r="K7" s="349"/>
      <c r="P7" s="85" t="s">
        <v>177</v>
      </c>
      <c r="S7" s="323">
        <f t="shared" si="2"/>
        <v>0</v>
      </c>
      <c r="W7" s="324">
        <f t="shared" si="3"/>
        <v>0</v>
      </c>
      <c r="X7" s="323"/>
      <c r="AB7" s="323"/>
      <c r="AC7" s="323"/>
      <c r="AD7" s="323"/>
      <c r="AE7" s="323"/>
      <c r="AF7" s="323"/>
      <c r="AG7" s="323"/>
      <c r="AH7" s="353"/>
    </row>
    <row r="8" spans="1:42" ht="91.5" customHeight="1">
      <c r="A8" s="347" t="s">
        <v>149</v>
      </c>
      <c r="B8" s="348">
        <f>SUMIFS(RCS!$P:$P,RCS!$R:$R,Summary!$A8,RCS!$B:$B,Summary!B$3)</f>
        <v>2.683293854610961</v>
      </c>
      <c r="C8" s="348">
        <f>SUMIFS(RCS!$P:$P,RCS!$R:$R,Summary!$A8,RCS!$B:$B,Summary!C$3)</f>
        <v>2.742739065527664</v>
      </c>
      <c r="D8" s="357">
        <f t="shared" si="1"/>
        <v>5.9445210916702962E-2</v>
      </c>
      <c r="E8" s="350">
        <f>SUMIFS(RCS!P:P,RCS!B:B,Summary!$E$3,RCS!R:R,Summary!A8)</f>
        <v>1.9245400000000001</v>
      </c>
      <c r="F8" s="351">
        <f t="shared" si="0"/>
        <v>0.11440468621763153</v>
      </c>
      <c r="K8" s="152" t="s">
        <v>179</v>
      </c>
      <c r="L8" s="152" t="s">
        <v>180</v>
      </c>
      <c r="P8" s="8" t="s">
        <v>181</v>
      </c>
      <c r="Q8" s="323">
        <f>RCS!I86</f>
        <v>2.6300292549926696</v>
      </c>
      <c r="R8" s="323">
        <f>RCS!I88</f>
        <v>2.764376999299488</v>
      </c>
      <c r="S8" s="323">
        <f t="shared" si="2"/>
        <v>0.1343477443068184</v>
      </c>
      <c r="U8" s="324">
        <f>RCS!O86</f>
        <v>2.6070409991820029</v>
      </c>
      <c r="V8" s="324">
        <f>RCS!O88</f>
        <v>2.7107036265405915</v>
      </c>
      <c r="W8" s="324">
        <f t="shared" si="3"/>
        <v>0.10366262735858855</v>
      </c>
      <c r="X8" s="323"/>
      <c r="Y8" s="323">
        <v>0</v>
      </c>
      <c r="Z8" s="323">
        <f>SUMIFS('Gap Analysis update'!$E:$E,'Gap Analysis update'!$B:$B,Summary!Z$16,'Gap Analysis update'!$A:$A,Summary!$A8)</f>
        <v>-4.0265428936819989E-2</v>
      </c>
      <c r="AA8" s="323">
        <f>SUMIFS('Gap Analysis update'!$E:$E,'Gap Analysis update'!$B:$B,Summary!AA$16,'Gap Analysis update'!$A:$A,Summary!$A8)</f>
        <v>0.19287040073210723</v>
      </c>
      <c r="AB8" s="323">
        <f>SUMIFS('Gap Analysis update'!$E:$E,'Gap Analysis update'!$B:$B,Summary!AB$3,'Gap Analysis update'!$A:$A,Summary!$A8)</f>
        <v>0</v>
      </c>
      <c r="AC8" s="323">
        <f>SUMIFS('Gap Analysis update'!$E:$E,'Gap Analysis update'!$B:$B,Summary!AC$3,'Gap Analysis update'!$A:$A,Summary!$A8)</f>
        <v>0.1888683329476348</v>
      </c>
      <c r="AD8" s="323">
        <f>SUMIFS('Gap Analysis update'!$E:$E,'Gap Analysis update'!$B:$B,Summary!AD$3,'Gap Analysis update'!$A:$A,Summary!$A8)</f>
        <v>4.0020677844724191E-3</v>
      </c>
      <c r="AE8" s="323">
        <f>SUMIFS('Gap Analysis update'!$E:$E,'Gap Analysis update'!$B:$B,Summary!AE$3,'Gap Analysis update'!$A:$A,Summary!$A8)</f>
        <v>0</v>
      </c>
      <c r="AF8" s="323">
        <f>SUMIFS('Gap Analysis update'!$E:$E,'Gap Analysis update'!$B:$B,Summary!AF$3,'Gap Analysis update'!$A:$A,Summary!$A8)</f>
        <v>0</v>
      </c>
      <c r="AG8" s="323">
        <f>SUMIFS('Gap Analysis update'!$E:$E,'Gap Analysis update'!$B:$B,Summary!AG$3,'Gap Analysis update'!$A:$A,Summary!$A8)</f>
        <v>0</v>
      </c>
      <c r="AH8" s="353"/>
      <c r="AJ8" s="296"/>
      <c r="AK8" s="401"/>
      <c r="AO8" s="401"/>
    </row>
    <row r="9" spans="1:42" ht="103.5" customHeight="1">
      <c r="A9" s="347" t="s">
        <v>153</v>
      </c>
      <c r="B9" s="348">
        <f>SUMIFS(RCS!$P:$P,RCS!$R:$R,Summary!$A9,RCS!$B:$B,Summary!B$3)</f>
        <v>2.7455886134217788</v>
      </c>
      <c r="C9" s="348">
        <f>SUMIFS(RCS!$P:$P,RCS!$R:$R,Summary!$A9,RCS!$B:$B,Summary!C$3)</f>
        <v>2.7939298862298325</v>
      </c>
      <c r="D9" s="357">
        <f t="shared" si="1"/>
        <v>4.834127280805367E-2</v>
      </c>
      <c r="E9" s="350">
        <f>SUMIFS(RCS!P:P,RCS!B:B,Summary!$E$3,RCS!R:R,Summary!A9)</f>
        <v>4.0740769999999999</v>
      </c>
      <c r="F9" s="351">
        <f t="shared" si="0"/>
        <v>0.19694606769801687</v>
      </c>
      <c r="H9" s="358"/>
      <c r="I9" s="358"/>
      <c r="J9" s="358"/>
      <c r="K9" s="359" t="s">
        <v>182</v>
      </c>
      <c r="L9" s="359" t="s">
        <v>182</v>
      </c>
      <c r="M9" s="85" t="s">
        <v>183</v>
      </c>
      <c r="P9" s="8" t="s">
        <v>184</v>
      </c>
      <c r="Q9" s="323">
        <f>RCS!I105</f>
        <v>2.6601484823219703</v>
      </c>
      <c r="R9" s="323">
        <f>RCS!I107</f>
        <v>2.7957965556167097</v>
      </c>
      <c r="S9" s="323">
        <f t="shared" si="2"/>
        <v>0.13564807329473938</v>
      </c>
      <c r="U9" s="324">
        <f>RCS!O105</f>
        <v>2.6371602265113037</v>
      </c>
      <c r="V9" s="324">
        <f>RCS!O107</f>
        <v>2.7114940737181668</v>
      </c>
      <c r="W9" s="324">
        <f t="shared" si="3"/>
        <v>7.4333847206863091E-2</v>
      </c>
      <c r="X9" s="323"/>
      <c r="Y9" s="323">
        <f>RCS!C109</f>
        <v>2.6815962159969953E-2</v>
      </c>
      <c r="Z9" s="323">
        <f>SUMIFS('Gap Analysis update'!$E:$E,'Gap Analysis update'!$B:$B,Summary!Z$16,'Gap Analysis update'!$A:$A,Summary!$A9)</f>
        <v>-3.9859439846244148E-2</v>
      </c>
      <c r="AA9" s="323">
        <f>SUMIFS('Gap Analysis update'!$E:$E,'Gap Analysis update'!$B:$B,Summary!AA$16,'Gap Analysis update'!$A:$A,Summary!$A9)</f>
        <v>0.10173649976559776</v>
      </c>
      <c r="AB9" s="323">
        <f>SUMIFS('Gap Analysis update'!$E:$E,'Gap Analysis update'!$B:$B,Summary!AB$3,'Gap Analysis update'!$A:$A,Summary!$A9)</f>
        <v>0</v>
      </c>
      <c r="AC9" s="323">
        <f>SUMIFS('Gap Analysis update'!$E:$E,'Gap Analysis update'!$B:$B,Summary!AC$3,'Gap Analysis update'!$A:$A,Summary!$A9)</f>
        <v>9.8050811759631082E-2</v>
      </c>
      <c r="AD9" s="323">
        <f>SUMIFS('Gap Analysis update'!$E:$E,'Gap Analysis update'!$B:$B,Summary!AD$3,'Gap Analysis update'!$A:$A,Summary!$A9)</f>
        <v>3.6856880059666832E-3</v>
      </c>
      <c r="AE9" s="323">
        <f>SUMIFS('Gap Analysis update'!$E:$E,'Gap Analysis update'!$B:$B,Summary!AE$3,'Gap Analysis update'!$A:$A,Summary!$A9)</f>
        <v>0</v>
      </c>
      <c r="AF9" s="323">
        <f>SUMIFS('Gap Analysis update'!$E:$E,'Gap Analysis update'!$B:$B,Summary!AF$3,'Gap Analysis update'!$A:$A,Summary!$A9)</f>
        <v>0</v>
      </c>
      <c r="AG9" s="323">
        <f>SUMIFS('Gap Analysis update'!$E:$E,'Gap Analysis update'!$B:$B,Summary!AG$3,'Gap Analysis update'!$A:$A,Summary!$A9)</f>
        <v>0</v>
      </c>
      <c r="AH9" s="353"/>
      <c r="AJ9" s="296"/>
      <c r="AO9" s="401"/>
      <c r="AP9" s="401"/>
    </row>
    <row r="10" spans="1:42" ht="16.5" customHeight="1">
      <c r="A10" s="360" t="s">
        <v>185</v>
      </c>
      <c r="B10" s="348">
        <f>SUMIFS(RCS!$P:$P,RCS!$R:$R,Summary!$A10,RCS!$B:$B,Summary!B$3)</f>
        <v>4.5603879648696308</v>
      </c>
      <c r="C10" s="348">
        <f>SUMIFS(RCS!$P:$P,RCS!$R:$R,Summary!$A10,RCS!$B:$B,Summary!C$3)</f>
        <v>4.3242302138618882</v>
      </c>
      <c r="D10" s="348">
        <f t="shared" si="1"/>
        <v>-0.23615775100774261</v>
      </c>
      <c r="E10" s="350">
        <f>SUMIFS(RCS!P:P,RCS!B:B,Summary!$E$3,RCS!R:R,Summary!A10)</f>
        <v>1.8126090000000001</v>
      </c>
      <c r="F10" s="351">
        <f t="shared" si="0"/>
        <v>-0.42806166489639336</v>
      </c>
      <c r="H10" s="85" t="s">
        <v>186</v>
      </c>
      <c r="K10" s="361">
        <f>B10*$K$2/$K$3</f>
        <v>4.6751825995576271</v>
      </c>
      <c r="L10" s="361">
        <f>C10*$K$2/$K$3</f>
        <v>4.4330802572202632</v>
      </c>
      <c r="S10" s="323">
        <f t="shared" si="2"/>
        <v>0</v>
      </c>
      <c r="W10" s="324">
        <f t="shared" si="3"/>
        <v>0</v>
      </c>
      <c r="X10" s="323"/>
      <c r="Z10" s="323">
        <f>SUMIFS('Gap Analysis update'!$E:$E,'Gap Analysis update'!$B:$B,Summary!Z$16,'Gap Analysis update'!$A:$A,Summary!$A10)</f>
        <v>0</v>
      </c>
      <c r="AA10" s="323">
        <f>SUMIFS('Gap Analysis update'!$E:$E,'Gap Analysis update'!$B:$B,Summary!AA$16,'Gap Analysis update'!$A:$A,Summary!$A10)</f>
        <v>0</v>
      </c>
      <c r="AB10" s="323">
        <f>SUMIFS('Gap Analysis update'!$E:$E,'Gap Analysis update'!$B:$B,Summary!AB$3,'Gap Analysis update'!$A:$A,Summary!$A10)</f>
        <v>0</v>
      </c>
      <c r="AC10" s="323">
        <f>SUMIFS('Gap Analysis update'!$E:$E,'Gap Analysis update'!$B:$B,Summary!AC$3,'Gap Analysis update'!$A:$A,Summary!$A10)</f>
        <v>0</v>
      </c>
      <c r="AD10" s="323">
        <f>SUMIFS('Gap Analysis update'!$E:$E,'Gap Analysis update'!$B:$B,Summary!AD$3,'Gap Analysis update'!$A:$A,Summary!$A10)</f>
        <v>0</v>
      </c>
      <c r="AE10" s="323">
        <f>SUMIFS('Gap Analysis update'!$E:$E,'Gap Analysis update'!$B:$B,Summary!AE$3,'Gap Analysis update'!$A:$A,Summary!$A10)</f>
        <v>0</v>
      </c>
      <c r="AF10" s="323">
        <f>SUMIFS('Gap Analysis update'!$E:$E,'Gap Analysis update'!$B:$B,Summary!AF$3,'Gap Analysis update'!$A:$A,Summary!$A10)</f>
        <v>0</v>
      </c>
      <c r="AG10" s="323">
        <f>SUMIFS('Gap Analysis update'!$E:$E,'Gap Analysis update'!$B:$B,Summary!AG$3,'Gap Analysis update'!$A:$A,Summary!$A10)</f>
        <v>0</v>
      </c>
      <c r="AH10" s="353"/>
    </row>
    <row r="11" spans="1:42">
      <c r="A11" s="360" t="s">
        <v>187</v>
      </c>
      <c r="B11" s="348">
        <f>SUMIFS(RCS!$P:$P,RCS!$R:$R,Summary!$A11,RCS!$B:$B,Summary!B$3)</f>
        <v>4.4355852658087453</v>
      </c>
      <c r="C11" s="348">
        <f>SUMIFS(RCS!$P:$P,RCS!$R:$R,Summary!$A11,RCS!$B:$B,Summary!C$3)</f>
        <v>4.4020593566953368</v>
      </c>
      <c r="D11" s="348">
        <f t="shared" ref="D11" si="4">C11-B11</f>
        <v>-3.3525909113408581E-2</v>
      </c>
      <c r="E11" s="350">
        <f>SUMIFS(RCS!P:P,RCS!B:B,Summary!$E$3,RCS!R:R,Summary!A11)</f>
        <v>0.164021</v>
      </c>
      <c r="F11" s="351">
        <f t="shared" si="0"/>
        <v>-5.498953138690389E-3</v>
      </c>
      <c r="H11" s="85" t="s">
        <v>186</v>
      </c>
      <c r="K11" s="361">
        <f>B11*$K$2/$K$3</f>
        <v>4.5472383519361506</v>
      </c>
      <c r="S11" s="323">
        <f t="shared" si="2"/>
        <v>0</v>
      </c>
      <c r="W11" s="324">
        <f t="shared" si="3"/>
        <v>0</v>
      </c>
      <c r="X11" s="323"/>
      <c r="Z11" s="323">
        <f>SUMIFS('Gap Analysis update'!$E:$E,'Gap Analysis update'!$B:$B,Summary!Z$16,'Gap Analysis update'!$A:$A,Summary!$A11)</f>
        <v>0</v>
      </c>
      <c r="AA11" s="323">
        <f>SUMIFS('Gap Analysis update'!$E:$E,'Gap Analysis update'!$B:$B,Summary!AA$16,'Gap Analysis update'!$A:$A,Summary!$A11)</f>
        <v>0</v>
      </c>
      <c r="AB11" s="323">
        <f>SUMIFS('Gap Analysis update'!$E:$E,'Gap Analysis update'!$B:$B,Summary!AB$3,'Gap Analysis update'!$A:$A,Summary!$A11)</f>
        <v>0</v>
      </c>
      <c r="AC11" s="323">
        <f>SUMIFS('Gap Analysis update'!$E:$E,'Gap Analysis update'!$B:$B,Summary!AC$3,'Gap Analysis update'!$A:$A,Summary!$A11)</f>
        <v>0</v>
      </c>
      <c r="AD11" s="323">
        <f>SUMIFS('Gap Analysis update'!$E:$E,'Gap Analysis update'!$B:$B,Summary!AD$3,'Gap Analysis update'!$A:$A,Summary!$A11)</f>
        <v>0</v>
      </c>
      <c r="AE11" s="323">
        <f>SUMIFS('Gap Analysis update'!$E:$E,'Gap Analysis update'!$B:$B,Summary!AE$3,'Gap Analysis update'!$A:$A,Summary!$A11)</f>
        <v>0</v>
      </c>
      <c r="AF11" s="323">
        <f>SUMIFS('Gap Analysis update'!$E:$E,'Gap Analysis update'!$B:$B,Summary!AF$3,'Gap Analysis update'!$A:$A,Summary!$A11)</f>
        <v>0</v>
      </c>
      <c r="AG11" s="323">
        <f>SUMIFS('Gap Analysis update'!$E:$E,'Gap Analysis update'!$B:$B,Summary!AG$3,'Gap Analysis update'!$A:$A,Summary!$A11)</f>
        <v>0</v>
      </c>
      <c r="AH11" s="353"/>
    </row>
    <row r="12" spans="1:42" ht="28.5" customHeight="1">
      <c r="A12" s="360" t="s">
        <v>188</v>
      </c>
      <c r="B12" s="348">
        <f>SUMIFS(RCS!$P:$P,RCS!$R:$R,Summary!$A12,RCS!$B:$B,Summary!B$3)</f>
        <v>19.333745615770834</v>
      </c>
      <c r="C12" s="348">
        <f>SUMIFS(RCS!$P:$P,RCS!$R:$R,Summary!$A12,RCS!$B:$B,Summary!C$3)</f>
        <v>20.128833849356599</v>
      </c>
      <c r="D12" s="348">
        <f t="shared" si="1"/>
        <v>0.79508823358576564</v>
      </c>
      <c r="E12" s="350">
        <f>SUMIFS(RCS!P:P,RCS!B:B,Summary!$E$3,RCS!R:R,Summary!A12)</f>
        <v>0.53528399999999998</v>
      </c>
      <c r="F12" s="412">
        <f t="shared" si="0"/>
        <v>0.42559801002672298</v>
      </c>
      <c r="G12" s="362"/>
      <c r="H12" s="85" t="s">
        <v>186</v>
      </c>
      <c r="K12" s="363"/>
      <c r="P12" s="8" t="s">
        <v>189</v>
      </c>
      <c r="S12" s="323">
        <f>R12-Q12</f>
        <v>0</v>
      </c>
      <c r="W12" s="324">
        <f t="shared" si="3"/>
        <v>0</v>
      </c>
      <c r="X12" s="323"/>
      <c r="AB12" s="323"/>
      <c r="AC12" s="323"/>
      <c r="AD12" s="323"/>
      <c r="AE12" s="323"/>
      <c r="AF12" s="323"/>
      <c r="AG12" s="323"/>
      <c r="AH12" s="353"/>
    </row>
    <row r="13" spans="1:42">
      <c r="A13" s="344" t="s">
        <v>190</v>
      </c>
      <c r="B13" s="344"/>
      <c r="C13" s="364"/>
      <c r="D13" s="364"/>
      <c r="F13" s="365">
        <f>SUM(F4:F12)</f>
        <v>-0.4017299504595731</v>
      </c>
      <c r="G13" s="362"/>
    </row>
    <row r="14" spans="1:42">
      <c r="B14" s="363"/>
      <c r="F14" s="362"/>
      <c r="G14" s="362"/>
    </row>
    <row r="15" spans="1:42" ht="28">
      <c r="B15" s="441" t="s">
        <v>164</v>
      </c>
      <c r="C15" s="441"/>
      <c r="D15" s="343"/>
      <c r="F15" s="362"/>
      <c r="G15" s="362"/>
      <c r="K15" s="331"/>
      <c r="Q15" s="325" t="s">
        <v>160</v>
      </c>
      <c r="R15" s="325" t="s">
        <v>160</v>
      </c>
      <c r="S15" s="325" t="s">
        <v>160</v>
      </c>
      <c r="T15" s="322"/>
      <c r="U15" s="326" t="s">
        <v>191</v>
      </c>
      <c r="V15" s="326" t="s">
        <v>191</v>
      </c>
      <c r="W15" s="326" t="s">
        <v>191</v>
      </c>
      <c r="Y15" s="326" t="s">
        <v>162</v>
      </c>
      <c r="Z15" s="326" t="s">
        <v>162</v>
      </c>
      <c r="AA15" s="326" t="s">
        <v>162</v>
      </c>
      <c r="AB15" s="326" t="s">
        <v>162</v>
      </c>
      <c r="AC15" s="326" t="s">
        <v>162</v>
      </c>
      <c r="AD15" s="326" t="s">
        <v>162</v>
      </c>
      <c r="AE15" s="326" t="s">
        <v>162</v>
      </c>
      <c r="AF15" s="326" t="s">
        <v>162</v>
      </c>
      <c r="AG15" s="326" t="s">
        <v>162</v>
      </c>
    </row>
    <row r="16" spans="1:42" ht="28">
      <c r="A16" s="344" t="s">
        <v>192</v>
      </c>
      <c r="B16" s="345" t="s">
        <v>4</v>
      </c>
      <c r="C16" s="346" t="s">
        <v>5</v>
      </c>
      <c r="D16" s="346" t="s">
        <v>168</v>
      </c>
      <c r="E16" s="346" t="s">
        <v>169</v>
      </c>
      <c r="F16" s="366" t="s">
        <v>6</v>
      </c>
      <c r="G16" s="362"/>
      <c r="P16" s="335" t="s">
        <v>172</v>
      </c>
      <c r="Q16" s="330" t="s">
        <v>4</v>
      </c>
      <c r="R16" s="330" t="s">
        <v>5</v>
      </c>
      <c r="S16" s="330" t="s">
        <v>168</v>
      </c>
      <c r="T16" s="330"/>
      <c r="U16" s="328" t="s">
        <v>4</v>
      </c>
      <c r="V16" s="328" t="s">
        <v>5</v>
      </c>
      <c r="W16" s="328" t="s">
        <v>168</v>
      </c>
      <c r="Y16" s="328" t="s">
        <v>173</v>
      </c>
      <c r="Z16" s="328" t="s">
        <v>22</v>
      </c>
      <c r="AA16" s="329" t="s">
        <v>21</v>
      </c>
      <c r="AB16" s="389" t="s">
        <v>24</v>
      </c>
      <c r="AC16" s="389" t="s">
        <v>33</v>
      </c>
      <c r="AD16" s="389" t="s">
        <v>43</v>
      </c>
      <c r="AE16" s="389" t="s">
        <v>49</v>
      </c>
      <c r="AF16" s="389" t="s">
        <v>53</v>
      </c>
      <c r="AG16" s="389" t="s">
        <v>58</v>
      </c>
    </row>
    <row r="17" spans="1:34" ht="147" customHeight="1">
      <c r="A17" s="85" t="s">
        <v>82</v>
      </c>
      <c r="B17" s="348">
        <f>SUMIFS(MoDi!$P:$P,MoDi!$R:$R,Summary!$A17,MoDi!$B:$B,Summary!B$16)</f>
        <v>0.89840818724477456</v>
      </c>
      <c r="C17" s="348">
        <f>SUMIFS(MoDi!$P:$P,MoDi!$R:$R,Summary!$A17,MoDi!$B:$B,Summary!C$16)</f>
        <v>0.93856362925955683</v>
      </c>
      <c r="D17" s="348">
        <f t="shared" ref="D17:D23" si="5">C17-B17</f>
        <v>4.0155442014782272E-2</v>
      </c>
      <c r="E17" s="358">
        <f>SUMIFS(MoDi!P:P,MoDi!B:B,Summary!$E$16,MoDi!R:R,Summary!A17)</f>
        <v>6.1972180000000003</v>
      </c>
      <c r="F17" s="351">
        <f t="shared" ref="F17:F23" si="6">D17*E17</f>
        <v>0.24885202805196496</v>
      </c>
      <c r="G17" s="362"/>
      <c r="P17" s="8" t="s">
        <v>193</v>
      </c>
      <c r="Q17" s="323">
        <f>MoDi!G11</f>
        <v>0.90421112283929661</v>
      </c>
      <c r="R17" s="323">
        <f>MoDi!G13</f>
        <v>0.94218406245657316</v>
      </c>
      <c r="S17" s="323">
        <f>R17-Q17</f>
        <v>3.7972939617276547E-2</v>
      </c>
      <c r="U17" s="324">
        <f>MoDi!O11</f>
        <v>0.87532612609009519</v>
      </c>
      <c r="V17" s="324">
        <f>MoDi!O13</f>
        <v>0.92325214492440866</v>
      </c>
      <c r="W17" s="324">
        <f>+V17-U17</f>
        <v>4.7926018834313466E-2</v>
      </c>
      <c r="X17" s="323"/>
      <c r="Y17" s="323">
        <v>0</v>
      </c>
      <c r="Z17" s="323">
        <f>SUMIFS('Gap Analysis update'!$E:$E,'Gap Analysis update'!$B:$B,Summary!Z$16,'Gap Analysis update'!$A:$A,Summary!$A17)</f>
        <v>1.3591245743514828E-3</v>
      </c>
      <c r="AA17" s="323">
        <f>SUMIFS('Gap Analysis update'!$E:$E,'Gap Analysis update'!$B:$B,Summary!AA$16,'Gap Analysis update'!$A:$A,Summary!$A17)</f>
        <v>3.9995007275336683E-3</v>
      </c>
      <c r="AB17" s="323">
        <f>SUMIFS('Gap Analysis update'!$E:$E,'Gap Analysis update'!$A:$A,Summary!$A17,'Gap Analysis update'!$B:$B,Summary!AB$16)</f>
        <v>0</v>
      </c>
      <c r="AC17" s="323">
        <f>SUMIFS('Gap Analysis update'!$E:$E,'Gap Analysis update'!$A:$A,Summary!$A17,'Gap Analysis update'!$B:$B,Summary!AC$16)</f>
        <v>-2.9197623700452681E-3</v>
      </c>
      <c r="AD17" s="323">
        <f>SUMIFS('Gap Analysis update'!$E:$E,'Gap Analysis update'!$A:$A,Summary!$A17,'Gap Analysis update'!$B:$B,Summary!AD$16)</f>
        <v>7.1434677431629519E-3</v>
      </c>
      <c r="AE17" s="323">
        <f>SUMIFS('Gap Analysis update'!$E:$E,'Gap Analysis update'!$A:$A,Summary!$A17,'Gap Analysis update'!$B:$B,Summary!AE$16)</f>
        <v>0</v>
      </c>
      <c r="AF17" s="323">
        <f>SUMIFS('Gap Analysis update'!$E:$E,'Gap Analysis update'!$A:$A,Summary!$A17,'Gap Analysis update'!$B:$B,Summary!AF$16)</f>
        <v>5.3952383955208245E-5</v>
      </c>
      <c r="AG17" s="323">
        <f>SUMIFS('Gap Analysis update'!$E:$E,'Gap Analysis update'!$A:$A,Summary!$A17,'Gap Analysis update'!$B:$B,Summary!AG$16)</f>
        <v>-2.781570295392246E-4</v>
      </c>
      <c r="AH17" s="353">
        <f>SUM(AB17:AG17)-AA17</f>
        <v>0</v>
      </c>
    </row>
    <row r="18" spans="1:34" ht="17.5" customHeight="1">
      <c r="A18" s="85" t="s">
        <v>93</v>
      </c>
      <c r="B18" s="348">
        <f>SUMIFS(MoDi!$P:$P,MoDi!$R:$R,Summary!$A18,MoDi!$B:$B,Summary!B$16)</f>
        <v>1.3506847818587471</v>
      </c>
      <c r="C18" s="348">
        <f>SUMIFS(MoDi!$P:$P,MoDi!$R:$R,Summary!$A18,MoDi!$B:$B,Summary!C$16)</f>
        <v>1.3843312599285209</v>
      </c>
      <c r="D18" s="367">
        <f t="shared" si="5"/>
        <v>3.3646478069773833E-2</v>
      </c>
      <c r="E18" s="358">
        <f>SUMIFS(MoDi!P:P,MoDi!B:B,Summary!$E$16,MoDi!R:R,Summary!A18)</f>
        <v>7.973573</v>
      </c>
      <c r="F18" s="355">
        <f t="shared" si="6"/>
        <v>0.26828264908224075</v>
      </c>
      <c r="G18" s="362"/>
      <c r="H18" s="358"/>
      <c r="Q18" s="323">
        <f>MoDi!G29</f>
        <v>1.3812540193139593</v>
      </c>
      <c r="R18" s="323">
        <f>MoDi!G31</f>
        <v>1.3837917586164481</v>
      </c>
      <c r="S18" s="323">
        <f t="shared" ref="S18:S23" si="7">R18-Q18</f>
        <v>2.5377393024887951E-3</v>
      </c>
      <c r="U18" s="324">
        <f>MoDi!O29</f>
        <v>1.3188367581171871</v>
      </c>
      <c r="V18" s="324">
        <f>MoDi!O31</f>
        <v>1.3641190601327924</v>
      </c>
      <c r="W18" s="324">
        <f t="shared" ref="W18:W23" si="8">+V18-U18</f>
        <v>4.5282302015605236E-2</v>
      </c>
      <c r="X18" s="323"/>
      <c r="Y18" s="323">
        <v>0</v>
      </c>
      <c r="Z18" s="323">
        <f>SUMIFS('Gap Analysis update'!$E:$E,'Gap Analysis update'!$B:$B,Summary!Z$16,'Gap Analysis update'!$A:$A,Summary!$A18)</f>
        <v>2.3805051428001864E-3</v>
      </c>
      <c r="AA18" s="323">
        <f>SUMIFS('Gap Analysis update'!$E:$E,'Gap Analysis update'!$B:$B,Summary!AA$16,'Gap Analysis update'!$A:$A,Summary!$A18)</f>
        <v>2.1158111338214505E-2</v>
      </c>
      <c r="AB18" s="323">
        <f>SUMIFS('Gap Analysis update'!$E:$E,'Gap Analysis update'!$A:$A,Summary!$A18,'Gap Analysis update'!$B:$B,Summary!AB$16)</f>
        <v>0</v>
      </c>
      <c r="AC18" s="323">
        <f>SUMIFS('Gap Analysis update'!$E:$E,'Gap Analysis update'!$A:$A,Summary!$A18,'Gap Analysis update'!$B:$B,Summary!AC$16)</f>
        <v>-1.9838930677814576E-2</v>
      </c>
      <c r="AD18" s="323">
        <f>SUMIFS('Gap Analysis update'!$E:$E,'Gap Analysis update'!$A:$A,Summary!$A18,'Gap Analysis update'!$B:$B,Summary!AD$16)</f>
        <v>-4.6472678070917685E-3</v>
      </c>
      <c r="AE18" s="323">
        <f>SUMIFS('Gap Analysis update'!$E:$E,'Gap Analysis update'!$A:$A,Summary!$A18,'Gap Analysis update'!$B:$B,Summary!AE$16)</f>
        <v>0</v>
      </c>
      <c r="AF18" s="323">
        <f>SUMIFS('Gap Analysis update'!$E:$E,'Gap Analysis update'!$A:$A,Summary!$A18,'Gap Analysis update'!$B:$B,Summary!AF$16)</f>
        <v>5.3952383955208245E-5</v>
      </c>
      <c r="AG18" s="323">
        <f>SUMIFS('Gap Analysis update'!$E:$E,'Gap Analysis update'!$A:$A,Summary!$A18,'Gap Analysis update'!$B:$B,Summary!AG$16)</f>
        <v>4.5590357439165646E-2</v>
      </c>
      <c r="AH18" s="353">
        <f t="shared" ref="AH18:AH22" si="9">SUM(AB18:AG18)-AA18</f>
        <v>0</v>
      </c>
    </row>
    <row r="19" spans="1:34" ht="91" customHeight="1">
      <c r="A19" s="85" t="s">
        <v>107</v>
      </c>
      <c r="B19" s="348">
        <f>SUMIFS(MoDi!$P:$P,MoDi!$R:$R,Summary!$A19,MoDi!$B:$B,Summary!B$16)</f>
        <v>1.8678925797808896</v>
      </c>
      <c r="C19" s="348">
        <f>SUMIFS(MoDi!$P:$P,MoDi!$R:$R,Summary!$A19,MoDi!$B:$B,Summary!C$16)</f>
        <v>2.1132867112933282</v>
      </c>
      <c r="D19" s="367">
        <f t="shared" si="5"/>
        <v>0.24539413151243861</v>
      </c>
      <c r="E19" s="358">
        <f>SUMIFS(MoDi!P:P,MoDi!B:B,Summary!$E$16,MoDi!R:R,Summary!A19)</f>
        <v>2.9004969999999997</v>
      </c>
      <c r="F19" s="355">
        <f t="shared" si="6"/>
        <v>0.71176494226943354</v>
      </c>
      <c r="G19" s="362"/>
      <c r="P19" s="403" t="s">
        <v>194</v>
      </c>
      <c r="Q19" s="323">
        <f>MoDi!G48</f>
        <v>1.8433765962551854</v>
      </c>
      <c r="R19" s="323">
        <f>MoDi!G50</f>
        <v>2.1020985552130447</v>
      </c>
      <c r="S19" s="323">
        <f t="shared" si="7"/>
        <v>0.25872195895785932</v>
      </c>
      <c r="U19" s="324">
        <f>MoDi!O48</f>
        <v>1.8290071707223914</v>
      </c>
      <c r="V19" s="324">
        <f>MoDi!O50</f>
        <v>2.1164994229504988</v>
      </c>
      <c r="W19" s="324">
        <f t="shared" si="8"/>
        <v>0.28749225222810737</v>
      </c>
      <c r="X19" s="323"/>
      <c r="Y19" s="323">
        <f>'MoDi Initiatives'!I151-'MoDi Initiatives'!I136</f>
        <v>0.10021730145603014</v>
      </c>
      <c r="Z19" s="323">
        <f>SUMIFS('Gap Analysis update'!$E:$E,'Gap Analysis update'!$B:$B,Summary!Z$16,'Gap Analysis update'!$A:$A,Summary!$A19)</f>
        <v>4.2385920136441879E-2</v>
      </c>
      <c r="AA19" s="323">
        <f>SUMIFS('Gap Analysis update'!$E:$E,'Gap Analysis update'!$B:$B,Summary!AA$16,'Gap Analysis update'!$A:$A,Summary!$A19)</f>
        <v>0.1380325263968592</v>
      </c>
      <c r="AB19" s="323">
        <f>SUMIFS('Gap Analysis update'!$E:$E,'Gap Analysis update'!$A:$A,Summary!$A19,'Gap Analysis update'!$B:$B,Summary!AB$16)</f>
        <v>0</v>
      </c>
      <c r="AC19" s="323">
        <f>SUMIFS('Gap Analysis update'!$E:$E,'Gap Analysis update'!$A:$A,Summary!$A19,'Gap Analysis update'!$B:$B,Summary!AC$16)</f>
        <v>0.13768010137154091</v>
      </c>
      <c r="AD19" s="323">
        <f>SUMIFS('Gap Analysis update'!$E:$E,'Gap Analysis update'!$A:$A,Summary!$A19,'Gap Analysis update'!$B:$B,Summary!AD$16)</f>
        <v>2.7915461546655085E-3</v>
      </c>
      <c r="AE19" s="323">
        <f>SUMIFS('Gap Analysis update'!$E:$E,'Gap Analysis update'!$A:$A,Summary!$A19,'Gap Analysis update'!$B:$B,Summary!AE$16)</f>
        <v>0</v>
      </c>
      <c r="AF19" s="323">
        <f>SUMIFS('Gap Analysis update'!$E:$E,'Gap Analysis update'!$A:$A,Summary!$A19,'Gap Analysis update'!$B:$B,Summary!AF$16)</f>
        <v>5.3952383955208245E-5</v>
      </c>
      <c r="AG19" s="323">
        <f>SUMIFS('Gap Analysis update'!$E:$E,'Gap Analysis update'!$A:$A,Summary!$A19,'Gap Analysis update'!$B:$B,Summary!AG$16)</f>
        <v>-2.4930735133024376E-3</v>
      </c>
      <c r="AH19" s="353">
        <f t="shared" si="9"/>
        <v>0</v>
      </c>
    </row>
    <row r="20" spans="1:34" ht="97.5" customHeight="1">
      <c r="A20" s="85" t="s">
        <v>121</v>
      </c>
      <c r="B20" s="348">
        <f>SUMIFS(MoDi!$P:$P,MoDi!$R:$R,Summary!$A20,MoDi!$B:$B,Summary!B$16)</f>
        <v>2.0492613169859384</v>
      </c>
      <c r="C20" s="348">
        <f>SUMIFS(MoDi!$P:$P,MoDi!$R:$R,Summary!$A20,MoDi!$B:$B,Summary!C$16)</f>
        <v>2.1586498479767595</v>
      </c>
      <c r="D20" s="367">
        <f t="shared" si="5"/>
        <v>0.10938853099082113</v>
      </c>
      <c r="E20" s="358">
        <f>SUMIFS(MoDi!P:P,MoDi!B:B,Summary!$E$16,MoDi!R:R,Summary!A20)</f>
        <v>4.4288650000000001</v>
      </c>
      <c r="F20" s="355">
        <f t="shared" si="6"/>
        <v>0.48446703630666305</v>
      </c>
      <c r="G20" s="362"/>
      <c r="P20" s="403" t="s">
        <v>195</v>
      </c>
      <c r="Q20" s="323">
        <f>MoDi!G67</f>
        <v>2.0320380180046755</v>
      </c>
      <c r="R20" s="323">
        <f>MoDi!G69</f>
        <v>2.1467163508041121</v>
      </c>
      <c r="S20" s="323">
        <f t="shared" si="7"/>
        <v>0.11467833279943651</v>
      </c>
      <c r="U20" s="324">
        <f>MoDi!O67</f>
        <v>2.0176685924718818</v>
      </c>
      <c r="V20" s="324">
        <f>MoDi!O69</f>
        <v>2.1627104221003215</v>
      </c>
      <c r="W20" s="324">
        <f t="shared" si="8"/>
        <v>0.1450418296284397</v>
      </c>
      <c r="X20" s="323"/>
      <c r="Y20" s="323">
        <v>0</v>
      </c>
      <c r="Z20" s="323">
        <f>SUMIFS('Gap Analysis update'!$E:$E,'Gap Analysis update'!$B:$B,Summary!Z$16,'Gap Analysis update'!$A:$A,Summary!$A20)</f>
        <v>3.2810526297144885E-3</v>
      </c>
      <c r="AA20" s="323">
        <f>SUMIFS('Gap Analysis update'!$E:$E,'Gap Analysis update'!$B:$B,Summary!AA$16,'Gap Analysis update'!$A:$A,Summary!$A20)</f>
        <v>0.14867879540664886</v>
      </c>
      <c r="AB20" s="323">
        <f>SUMIFS('Gap Analysis update'!$E:$E,'Gap Analysis update'!$A:$A,Summary!$A20,'Gap Analysis update'!$B:$B,Summary!AB$16)</f>
        <v>0</v>
      </c>
      <c r="AC20" s="323">
        <f>SUMIFS('Gap Analysis update'!$E:$E,'Gap Analysis update'!$A:$A,Summary!$A20,'Gap Analysis update'!$B:$B,Summary!AC$16)</f>
        <v>0.15245507958808754</v>
      </c>
      <c r="AD20" s="323">
        <f>SUMIFS('Gap Analysis update'!$E:$E,'Gap Analysis update'!$A:$A,Summary!$A20,'Gap Analysis update'!$B:$B,Summary!AD$16)</f>
        <v>-4.4556083637270595E-3</v>
      </c>
      <c r="AE20" s="323">
        <f>SUMIFS('Gap Analysis update'!$E:$E,'Gap Analysis update'!$A:$A,Summary!$A20,'Gap Analysis update'!$B:$B,Summary!AE$16)</f>
        <v>0</v>
      </c>
      <c r="AF20" s="323">
        <f>SUMIFS('Gap Analysis update'!$E:$E,'Gap Analysis update'!$A:$A,Summary!$A20,'Gap Analysis update'!$B:$B,Summary!AF$16)</f>
        <v>5.3952383955983667E-5</v>
      </c>
      <c r="AG20" s="323">
        <f>SUMIFS('Gap Analysis update'!$E:$E,'Gap Analysis update'!$A:$A,Summary!$A20,'Gap Analysis update'!$B:$B,Summary!AG$16)</f>
        <v>6.2537179833239542E-4</v>
      </c>
      <c r="AH20" s="353">
        <f t="shared" si="9"/>
        <v>0</v>
      </c>
    </row>
    <row r="21" spans="1:34" ht="47.15" customHeight="1">
      <c r="A21" s="85" t="s">
        <v>131</v>
      </c>
      <c r="B21" s="348">
        <f>SUMIFS(MoDi!$P:$P,MoDi!$R:$R,Summary!$A21,MoDi!$B:$B,Summary!B$16)</f>
        <v>2.2669284526439895</v>
      </c>
      <c r="C21" s="348">
        <f>SUMIFS(MoDi!$P:$P,MoDi!$R:$R,Summary!$A21,MoDi!$B:$B,Summary!C$16)</f>
        <v>2.4438235758942932</v>
      </c>
      <c r="D21" s="367">
        <f t="shared" si="5"/>
        <v>0.17689512325030377</v>
      </c>
      <c r="E21" s="358">
        <f>SUMIFS(MoDi!P:P,MoDi!B:B,Summary!$E$16,MoDi!R:R,Summary!A21)</f>
        <v>1.0600399999999999</v>
      </c>
      <c r="F21" s="355">
        <f t="shared" si="6"/>
        <v>0.18751590645025198</v>
      </c>
      <c r="G21" s="362"/>
      <c r="P21" s="403" t="s">
        <v>196</v>
      </c>
      <c r="Q21" s="323">
        <f>MoDi!G86</f>
        <v>2.2362240331657373</v>
      </c>
      <c r="R21" s="323">
        <f>MoDi!G88</f>
        <v>2.4323168597239211</v>
      </c>
      <c r="S21" s="323">
        <f t="shared" si="7"/>
        <v>0.19609282655818383</v>
      </c>
      <c r="U21" s="324">
        <f>MoDi!O86</f>
        <v>2.2218546076329435</v>
      </c>
      <c r="V21" s="324">
        <f>MoDi!O88</f>
        <v>2.4438817934893136</v>
      </c>
      <c r="W21" s="324">
        <f t="shared" si="8"/>
        <v>0.22202718585637005</v>
      </c>
      <c r="X21" s="323"/>
      <c r="Y21" s="323">
        <f>'MoDi Initiatives'!I272-'MoDi Initiatives'!I254</f>
        <v>6.2502824025415293E-2</v>
      </c>
      <c r="Z21" s="323">
        <f>SUMIFS('Gap Analysis update'!$E:$E,'Gap Analysis update'!$B:$B,Summary!Z$16,'Gap Analysis update'!$A:$A,Summary!$A21)</f>
        <v>3.9023030004812151E-3</v>
      </c>
      <c r="AA21" s="323">
        <f>SUMIFS('Gap Analysis update'!$E:$E,'Gap Analysis update'!$B:$B,Summary!AA$16,'Gap Analysis update'!$A:$A,Summary!$A21)</f>
        <v>0.14530247044857628</v>
      </c>
      <c r="AB21" s="323">
        <f>SUMIFS('Gap Analysis update'!$E:$E,'Gap Analysis update'!$A:$A,Summary!$A21,'Gap Analysis update'!$B:$B,Summary!AB$16)</f>
        <v>0</v>
      </c>
      <c r="AC21" s="323">
        <f>SUMIFS('Gap Analysis update'!$E:$E,'Gap Analysis update'!$A:$A,Summary!$A21,'Gap Analysis update'!$B:$B,Summary!AC$16)</f>
        <v>0.1497610647994386</v>
      </c>
      <c r="AD21" s="323">
        <f>SUMIFS('Gap Analysis update'!$E:$E,'Gap Analysis update'!$A:$A,Summary!$A21,'Gap Analysis update'!$B:$B,Summary!AD$16)</f>
        <v>-4.6472942660732109E-3</v>
      </c>
      <c r="AE21" s="323">
        <f>SUMIFS('Gap Analysis update'!$E:$E,'Gap Analysis update'!$A:$A,Summary!$A21,'Gap Analysis update'!$B:$B,Summary!AE$16)</f>
        <v>0</v>
      </c>
      <c r="AF21" s="323">
        <f>SUMIFS('Gap Analysis update'!$E:$E,'Gap Analysis update'!$A:$A,Summary!$A21,'Gap Analysis update'!$B:$B,Summary!AF$16)</f>
        <v>5.3952383955208245E-5</v>
      </c>
      <c r="AG21" s="323">
        <f>SUMIFS('Gap Analysis update'!$E:$E,'Gap Analysis update'!$A:$A,Summary!$A21,'Gap Analysis update'!$B:$B,Summary!AG$16)</f>
        <v>1.3474753125564861E-4</v>
      </c>
      <c r="AH21" s="353">
        <f>SUM(AB21:AG21)-AA21</f>
        <v>0</v>
      </c>
    </row>
    <row r="22" spans="1:34" ht="126.65" customHeight="1">
      <c r="A22" s="85" t="s">
        <v>19</v>
      </c>
      <c r="B22" s="348">
        <f>SUMIFS(MoDi!$P:$P,MoDi!$R:$R,Summary!$A22,MoDi!$B:$B,Summary!B$16)</f>
        <v>0.87513163354787982</v>
      </c>
      <c r="C22" s="348">
        <f>SUMIFS(MoDi!$P:$P,MoDi!$R:$R,Summary!$A22,MoDi!$B:$B,Summary!C$16)</f>
        <v>0.91317235074423031</v>
      </c>
      <c r="D22" s="367">
        <f t="shared" si="5"/>
        <v>3.8040717196350493E-2</v>
      </c>
      <c r="E22" s="358">
        <f>SUMIFS(MoDi!P:P,MoDi!B:B,Summary!$E$16,MoDi!R:R,Summary!A22)</f>
        <v>53.616787999999993</v>
      </c>
      <c r="F22" s="413">
        <f t="shared" si="6"/>
        <v>2.0396210692846783</v>
      </c>
      <c r="G22" s="362"/>
      <c r="P22" s="8" t="s">
        <v>197</v>
      </c>
      <c r="Q22" s="323">
        <f>MoDi!G105</f>
        <v>0.87754355251014182</v>
      </c>
      <c r="R22" s="323">
        <f>MoDi!G107</f>
        <v>0.91124326746907192</v>
      </c>
      <c r="S22" s="323">
        <f t="shared" si="7"/>
        <v>3.3699714958930094E-2</v>
      </c>
      <c r="U22" s="324">
        <f>MoDi!O105</f>
        <v>0.85344887925345048</v>
      </c>
      <c r="V22" s="324">
        <f>MoDi!O107</f>
        <v>0.90657775736846047</v>
      </c>
      <c r="W22" s="324">
        <f t="shared" si="8"/>
        <v>5.3128878115009992E-2</v>
      </c>
      <c r="X22" s="323"/>
      <c r="Y22" s="323">
        <v>0</v>
      </c>
      <c r="Z22" s="323">
        <f>SUMIFS('Gap Analysis update'!$E:$E,'Gap Analysis update'!$B:$B,Summary!Z$16,'Gap Analysis update'!$A:$A,Summary!$A22)</f>
        <v>1.2744847617686371E-3</v>
      </c>
      <c r="AA22" s="323">
        <f>SUMIFS('Gap Analysis update'!$E:$E,'Gap Analysis update'!$B:$B,Summary!AA$16,'Gap Analysis update'!$A:$A,Summary!$A22)</f>
        <v>3.7609626087893824E-2</v>
      </c>
      <c r="AB22" s="323">
        <f>SUMIFS('Gap Analysis update'!$E:$E,'Gap Analysis update'!$A:$A,Summary!$A22,'Gap Analysis update'!$B:$B,Summary!AB$16)</f>
        <v>0</v>
      </c>
      <c r="AC22" s="323">
        <f>SUMIFS('Gap Analysis update'!$E:$E,'Gap Analysis update'!$A:$A,Summary!$A22,'Gap Analysis update'!$B:$B,Summary!AC$16)</f>
        <v>1.7470596037722282E-2</v>
      </c>
      <c r="AD22" s="323">
        <f>SUMIFS('Gap Analysis update'!$E:$E,'Gap Analysis update'!$A:$A,Summary!$A22,'Gap Analysis update'!$B:$B,Summary!AD$16)</f>
        <v>4.1900034138826177E-3</v>
      </c>
      <c r="AE22" s="323">
        <f>SUMIFS('Gap Analysis update'!$E:$E,'Gap Analysis update'!$A:$A,Summary!$A22,'Gap Analysis update'!$B:$B,Summary!AE$16)</f>
        <v>0</v>
      </c>
      <c r="AF22" s="323">
        <f>SUMIFS('Gap Analysis update'!$E:$E,'Gap Analysis update'!$A:$A,Summary!$A22,'Gap Analysis update'!$B:$B,Summary!AF$16)</f>
        <v>5.3952383955208245E-5</v>
      </c>
      <c r="AG22" s="323">
        <f>SUMIFS('Gap Analysis update'!$E:$E,'Gap Analysis update'!$A:$A,Summary!$A22,'Gap Analysis update'!$B:$B,Summary!AG$16)</f>
        <v>1.5895074252333715E-2</v>
      </c>
      <c r="AH22" s="353">
        <f t="shared" si="9"/>
        <v>0</v>
      </c>
    </row>
    <row r="23" spans="1:34" ht="58.5" customHeight="1">
      <c r="A23" s="85" t="s">
        <v>64</v>
      </c>
      <c r="B23" s="348">
        <f>SUMIFS(MoDi!$P:$P,MoDi!$R:$R,Summary!$A23,MoDi!$B:$B,Summary!B$16)</f>
        <v>1.2293491453425949</v>
      </c>
      <c r="C23" s="348">
        <f>SUMIFS(MoDi!$P:$P,MoDi!$R:$R,Summary!$A23,MoDi!$B:$B,Summary!C$16)</f>
        <v>1.2264887904873238</v>
      </c>
      <c r="D23" s="354">
        <f t="shared" si="5"/>
        <v>-2.8603548552710301E-3</v>
      </c>
      <c r="E23" s="358">
        <f>SUMIFS(MoDi!P:P,MoDi!B:B,Summary!$E$16,MoDi!R:R,Summary!A23)</f>
        <v>6.9393530000000005</v>
      </c>
      <c r="F23" s="351">
        <f t="shared" si="6"/>
        <v>-1.984901204598959E-2</v>
      </c>
      <c r="G23" s="362"/>
      <c r="H23" s="358"/>
      <c r="P23" s="8" t="s">
        <v>198</v>
      </c>
      <c r="Q23" s="323">
        <f>MoDi!G124</f>
        <v>1.2256498840995462</v>
      </c>
      <c r="R23" s="323">
        <f>MoDi!G126</f>
        <v>1.2333213743192284</v>
      </c>
      <c r="S23" s="323">
        <f t="shared" si="7"/>
        <v>7.6714902196821644E-3</v>
      </c>
      <c r="U23" s="324">
        <f>MoDi!O124</f>
        <v>1.2111358578278753</v>
      </c>
      <c r="V23" s="324">
        <f>MoDi!O126</f>
        <v>1.2053224138756542</v>
      </c>
      <c r="W23" s="324">
        <f t="shared" si="8"/>
        <v>-5.8134439522210535E-3</v>
      </c>
      <c r="X23" s="323"/>
      <c r="Y23" s="323">
        <v>0</v>
      </c>
      <c r="Z23" s="323">
        <f>SUMIFS('Gap Analysis update'!$E:$E,'Gap Analysis update'!$B:$B,Summary!Z$16,'Gap Analysis update'!$A:$A,Summary!$A23)</f>
        <v>2.0098005264999573E-3</v>
      </c>
      <c r="AA23" s="323">
        <f>SUMIFS('Gap Analysis update'!$E:$E,'Gap Analysis update'!$B:$B,Summary!AA$16,'Gap Analysis update'!$A:$A,Summary!$A23)</f>
        <v>-2.3132448044000761E-2</v>
      </c>
      <c r="AB23" s="323">
        <f>SUMIFS('Gap Analysis update'!$E:$E,'Gap Analysis update'!$A:$A,Summary!$A23,'Gap Analysis update'!$B:$B,Summary!AB$16)</f>
        <v>0</v>
      </c>
      <c r="AC23" s="323">
        <f>SUMIFS('Gap Analysis update'!$E:$E,'Gap Analysis update'!$A:$A,Summary!$A23,'Gap Analysis update'!$B:$B,Summary!AC$16)</f>
        <v>-2.2593529895741132E-2</v>
      </c>
      <c r="AD23" s="323">
        <f>SUMIFS('Gap Analysis update'!$E:$E,'Gap Analysis update'!$A:$A,Summary!$A23,'Gap Analysis update'!$B:$B,Summary!AD$16)</f>
        <v>-1.7541687000337345E-4</v>
      </c>
      <c r="AE23" s="323">
        <f>SUMIFS('Gap Analysis update'!$E:$E,'Gap Analysis update'!$A:$A,Summary!$A23,'Gap Analysis update'!$B:$B,Summary!AE$16)</f>
        <v>0</v>
      </c>
      <c r="AF23" s="323">
        <f>SUMIFS('Gap Analysis update'!$E:$E,'Gap Analysis update'!$A:$A,Summary!$A23,'Gap Analysis update'!$B:$B,Summary!AF$16)</f>
        <v>5.3952383955208245E-5</v>
      </c>
      <c r="AG23" s="323">
        <f>SUMIFS('Gap Analysis update'!$E:$E,'Gap Analysis update'!$A:$A,Summary!$A23,'Gap Analysis update'!$B:$B,Summary!AG$16)</f>
        <v>-4.1745366221146907E-4</v>
      </c>
      <c r="AH23" s="353"/>
    </row>
    <row r="24" spans="1:34" ht="32.5" customHeight="1">
      <c r="A24" s="344" t="s">
        <v>190</v>
      </c>
      <c r="B24" s="344"/>
      <c r="C24" s="364"/>
      <c r="D24" s="364"/>
      <c r="E24" s="358"/>
      <c r="F24" s="368">
        <f>SUM(F17:F23)</f>
        <v>3.9206546193992429</v>
      </c>
      <c r="G24" s="362"/>
    </row>
    <row r="25" spans="1:34">
      <c r="F25" s="362"/>
      <c r="G25" s="362"/>
    </row>
    <row r="26" spans="1:34">
      <c r="F26" s="362"/>
      <c r="G26" s="362"/>
    </row>
    <row r="27" spans="1:34">
      <c r="A27" s="344" t="s">
        <v>199</v>
      </c>
      <c r="B27" s="344"/>
      <c r="C27" s="364"/>
      <c r="D27" s="364"/>
      <c r="F27" s="369">
        <f>F24+F13</f>
        <v>3.5189246689396696</v>
      </c>
      <c r="G27" s="362"/>
      <c r="H27" s="358"/>
    </row>
    <row r="29" spans="1:34">
      <c r="AA29" s="335" t="s">
        <v>200</v>
      </c>
    </row>
    <row r="30" spans="1:34">
      <c r="AA30" s="390" t="s">
        <v>201</v>
      </c>
    </row>
    <row r="31" spans="1:34">
      <c r="AA31" s="85" t="s">
        <v>202</v>
      </c>
      <c r="AB31" s="331">
        <v>4.7370429540699224</v>
      </c>
      <c r="AC31" s="331">
        <v>7.122165474791613</v>
      </c>
      <c r="AD31" s="331">
        <v>0.13056859220966241</v>
      </c>
      <c r="AE31" s="331">
        <v>1.6268116747274437</v>
      </c>
      <c r="AF31" s="331">
        <v>1.1574223700516553</v>
      </c>
      <c r="AG31" s="331">
        <v>2.6257989568456086</v>
      </c>
      <c r="AH31" s="392">
        <f>SUM(AB31:AG31)</f>
        <v>17.399810022695906</v>
      </c>
    </row>
    <row r="32" spans="1:34">
      <c r="AA32" s="85" t="s">
        <v>203</v>
      </c>
      <c r="AB32" s="331">
        <v>1.396656799155241</v>
      </c>
      <c r="AC32" s="331">
        <v>5.5347762633310813</v>
      </c>
      <c r="AD32" s="331">
        <v>0.41649796278216178</v>
      </c>
      <c r="AE32" s="331">
        <v>0.77359309808940346</v>
      </c>
      <c r="AF32" s="331">
        <v>0.8796996990565078</v>
      </c>
      <c r="AG32" s="331">
        <v>1.1836337376260218</v>
      </c>
      <c r="AH32" s="392">
        <f>SUM(AB32:AG32)</f>
        <v>10.184857560040417</v>
      </c>
    </row>
    <row r="33" spans="27:34">
      <c r="AA33" s="323" t="s">
        <v>6</v>
      </c>
      <c r="AB33" s="391">
        <f>+AB32-AB31</f>
        <v>-3.3403861549146816</v>
      </c>
      <c r="AC33" s="391">
        <f t="shared" ref="AC33:AH33" si="10">+AC32-AC31</f>
        <v>-1.5873892114605317</v>
      </c>
      <c r="AD33" s="391">
        <f t="shared" si="10"/>
        <v>0.28592937057249934</v>
      </c>
      <c r="AE33" s="391">
        <f t="shared" si="10"/>
        <v>-0.85321857663804024</v>
      </c>
      <c r="AF33" s="391">
        <f t="shared" si="10"/>
        <v>-0.27772267099514747</v>
      </c>
      <c r="AG33" s="391">
        <f t="shared" si="10"/>
        <v>-1.4421652192195868</v>
      </c>
      <c r="AH33" s="393">
        <f t="shared" si="10"/>
        <v>-7.2149524626554893</v>
      </c>
    </row>
    <row r="34" spans="27:34">
      <c r="AH34" s="335"/>
    </row>
    <row r="35" spans="27:34">
      <c r="AA35" s="390" t="s">
        <v>204</v>
      </c>
      <c r="AH35" s="335"/>
    </row>
    <row r="36" spans="27:34">
      <c r="AA36" s="85" t="s">
        <v>202</v>
      </c>
      <c r="AB36" s="331">
        <f>3363330.42486773/(1000000)</f>
        <v>3.3633304248677303</v>
      </c>
      <c r="AC36" s="331">
        <f>0/(1000000)</f>
        <v>0</v>
      </c>
      <c r="AD36" s="331">
        <f>1158124.07817734/(1000000)</f>
        <v>1.1581240781773401</v>
      </c>
      <c r="AE36" s="331">
        <f>3880138.54971914/(1000000)</f>
        <v>3.8801385497191401</v>
      </c>
      <c r="AF36" s="331">
        <f>1142104.2973918/(1000000)</f>
        <v>1.1421042973918001</v>
      </c>
      <c r="AG36" s="331">
        <f>2768593.83973204/(1000000)</f>
        <v>2.76859383973204</v>
      </c>
      <c r="AH36" s="392">
        <f>SUM(AB36:AG36)</f>
        <v>12.31229118988805</v>
      </c>
    </row>
    <row r="37" spans="27:34">
      <c r="AA37" s="85" t="s">
        <v>203</v>
      </c>
      <c r="AB37" s="331">
        <f>(+'[3]Pivot-SOP2'!$J$43+'[3]Pivot-SOP2'!$K$43)/(1000000)</f>
        <v>3.8756562102805936</v>
      </c>
      <c r="AC37" s="331">
        <f>0/(1000000)</f>
        <v>0</v>
      </c>
      <c r="AD37" s="331">
        <f>617720.018178379/(1000000)</f>
        <v>0.61772001817837907</v>
      </c>
      <c r="AE37" s="331">
        <f>2754305.66813152/(1000000)</f>
        <v>2.7543056681315199</v>
      </c>
      <c r="AF37" s="331">
        <f>2547807.6581856/(1000000)</f>
        <v>2.5478076581856</v>
      </c>
      <c r="AG37" s="331">
        <f>4770867.99420619/(1000000)</f>
        <v>4.7708679942061902</v>
      </c>
      <c r="AH37" s="392">
        <f>SUM(AB37:AG37)</f>
        <v>14.566357548982284</v>
      </c>
    </row>
    <row r="38" spans="27:34">
      <c r="AA38" s="323" t="s">
        <v>6</v>
      </c>
      <c r="AB38" s="391">
        <f>+AB37-AB36</f>
        <v>0.51232578541286333</v>
      </c>
      <c r="AC38" s="391">
        <f t="shared" ref="AC38" si="11">+AC37-AC36</f>
        <v>0</v>
      </c>
      <c r="AD38" s="391">
        <f t="shared" ref="AD38" si="12">+AD37-AD36</f>
        <v>-0.54040405999896102</v>
      </c>
      <c r="AE38" s="391">
        <f t="shared" ref="AE38" si="13">+AE37-AE36</f>
        <v>-1.1258328815876202</v>
      </c>
      <c r="AF38" s="391">
        <f t="shared" ref="AF38" si="14">+AF37-AF36</f>
        <v>1.4057033607937999</v>
      </c>
      <c r="AG38" s="391">
        <f t="shared" ref="AG38" si="15">+AG37-AG36</f>
        <v>2.0022741544741502</v>
      </c>
      <c r="AH38" s="393">
        <f t="shared" ref="AH38" si="16">+AH37-AH36</f>
        <v>2.2540663590942334</v>
      </c>
    </row>
  </sheetData>
  <mergeCells count="2">
    <mergeCell ref="B2:C2"/>
    <mergeCell ref="B15:C15"/>
  </mergeCells>
  <phoneticPr fontId="57" type="noConversion"/>
  <conditionalFormatting sqref="D4:D12">
    <cfRule type="cellIs" dxfId="5" priority="5" operator="lessThan">
      <formula>0</formula>
    </cfRule>
  </conditionalFormatting>
  <conditionalFormatting sqref="D23">
    <cfRule type="cellIs" dxfId="4" priority="1" operator="lessThan">
      <formula>0</formula>
    </cfRule>
  </conditionalFormatting>
  <conditionalFormatting sqref="F4:F12">
    <cfRule type="cellIs" dxfId="3" priority="4" operator="lessThan">
      <formula>0</formula>
    </cfRule>
  </conditionalFormatting>
  <conditionalFormatting sqref="AB4:AG14 AB17:AG23">
    <cfRule type="cellIs" dxfId="2" priority="2" operator="greaterThan">
      <formula>0</formula>
    </cfRule>
    <cfRule type="cellIs" dxfId="1" priority="3" operator="less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0207-44D1-44C7-A705-87E2B8503A78}">
  <sheetPr>
    <tabColor theme="4" tint="0.79998168889431442"/>
  </sheetPr>
  <dimension ref="A1:W186"/>
  <sheetViews>
    <sheetView showGridLines="0" zoomScaleNormal="100" workbookViewId="0">
      <selection activeCell="C11" sqref="C11"/>
    </sheetView>
  </sheetViews>
  <sheetFormatPr defaultRowHeight="14"/>
  <cols>
    <col min="1" max="1" width="24.83203125" customWidth="1"/>
    <col min="2" max="2" width="18.4140625" customWidth="1"/>
    <col min="3" max="3" width="9.83203125" customWidth="1"/>
    <col min="4" max="9" width="9.1640625" bestFit="1" customWidth="1"/>
    <col min="10" max="10" width="9.5" bestFit="1" customWidth="1"/>
    <col min="11" max="15" width="9.1640625" bestFit="1" customWidth="1"/>
    <col min="16" max="16" width="16.83203125" customWidth="1"/>
    <col min="17" max="17" width="11.5" bestFit="1" customWidth="1"/>
    <col min="19" max="19" width="10.1640625" bestFit="1" customWidth="1"/>
    <col min="20" max="20" width="22.5" bestFit="1" customWidth="1"/>
    <col min="23" max="23" width="17.75" bestFit="1" customWidth="1"/>
  </cols>
  <sheetData>
    <row r="1" spans="1:23" ht="14.5">
      <c r="A1" s="71"/>
      <c r="B1" s="71"/>
      <c r="C1" s="71"/>
      <c r="D1" s="71"/>
      <c r="E1" s="71"/>
      <c r="F1" s="71"/>
      <c r="G1" s="71"/>
      <c r="H1" s="71"/>
      <c r="I1" s="321">
        <v>45689</v>
      </c>
      <c r="J1" s="71"/>
      <c r="K1" s="71"/>
      <c r="L1" s="71"/>
      <c r="M1" s="71"/>
      <c r="N1" s="71"/>
      <c r="O1" s="321">
        <v>45870</v>
      </c>
      <c r="P1" s="71"/>
      <c r="Q1" s="71"/>
      <c r="V1" s="112">
        <v>8.81203</v>
      </c>
      <c r="W1" t="s">
        <v>159</v>
      </c>
    </row>
    <row r="2" spans="1:23" ht="14.5">
      <c r="A2" s="52" t="s">
        <v>136</v>
      </c>
      <c r="B2" s="52"/>
      <c r="C2" s="52"/>
      <c r="D2" s="52"/>
      <c r="E2" s="52"/>
      <c r="F2" s="52"/>
      <c r="G2" s="52"/>
      <c r="H2" s="52"/>
      <c r="I2" s="52"/>
      <c r="J2" s="52"/>
      <c r="K2" s="52"/>
      <c r="L2" s="52"/>
      <c r="M2" s="52"/>
      <c r="N2" s="52"/>
      <c r="O2" s="52"/>
      <c r="P2" s="52"/>
      <c r="Q2" s="71"/>
      <c r="V2" s="112">
        <v>9.1977399999999996</v>
      </c>
      <c r="W2" t="s">
        <v>165</v>
      </c>
    </row>
    <row r="3" spans="1:23">
      <c r="A3" s="80" t="s">
        <v>205</v>
      </c>
      <c r="B3" s="80"/>
      <c r="C3" s="80"/>
      <c r="D3" s="81">
        <v>45658</v>
      </c>
      <c r="E3" s="81">
        <v>45689</v>
      </c>
      <c r="F3" s="81">
        <v>45717</v>
      </c>
      <c r="G3" s="81">
        <v>45748</v>
      </c>
      <c r="H3" s="81">
        <v>45778</v>
      </c>
      <c r="I3" s="81">
        <v>45809</v>
      </c>
      <c r="J3" s="81">
        <v>45839</v>
      </c>
      <c r="K3" s="81">
        <v>45870</v>
      </c>
      <c r="L3" s="81">
        <v>45901</v>
      </c>
      <c r="M3" s="81">
        <v>45931</v>
      </c>
      <c r="N3" s="81">
        <v>45962</v>
      </c>
      <c r="O3" s="81">
        <v>45992</v>
      </c>
      <c r="P3" s="60" t="s">
        <v>206</v>
      </c>
      <c r="Q3" s="71"/>
    </row>
    <row r="4" spans="1:23">
      <c r="A4" s="1" t="s">
        <v>207</v>
      </c>
      <c r="B4" s="12" t="s">
        <v>208</v>
      </c>
      <c r="D4" s="3">
        <f>'[4]Vols ePod'!AN99</f>
        <v>15.013258000000002</v>
      </c>
      <c r="E4" s="3">
        <f>'[4]Vols ePod'!AO99</f>
        <v>15.316861000000001</v>
      </c>
      <c r="F4" s="3">
        <f>'[4]Vols ePod'!AP99</f>
        <v>16.771349000000001</v>
      </c>
      <c r="G4" s="3">
        <f>'[4]Vols ePod'!AQ99</f>
        <v>17.652559999999998</v>
      </c>
      <c r="H4" s="3">
        <f>'[4]Vols ePod'!AR99</f>
        <v>19.404150999999999</v>
      </c>
      <c r="I4" s="3">
        <f>'[4]Vols ePod'!AS99</f>
        <v>20.028272999999992</v>
      </c>
      <c r="J4" s="3">
        <f>'[4]Vols ePod'!AT99</f>
        <v>20.931476000000004</v>
      </c>
      <c r="K4" s="3">
        <f>'[4]Vols ePod'!AU99</f>
        <v>20.644253999999997</v>
      </c>
      <c r="L4" s="3">
        <f>'[4]Vols ePod'!AV99</f>
        <v>21.503456000000003</v>
      </c>
      <c r="M4" s="3">
        <f>'[4]Vols ePod'!AW99</f>
        <v>23.085967999999998</v>
      </c>
      <c r="N4" s="3">
        <f>'[4]Vols ePod'!AX99</f>
        <v>21.402287000000001</v>
      </c>
      <c r="O4" s="3">
        <f>'[4]Vols ePod'!AY99</f>
        <v>22.986530999999999</v>
      </c>
      <c r="P4" s="54">
        <f>SUM(D4:O4)</f>
        <v>234.74042400000002</v>
      </c>
      <c r="Q4" s="71"/>
    </row>
    <row r="5" spans="1:23">
      <c r="A5" s="1"/>
      <c r="B5" s="64" t="s">
        <v>169</v>
      </c>
      <c r="C5" s="65"/>
      <c r="D5" s="66">
        <f>'[5]Volume Summary'!L75</f>
        <v>7.1511880000000048</v>
      </c>
      <c r="E5" s="66">
        <f>'[5]Volume Summary'!M75</f>
        <v>11.165300000000002</v>
      </c>
      <c r="F5" s="66">
        <f>'[5]Volume Summary'!N75</f>
        <v>12.155783</v>
      </c>
      <c r="G5" s="66">
        <f>'[5]Volume Summary'!O75</f>
        <v>15.154559000000004</v>
      </c>
      <c r="H5" s="66">
        <f>'[5]Volume Summary'!P75</f>
        <v>16.814134999999997</v>
      </c>
      <c r="I5" s="66">
        <f>'[5]Volume Summary'!Q75</f>
        <v>30.860008000000018</v>
      </c>
      <c r="J5" s="66">
        <f>'[5]Volume Summary'!R75</f>
        <v>16.046365999999999</v>
      </c>
      <c r="K5" s="66">
        <f>'[5]Volume Summary'!S75</f>
        <v>18.167704999999998</v>
      </c>
      <c r="L5" s="66">
        <f>'[5]Volume Summary'!T75</f>
        <v>19.646608999999998</v>
      </c>
      <c r="M5" s="66">
        <f>'[5]Volume Summary'!U75</f>
        <v>22.615279000000001</v>
      </c>
      <c r="N5" s="66">
        <f>'[5]Volume Summary'!V75</f>
        <v>22.234042999999996</v>
      </c>
      <c r="O5" s="66">
        <f>'[5]Volume Summary'!W75</f>
        <v>37.124830000000003</v>
      </c>
      <c r="P5" s="67">
        <f>SUM(D5:O5)</f>
        <v>229.13580500000003</v>
      </c>
      <c r="Q5" s="71"/>
      <c r="R5" t="s">
        <v>136</v>
      </c>
    </row>
    <row r="6" spans="1:23">
      <c r="Q6" s="71"/>
    </row>
    <row r="7" spans="1:23">
      <c r="A7" s="36" t="s">
        <v>209</v>
      </c>
      <c r="B7" s="37"/>
      <c r="C7" s="38">
        <v>45505</v>
      </c>
      <c r="D7" s="39">
        <v>45536</v>
      </c>
      <c r="E7" s="39">
        <v>45566</v>
      </c>
      <c r="F7" s="39">
        <v>45597</v>
      </c>
      <c r="G7" s="39">
        <v>45627</v>
      </c>
      <c r="H7" s="39">
        <v>45658</v>
      </c>
      <c r="I7" s="39">
        <v>45689</v>
      </c>
      <c r="J7" s="39">
        <v>45717</v>
      </c>
      <c r="K7" s="39">
        <v>45748</v>
      </c>
      <c r="L7" s="39">
        <v>45778</v>
      </c>
      <c r="M7" s="39">
        <v>45809</v>
      </c>
      <c r="N7" s="39">
        <v>45839</v>
      </c>
      <c r="O7" s="39">
        <v>45870</v>
      </c>
      <c r="P7" s="37"/>
      <c r="Q7" s="71"/>
    </row>
    <row r="8" spans="1:23">
      <c r="A8" s="8" t="s">
        <v>210</v>
      </c>
      <c r="B8" s="12" t="s">
        <v>4</v>
      </c>
      <c r="C8" s="9"/>
      <c r="D8" s="9">
        <f>SUMIFS('RCS Initiatives'!G:G,'RCS Initiatives'!$A:$A,RCS!$A$2,'RCS Initiatives'!$B:$B,RCS!$B8)</f>
        <v>-4.6310478501069882E-2</v>
      </c>
      <c r="E8" s="9">
        <f>SUMIFS('RCS Initiatives'!H:H,'RCS Initiatives'!$A:$A,RCS!$A$2,'RCS Initiatives'!$B:$B,RCS!$B8)</f>
        <v>0</v>
      </c>
      <c r="F8" s="9">
        <f>SUMIFS('RCS Initiatives'!I:I,'RCS Initiatives'!$A:$A,RCS!$A$2,'RCS Initiatives'!$B:$B,RCS!$B8)</f>
        <v>0</v>
      </c>
      <c r="G8" s="9">
        <f>SUMIFS('RCS Initiatives'!J:J,'RCS Initiatives'!$A:$A,RCS!$A$2,'RCS Initiatives'!$B:$B,RCS!$B8)</f>
        <v>-3.3088590649292142E-2</v>
      </c>
      <c r="H8" s="9">
        <f>SUMIFS('RCS Initiatives'!K:K,'RCS Initiatives'!$A:$A,RCS!$A$2,'RCS Initiatives'!$B:$B,RCS!$B8)</f>
        <v>-8.6225822865182121E-3</v>
      </c>
      <c r="I8" s="9">
        <f>SUMIFS('RCS Initiatives'!L:L,'RCS Initiatives'!$A:$A,RCS!$A$2,'RCS Initiatives'!$B:$B,RCS!$B8)</f>
        <v>0</v>
      </c>
      <c r="J8" s="9">
        <f>SUMIFS('RCS Initiatives'!M:M,'RCS Initiatives'!$A:$A,RCS!$A$2,'RCS Initiatives'!$B:$B,RCS!$B8)</f>
        <v>0</v>
      </c>
      <c r="K8" s="9">
        <f>SUMIFS('RCS Initiatives'!N:N,'RCS Initiatives'!$A:$A,RCS!$A$2,'RCS Initiatives'!$B:$B,RCS!$B8)</f>
        <v>0</v>
      </c>
      <c r="L8" s="9">
        <f>SUMIFS('RCS Initiatives'!O:O,'RCS Initiatives'!$A:$A,RCS!$A$2,'RCS Initiatives'!$B:$B,RCS!$B8)</f>
        <v>-7.6105652040609987E-3</v>
      </c>
      <c r="M8" s="9">
        <f>SUMIFS('RCS Initiatives'!P:P,'RCS Initiatives'!$A:$A,RCS!$A$2,'RCS Initiatives'!$B:$B,RCS!$B8)</f>
        <v>0</v>
      </c>
      <c r="N8" s="9">
        <f>SUMIFS('RCS Initiatives'!Q:Q,'RCS Initiatives'!$A:$A,RCS!$A$2,'RCS Initiatives'!$B:$B,RCS!$B8)</f>
        <v>-1.4133906807541854E-2</v>
      </c>
      <c r="O8" s="9">
        <f>SUMIFS('RCS Initiatives'!R:R,'RCS Initiatives'!$A:$A,RCS!$A$2,'RCS Initiatives'!$B:$B,RCS!$B8)</f>
        <v>0</v>
      </c>
      <c r="P8" s="9"/>
      <c r="Q8" s="71"/>
    </row>
    <row r="9" spans="1:23">
      <c r="A9" s="8" t="s">
        <v>210</v>
      </c>
      <c r="B9" s="13" t="s">
        <v>5</v>
      </c>
      <c r="C9" s="9"/>
      <c r="D9" s="9">
        <f>SUMIFS('RCS Initiatives'!G:G,'RCS Initiatives'!$A:$A,RCS!$A$2,'RCS Initiatives'!$B:$B,RCS!$B9)</f>
        <v>-4.2903023169184401E-2</v>
      </c>
      <c r="E9" s="9">
        <f>SUMIFS('RCS Initiatives'!H:H,'RCS Initiatives'!$A:$A,RCS!$A$2,'RCS Initiatives'!$B:$B,RCS!$B9)</f>
        <v>-2.557807080537408E-3</v>
      </c>
      <c r="F9" s="9">
        <f>SUMIFS('RCS Initiatives'!I:I,'RCS Initiatives'!$A:$A,RCS!$A$2,'RCS Initiatives'!$B:$B,RCS!$B9)</f>
        <v>0</v>
      </c>
      <c r="G9" s="9">
        <f>SUMIFS('RCS Initiatives'!J:J,'RCS Initiatives'!$A:$A,RCS!$A$2,'RCS Initiatives'!$B:$B,RCS!$B9)</f>
        <v>-1.0872236005801821E-2</v>
      </c>
      <c r="H9" s="9">
        <f>SUMIFS('RCS Initiatives'!K:K,'RCS Initiatives'!$A:$A,RCS!$A$2,'RCS Initiatives'!$B:$B,RCS!$B9)</f>
        <v>-2.3158084004952289E-3</v>
      </c>
      <c r="I9" s="9">
        <f>SUMIFS('RCS Initiatives'!L:L,'RCS Initiatives'!$A:$A,RCS!$A$2,'RCS Initiatives'!$B:$B,RCS!$B9)</f>
        <v>-1.8245414307792827E-3</v>
      </c>
      <c r="J9" s="9">
        <f>SUMIFS('RCS Initiatives'!M:M,'RCS Initiatives'!$A:$A,RCS!$A$2,'RCS Initiatives'!$B:$B,RCS!$B9)</f>
        <v>-1.497690947419553E-2</v>
      </c>
      <c r="K9" s="9">
        <f>SUMIFS('RCS Initiatives'!N:N,'RCS Initiatives'!$A:$A,RCS!$A$2,'RCS Initiatives'!$B:$B,RCS!$B9)</f>
        <v>-1.2628865560887987E-3</v>
      </c>
      <c r="L9" s="9">
        <f>SUMIFS('RCS Initiatives'!O:O,'RCS Initiatives'!$A:$A,RCS!$A$2,'RCS Initiatives'!$B:$B,RCS!$B9)</f>
        <v>-1.1610565204060999E-2</v>
      </c>
      <c r="M9" s="9">
        <f>SUMIFS('RCS Initiatives'!P:P,'RCS Initiatives'!$A:$A,RCS!$A$2,'RCS Initiatives'!$B:$B,RCS!$B9)</f>
        <v>1.9936846798181483E-3</v>
      </c>
      <c r="N9" s="9">
        <f>SUMIFS('RCS Initiatives'!Q:Q,'RCS Initiatives'!$A:$A,RCS!$A$2,'RCS Initiatives'!$B:$B,RCS!$B9)</f>
        <v>2.3215913065286744E-3</v>
      </c>
      <c r="O9" s="9">
        <f>SUMIFS('RCS Initiatives'!R:R,'RCS Initiatives'!$A:$A,RCS!$A$2,'RCS Initiatives'!$B:$B,RCS!$B9)</f>
        <v>0</v>
      </c>
      <c r="P9" s="9"/>
      <c r="Q9" s="71"/>
      <c r="V9" s="14" t="s">
        <v>211</v>
      </c>
      <c r="W9" s="14" t="s">
        <v>212</v>
      </c>
    </row>
    <row r="10" spans="1:23">
      <c r="A10" s="36" t="s">
        <v>213</v>
      </c>
      <c r="B10" s="37"/>
      <c r="C10" s="37"/>
      <c r="D10" s="37"/>
      <c r="E10" s="37"/>
      <c r="F10" s="37"/>
      <c r="G10" s="37"/>
      <c r="H10" s="37"/>
      <c r="I10" s="37"/>
      <c r="J10" s="37"/>
      <c r="K10" s="37"/>
      <c r="L10" s="37"/>
      <c r="M10" s="37"/>
      <c r="N10" s="37"/>
      <c r="O10" s="37"/>
      <c r="P10" s="16" t="s">
        <v>214</v>
      </c>
      <c r="Q10" s="63" t="s">
        <v>215</v>
      </c>
      <c r="V10" s="14" t="s">
        <v>216</v>
      </c>
      <c r="W10" s="14" t="s">
        <v>217</v>
      </c>
    </row>
    <row r="11" spans="1:23">
      <c r="A11" s="1"/>
      <c r="B11" s="12" t="s">
        <v>4</v>
      </c>
      <c r="C11" s="20">
        <f>'[4]ePod Pods'!$AE$403</f>
        <v>0.60208658933233961</v>
      </c>
      <c r="D11" s="9">
        <f>C11+D8</f>
        <v>0.55577611083126977</v>
      </c>
      <c r="E11" s="9">
        <f t="shared" ref="E11:O11" si="0">D11+E8</f>
        <v>0.55577611083126977</v>
      </c>
      <c r="F11" s="9">
        <f t="shared" si="0"/>
        <v>0.55577611083126977</v>
      </c>
      <c r="G11" s="9">
        <f t="shared" si="0"/>
        <v>0.52268752018197762</v>
      </c>
      <c r="H11" s="9">
        <f t="shared" si="0"/>
        <v>0.51406493789545937</v>
      </c>
      <c r="I11" s="9">
        <f t="shared" si="0"/>
        <v>0.51406493789545937</v>
      </c>
      <c r="J11" s="9">
        <f t="shared" si="0"/>
        <v>0.51406493789545937</v>
      </c>
      <c r="K11" s="9">
        <f>J11+K8</f>
        <v>0.51406493789545937</v>
      </c>
      <c r="L11" s="9">
        <f t="shared" si="0"/>
        <v>0.50645437269139837</v>
      </c>
      <c r="M11" s="9">
        <f t="shared" si="0"/>
        <v>0.50645437269139837</v>
      </c>
      <c r="N11" s="9">
        <f t="shared" si="0"/>
        <v>0.49232046588385653</v>
      </c>
      <c r="O11" s="9">
        <f t="shared" si="0"/>
        <v>0.49232046588385653</v>
      </c>
      <c r="P11" s="20">
        <f>SUMPRODUCT(D11:O11,$D$4:$O$4)/$P$4</f>
        <v>0.51752538150040739</v>
      </c>
      <c r="Q11" s="72">
        <f>P11*$P$4</f>
        <v>121.4841274841674</v>
      </c>
      <c r="R11" t="s">
        <v>136</v>
      </c>
      <c r="T11" t="str">
        <f>R11</f>
        <v xml:space="preserve">Hestia 1.0 </v>
      </c>
      <c r="U11" t="s">
        <v>218</v>
      </c>
      <c r="V11" s="48">
        <f>P11*$V$2/$V$1</f>
        <v>0.5401779048007731</v>
      </c>
      <c r="W11" s="143" t="s">
        <v>219</v>
      </c>
    </row>
    <row r="12" spans="1:23" ht="7.5" customHeight="1">
      <c r="A12" s="1"/>
      <c r="B12" s="14"/>
      <c r="C12" s="5">
        <f>C11-'[4]ePod Pods'!AE403</f>
        <v>0</v>
      </c>
      <c r="D12" s="5">
        <f>D11-'[4]ePod Pods'!AF403</f>
        <v>0</v>
      </c>
      <c r="E12" s="5">
        <f>E11-'[4]ePod Pods'!AG403</f>
        <v>0</v>
      </c>
      <c r="F12" s="5">
        <f>F11-'[4]ePod Pods'!AH403</f>
        <v>0</v>
      </c>
      <c r="G12" s="5">
        <f>G11-'[4]ePod Pods'!AI403</f>
        <v>0</v>
      </c>
      <c r="H12" s="5">
        <f>H11-'[4]ePod Pods'!AJ403</f>
        <v>0</v>
      </c>
      <c r="I12" s="5">
        <f>I11-'[4]ePod Pods'!AK403</f>
        <v>0</v>
      </c>
      <c r="J12" s="5">
        <f>J11-'[4]ePod Pods'!AL403</f>
        <v>0</v>
      </c>
      <c r="K12" s="5">
        <f>K11-'[4]ePod Pods'!AM403</f>
        <v>0</v>
      </c>
      <c r="L12" s="5">
        <f>L11-'[4]ePod Pods'!AN403</f>
        <v>0</v>
      </c>
      <c r="M12" s="5">
        <f>M11-'[4]ePod Pods'!AO403</f>
        <v>0</v>
      </c>
      <c r="N12" s="5">
        <f>N11-'[4]ePod Pods'!AP403</f>
        <v>0</v>
      </c>
      <c r="O12" s="5">
        <f>O11-'[4]ePod Pods'!AQ403</f>
        <v>0</v>
      </c>
      <c r="P12" s="17"/>
      <c r="Q12" s="73"/>
    </row>
    <row r="13" spans="1:23">
      <c r="A13" s="1"/>
      <c r="B13" s="13" t="s">
        <v>5</v>
      </c>
      <c r="C13" s="20">
        <f>'[6]ePod Pods'!$AE$418</f>
        <v>0.58390181771409322</v>
      </c>
      <c r="D13" s="9">
        <f>C13+D9</f>
        <v>0.54099879454490885</v>
      </c>
      <c r="E13" s="9">
        <f t="shared" ref="E13:O13" si="1">D13+E9</f>
        <v>0.53844098746437141</v>
      </c>
      <c r="F13" s="9">
        <f t="shared" si="1"/>
        <v>0.53844098746437141</v>
      </c>
      <c r="G13" s="9">
        <f t="shared" si="1"/>
        <v>0.52756875145856963</v>
      </c>
      <c r="H13" s="146">
        <f t="shared" si="1"/>
        <v>0.52525294305807435</v>
      </c>
      <c r="I13" s="146">
        <f t="shared" si="1"/>
        <v>0.52342840162729509</v>
      </c>
      <c r="J13" s="146">
        <f>I13+J9</f>
        <v>0.50845149215309959</v>
      </c>
      <c r="K13" s="146">
        <f>J13+K9</f>
        <v>0.50718860559701084</v>
      </c>
      <c r="L13" s="9">
        <f t="shared" si="1"/>
        <v>0.49557804039294984</v>
      </c>
      <c r="M13" s="9">
        <f t="shared" si="1"/>
        <v>0.49757172507276798</v>
      </c>
      <c r="N13" s="9">
        <f t="shared" si="1"/>
        <v>0.49989331637929663</v>
      </c>
      <c r="O13" s="9">
        <f t="shared" si="1"/>
        <v>0.49989331637929663</v>
      </c>
      <c r="P13" s="20">
        <f>SUMPRODUCT(D13:O13,$D$4:$O$4)/$P$4</f>
        <v>0.51475822884228395</v>
      </c>
      <c r="Q13" s="72">
        <f>P13*$P$4</f>
        <v>120.83456489592677</v>
      </c>
      <c r="R13" t="s">
        <v>136</v>
      </c>
      <c r="T13" t="s">
        <v>176</v>
      </c>
      <c r="U13" t="s">
        <v>220</v>
      </c>
      <c r="V13" s="48">
        <f>P48*$V$2/$V$1</f>
        <v>4.4569968283294097</v>
      </c>
      <c r="W13" s="143" t="s">
        <v>219</v>
      </c>
    </row>
    <row r="14" spans="1:23" ht="13" customHeight="1">
      <c r="C14" s="5">
        <f>C13-'[5]CoGS Tracker Vap-C'!H8</f>
        <v>0</v>
      </c>
      <c r="D14" s="5">
        <f>D13-'[5]CoGS Tracker Vap-C'!I8</f>
        <v>0</v>
      </c>
      <c r="E14" s="5">
        <f>E13-'[5]CoGS Tracker Vap-C'!J8</f>
        <v>0</v>
      </c>
      <c r="F14" s="5">
        <f>F13-'[5]CoGS Tracker Vap-C'!K8</f>
        <v>0</v>
      </c>
      <c r="G14" s="5">
        <f>G13-'[5]CoGS Tracker Vap-C'!L8</f>
        <v>0</v>
      </c>
      <c r="H14" s="5">
        <f>H13-'[5]CoGS Tracker Vap-C'!M8</f>
        <v>0</v>
      </c>
      <c r="I14" s="5">
        <f>I13-'[5]CoGS Tracker Vap-C'!N8</f>
        <v>0</v>
      </c>
      <c r="J14" s="5">
        <f>J13-'[5]CoGS Tracker Vap-C'!O8</f>
        <v>-1.4501001029250116E-2</v>
      </c>
      <c r="K14" s="226">
        <f>K13-'[5]CoGS Tracker Vap-C'!P8</f>
        <v>-1.9782344470655744E-2</v>
      </c>
      <c r="L14" s="123">
        <f>L13-'[5]CoGS Tracker Vap-C'!Q8</f>
        <v>-2.3470117779573751E-2</v>
      </c>
      <c r="M14" s="5">
        <f>M13-'[5]CoGS Tracker Vap-C'!R8</f>
        <v>-9.3362109720319109E-3</v>
      </c>
      <c r="N14" s="5">
        <f>N13-'[5]CoGS Tracker Vap-C'!S8</f>
        <v>-6.6884525853291854E-3</v>
      </c>
      <c r="O14" s="5">
        <f>O13-'[5]CoGS Tracker Vap-C'!T8</f>
        <v>-7.7622893038792329E-4</v>
      </c>
      <c r="Q14" s="73"/>
    </row>
    <row r="15" spans="1:23">
      <c r="A15" s="49"/>
      <c r="B15" s="49" t="s">
        <v>221</v>
      </c>
      <c r="C15" s="50">
        <f>C13-C11</f>
        <v>-1.8184771618246387E-2</v>
      </c>
      <c r="D15" s="50">
        <f t="shared" ref="D15:O15" si="2">D13-D11</f>
        <v>-1.477731628636092E-2</v>
      </c>
      <c r="E15" s="50">
        <f t="shared" si="2"/>
        <v>-1.7335123366898353E-2</v>
      </c>
      <c r="F15" s="50">
        <f t="shared" si="2"/>
        <v>-1.7335123366898353E-2</v>
      </c>
      <c r="G15" s="50">
        <f t="shared" si="2"/>
        <v>4.8812312765920129E-3</v>
      </c>
      <c r="H15" s="50">
        <f t="shared" si="2"/>
        <v>1.1188005162614978E-2</v>
      </c>
      <c r="I15" s="50">
        <f t="shared" si="2"/>
        <v>9.3634637318357195E-3</v>
      </c>
      <c r="J15" s="50">
        <f t="shared" si="2"/>
        <v>-5.6134457423597794E-3</v>
      </c>
      <c r="K15" s="50">
        <f t="shared" si="2"/>
        <v>-6.8763322984485287E-3</v>
      </c>
      <c r="L15" s="50">
        <f t="shared" si="2"/>
        <v>-1.0876332298448532E-2</v>
      </c>
      <c r="M15" s="50">
        <f t="shared" si="2"/>
        <v>-8.8826476186303904E-3</v>
      </c>
      <c r="N15" s="50">
        <f t="shared" si="2"/>
        <v>7.5728504954400977E-3</v>
      </c>
      <c r="O15" s="50">
        <f t="shared" si="2"/>
        <v>7.5728504954400977E-3</v>
      </c>
      <c r="P15" s="50">
        <f>P13-P11</f>
        <v>-2.7671526581234396E-3</v>
      </c>
      <c r="Q15" s="73">
        <f>Q13-Q11</f>
        <v>-0.64956258824062729</v>
      </c>
      <c r="T15" t="s">
        <v>178</v>
      </c>
      <c r="U15" t="s">
        <v>222</v>
      </c>
      <c r="V15" s="48">
        <f>P67*$V$2/$V$1</f>
        <v>9.175054852637869</v>
      </c>
      <c r="W15" s="143" t="s">
        <v>219</v>
      </c>
    </row>
    <row r="16" spans="1:23">
      <c r="A16" s="71"/>
      <c r="B16" s="71"/>
      <c r="C16" s="71"/>
      <c r="D16" s="71"/>
      <c r="E16" s="71"/>
      <c r="F16" s="71"/>
      <c r="G16" s="71"/>
      <c r="H16" s="71"/>
      <c r="I16" s="71"/>
      <c r="J16" s="71"/>
      <c r="K16" s="71"/>
      <c r="L16" s="71"/>
      <c r="M16" s="71"/>
      <c r="N16" s="71"/>
      <c r="O16" s="71"/>
      <c r="P16" s="71"/>
      <c r="Q16" s="71"/>
    </row>
    <row r="17" spans="1:20">
      <c r="C17" s="48"/>
    </row>
    <row r="19" spans="1:20">
      <c r="A19" s="71"/>
      <c r="B19" s="71"/>
      <c r="C19" s="71"/>
      <c r="D19" s="71"/>
      <c r="E19" s="71"/>
      <c r="F19" s="71"/>
      <c r="G19" s="71"/>
      <c r="H19" s="71"/>
      <c r="I19" s="71"/>
      <c r="J19" s="71"/>
      <c r="K19" s="71"/>
      <c r="L19" s="71"/>
      <c r="M19" s="71"/>
      <c r="N19" s="71"/>
      <c r="O19" s="71"/>
      <c r="P19" s="71"/>
      <c r="Q19" s="71"/>
    </row>
    <row r="20" spans="1:20">
      <c r="A20" s="52" t="s">
        <v>175</v>
      </c>
      <c r="B20" s="52"/>
      <c r="C20" s="52"/>
      <c r="D20" s="52"/>
      <c r="E20" s="52"/>
      <c r="F20" s="52"/>
      <c r="G20" s="52"/>
      <c r="H20" s="52"/>
      <c r="I20" s="52"/>
      <c r="J20" s="52"/>
      <c r="K20" s="52"/>
      <c r="L20" s="52"/>
      <c r="M20" s="52"/>
      <c r="N20" s="52"/>
      <c r="O20" s="52"/>
      <c r="P20" s="52"/>
      <c r="Q20" s="71"/>
    </row>
    <row r="21" spans="1:20">
      <c r="A21" s="59" t="s">
        <v>205</v>
      </c>
      <c r="B21" s="59"/>
      <c r="C21" s="59"/>
      <c r="D21" s="70">
        <v>45658</v>
      </c>
      <c r="E21" s="70">
        <v>45689</v>
      </c>
      <c r="F21" s="70">
        <v>45717</v>
      </c>
      <c r="G21" s="70">
        <v>45748</v>
      </c>
      <c r="H21" s="70">
        <v>45778</v>
      </c>
      <c r="I21" s="70">
        <v>45809</v>
      </c>
      <c r="J21" s="70">
        <v>45839</v>
      </c>
      <c r="K21" s="70">
        <v>45870</v>
      </c>
      <c r="L21" s="70">
        <v>45901</v>
      </c>
      <c r="M21" s="70">
        <v>45931</v>
      </c>
      <c r="N21" s="70">
        <v>45962</v>
      </c>
      <c r="O21" s="70">
        <v>45992</v>
      </c>
      <c r="P21" s="60" t="s">
        <v>206</v>
      </c>
      <c r="Q21" s="71"/>
    </row>
    <row r="22" spans="1:20">
      <c r="A22" s="1" t="s">
        <v>207</v>
      </c>
      <c r="B22" s="12" t="s">
        <v>208</v>
      </c>
      <c r="D22" s="3"/>
      <c r="E22" s="3"/>
      <c r="F22" s="3"/>
      <c r="G22" s="3"/>
      <c r="H22" s="3"/>
      <c r="I22" s="3"/>
      <c r="J22" s="3"/>
      <c r="K22" s="3"/>
      <c r="L22" s="3"/>
      <c r="M22" s="3"/>
      <c r="N22" s="3"/>
      <c r="O22" s="3"/>
      <c r="P22" s="54">
        <f>SUM(D22:O22)</f>
        <v>0</v>
      </c>
      <c r="Q22" s="71"/>
    </row>
    <row r="23" spans="1:20">
      <c r="A23" s="1"/>
      <c r="B23" s="64" t="s">
        <v>169</v>
      </c>
      <c r="C23" s="65"/>
      <c r="D23" s="66">
        <f>'[5]Volume Summary'!L77</f>
        <v>0</v>
      </c>
      <c r="E23" s="66">
        <f>'[5]Volume Summary'!M77</f>
        <v>0</v>
      </c>
      <c r="F23" s="66">
        <f>'[5]Volume Summary'!N77</f>
        <v>2.3488999999999999E-2</v>
      </c>
      <c r="G23" s="66">
        <f>'[5]Volume Summary'!O77</f>
        <v>3.6791000000000004E-2</v>
      </c>
      <c r="H23" s="66">
        <f>'[5]Volume Summary'!P77</f>
        <v>0.67152199999999995</v>
      </c>
      <c r="I23" s="66">
        <f>'[5]Volume Summary'!Q77</f>
        <v>1.711033</v>
      </c>
      <c r="J23" s="66">
        <f>'[5]Volume Summary'!R77</f>
        <v>1.0541189999999998</v>
      </c>
      <c r="K23" s="66">
        <f>'[5]Volume Summary'!S77</f>
        <v>0.41827899999999996</v>
      </c>
      <c r="L23" s="66">
        <f>'[5]Volume Summary'!T77</f>
        <v>0.53015200000000007</v>
      </c>
      <c r="M23" s="66">
        <f>'[5]Volume Summary'!U77</f>
        <v>0.67437899999999995</v>
      </c>
      <c r="N23" s="66">
        <f>'[5]Volume Summary'!V77</f>
        <v>0.57257799999999992</v>
      </c>
      <c r="O23" s="66">
        <f>'[5]Volume Summary'!W77</f>
        <v>0.71644099999999988</v>
      </c>
      <c r="P23" s="67">
        <f>SUM(D23:O23)</f>
        <v>6.4087829999999997</v>
      </c>
      <c r="Q23" s="71"/>
      <c r="R23" t="s">
        <v>175</v>
      </c>
    </row>
    <row r="24" spans="1:20">
      <c r="Q24" s="71"/>
    </row>
    <row r="25" spans="1:20">
      <c r="A25" s="36" t="s">
        <v>209</v>
      </c>
      <c r="B25" s="37"/>
      <c r="C25" s="38">
        <v>45505</v>
      </c>
      <c r="D25" s="39">
        <v>45536</v>
      </c>
      <c r="E25" s="39">
        <v>45566</v>
      </c>
      <c r="F25" s="39">
        <v>45597</v>
      </c>
      <c r="G25" s="39">
        <v>45627</v>
      </c>
      <c r="H25" s="39">
        <v>45658</v>
      </c>
      <c r="I25" s="39">
        <v>45689</v>
      </c>
      <c r="J25" s="39">
        <v>45717</v>
      </c>
      <c r="K25" s="39">
        <v>45748</v>
      </c>
      <c r="L25" s="39">
        <v>45778</v>
      </c>
      <c r="M25" s="39">
        <v>45809</v>
      </c>
      <c r="N25" s="39">
        <v>45839</v>
      </c>
      <c r="O25" s="39">
        <v>45870</v>
      </c>
      <c r="P25" s="37"/>
      <c r="Q25" s="71"/>
    </row>
    <row r="26" spans="1:20">
      <c r="A26" s="8" t="s">
        <v>210</v>
      </c>
      <c r="B26" s="12" t="s">
        <v>4</v>
      </c>
      <c r="Q26" s="71"/>
    </row>
    <row r="27" spans="1:20">
      <c r="A27" s="8" t="s">
        <v>210</v>
      </c>
      <c r="B27" s="13" t="s">
        <v>5</v>
      </c>
      <c r="D27" s="9">
        <f>SUMIFS('RCS Initiatives'!G:G,'RCS Initiatives'!$A:$A,RCS!$A$20,'RCS Initiatives'!$B:$B,RCS!$B27)</f>
        <v>0</v>
      </c>
      <c r="E27" s="9">
        <f>SUMIFS('RCS Initiatives'!H:H,'RCS Initiatives'!$A:$A,RCS!$A$20,'RCS Initiatives'!$B:$B,RCS!$B27)</f>
        <v>0</v>
      </c>
      <c r="F27" s="9">
        <f>SUMIFS('RCS Initiatives'!I:I,'RCS Initiatives'!$A:$A,RCS!$A$20,'RCS Initiatives'!$B:$B,RCS!$B27)</f>
        <v>0</v>
      </c>
      <c r="G27" s="9">
        <f>SUMIFS('RCS Initiatives'!J:J,'RCS Initiatives'!$A:$A,RCS!$A$20,'RCS Initiatives'!$B:$B,RCS!$B27)</f>
        <v>0</v>
      </c>
      <c r="H27" s="9">
        <f>SUMIFS('RCS Initiatives'!K:K,'RCS Initiatives'!$A:$A,RCS!$A$20,'RCS Initiatives'!$B:$B,RCS!$B27)</f>
        <v>0</v>
      </c>
      <c r="I27" s="9">
        <f>SUMIFS('RCS Initiatives'!L:L,'RCS Initiatives'!$A:$A,RCS!$A$20,'RCS Initiatives'!$B:$B,RCS!$B27)</f>
        <v>0</v>
      </c>
      <c r="J27" s="9">
        <f>SUMIFS('RCS Initiatives'!M:M,'RCS Initiatives'!$A:$A,RCS!$A$20,'RCS Initiatives'!$B:$B,RCS!$B27)</f>
        <v>-1.4419955498589734E-2</v>
      </c>
      <c r="K27" s="9">
        <f>SUMIFS('RCS Initiatives'!N:N,'RCS Initiatives'!$A:$A,RCS!$A$20,'RCS Initiatives'!$B:$B,RCS!$B27)</f>
        <v>-6.0712457855908303E-4</v>
      </c>
      <c r="L27" s="9">
        <f>SUMIFS('RCS Initiatives'!O:O,'RCS Initiatives'!$A:$A,RCS!$A$20,'RCS Initiatives'!$B:$B,RCS!$B27)</f>
        <v>-1.1922791895142969E-2</v>
      </c>
      <c r="M27" s="9">
        <f>SUMIFS('RCS Initiatives'!P:P,'RCS Initiatives'!$A:$A,RCS!$A$20,'RCS Initiatives'!$B:$B,RCS!$B27)</f>
        <v>6.4342276208788568E-3</v>
      </c>
      <c r="N27" s="9">
        <f>SUMIFS('RCS Initiatives'!Q:Q,'RCS Initiatives'!$A:$A,RCS!$A$20,'RCS Initiatives'!$B:$B,RCS!$B27)</f>
        <v>0</v>
      </c>
      <c r="O27" s="9">
        <f>SUMIFS('RCS Initiatives'!R:R,'RCS Initiatives'!$A:$A,RCS!$A$20,'RCS Initiatives'!$B:$B,RCS!$B27)</f>
        <v>0</v>
      </c>
      <c r="Q27" s="71"/>
    </row>
    <row r="28" spans="1:20">
      <c r="A28" s="36" t="s">
        <v>213</v>
      </c>
      <c r="B28" s="37"/>
      <c r="C28" s="37"/>
      <c r="D28" s="37"/>
      <c r="E28" s="37"/>
      <c r="F28" s="37"/>
      <c r="G28" s="37"/>
      <c r="H28" s="37"/>
      <c r="I28" s="37"/>
      <c r="J28" s="37"/>
      <c r="K28" s="37"/>
      <c r="L28" s="37"/>
      <c r="M28" s="37"/>
      <c r="N28" s="37"/>
      <c r="O28" s="37"/>
      <c r="P28" s="16" t="s">
        <v>214</v>
      </c>
      <c r="Q28" s="63" t="s">
        <v>215</v>
      </c>
    </row>
    <row r="29" spans="1:20">
      <c r="B29" s="12" t="s">
        <v>4</v>
      </c>
      <c r="C29" s="20">
        <f>'[4]ePod Pods'!AE$442</f>
        <v>0.88487248063111124</v>
      </c>
      <c r="D29" s="9">
        <v>0.88487248063111124</v>
      </c>
      <c r="E29" s="9">
        <v>0.88487248063111124</v>
      </c>
      <c r="F29" s="9">
        <v>0.88487248063111124</v>
      </c>
      <c r="G29" s="9">
        <v>0.88487248063111124</v>
      </c>
      <c r="H29" s="9">
        <v>0.88487248063111124</v>
      </c>
      <c r="I29" s="9">
        <v>0.88487248063111124</v>
      </c>
      <c r="J29" s="9">
        <v>0.88487248063111124</v>
      </c>
      <c r="K29" s="9">
        <v>0.88487248063111124</v>
      </c>
      <c r="L29" s="9">
        <v>0.88487248063111124</v>
      </c>
      <c r="M29" s="9">
        <v>0.88487248063111124</v>
      </c>
      <c r="N29" s="9">
        <v>0.88487248063111124</v>
      </c>
      <c r="O29" s="9">
        <v>0.88487248063111124</v>
      </c>
      <c r="P29" s="20">
        <v>0.88487248063111124</v>
      </c>
      <c r="Q29" s="72">
        <f>P29*$P$23</f>
        <v>5.6709557110364948</v>
      </c>
      <c r="R29" t="s">
        <v>175</v>
      </c>
      <c r="T29" s="142"/>
    </row>
    <row r="30" spans="1:20" ht="10" customHeight="1">
      <c r="B30" s="14"/>
      <c r="Q30" s="72"/>
    </row>
    <row r="31" spans="1:20">
      <c r="B31" s="13" t="s">
        <v>5</v>
      </c>
      <c r="C31" s="20">
        <f>'[6]ePod Pods'!$AE$467</f>
        <v>0.88487248063111124</v>
      </c>
      <c r="D31" s="48">
        <f>C31+D27</f>
        <v>0.88487248063111124</v>
      </c>
      <c r="E31" s="48">
        <f t="shared" ref="E31:O31" si="3">D31+E27</f>
        <v>0.88487248063111124</v>
      </c>
      <c r="F31" s="48">
        <f t="shared" si="3"/>
        <v>0.88487248063111124</v>
      </c>
      <c r="G31" s="48">
        <f t="shared" si="3"/>
        <v>0.88487248063111124</v>
      </c>
      <c r="H31" s="48">
        <f t="shared" si="3"/>
        <v>0.88487248063111124</v>
      </c>
      <c r="I31" s="48">
        <f t="shared" si="3"/>
        <v>0.88487248063111124</v>
      </c>
      <c r="J31" s="48">
        <f t="shared" si="3"/>
        <v>0.87045252513252147</v>
      </c>
      <c r="K31" s="48">
        <f t="shared" si="3"/>
        <v>0.86984540055396242</v>
      </c>
      <c r="L31" s="48">
        <f t="shared" si="3"/>
        <v>0.85792260865881942</v>
      </c>
      <c r="M31" s="48">
        <f t="shared" si="3"/>
        <v>0.86435683627969828</v>
      </c>
      <c r="N31" s="48">
        <f t="shared" si="3"/>
        <v>0.86435683627969828</v>
      </c>
      <c r="O31" s="48">
        <f t="shared" si="3"/>
        <v>0.86435683627969828</v>
      </c>
      <c r="P31" s="20">
        <f>SUMPRODUCT(D31:O31,D23:O23)/P23</f>
        <v>0.87300536565593778</v>
      </c>
      <c r="Q31" s="72">
        <f>P31*$P$23</f>
        <v>5.5949019463245575</v>
      </c>
      <c r="R31" t="s">
        <v>175</v>
      </c>
    </row>
    <row r="32" spans="1:20">
      <c r="C32" s="87">
        <f>C31-'[5]CoGS Tracker Vap-C'!I68</f>
        <v>0</v>
      </c>
      <c r="D32" s="87">
        <f>D31-'[5]CoGS Tracker Vap-C'!I68</f>
        <v>0</v>
      </c>
      <c r="E32" s="87">
        <f>E31-'[5]CoGS Tracker Vap-C'!J68</f>
        <v>0</v>
      </c>
      <c r="F32" s="87">
        <f>F31-'[5]CoGS Tracker Vap-C'!K68</f>
        <v>0</v>
      </c>
      <c r="G32" s="87">
        <f>G31-'[5]CoGS Tracker Vap-C'!L68</f>
        <v>0</v>
      </c>
      <c r="H32" s="87">
        <f>H31-'[5]CoGS Tracker Vap-C'!M68</f>
        <v>0</v>
      </c>
      <c r="I32" s="87">
        <f>I31-'[5]CoGS Tracker Vap-C'!N68</f>
        <v>0</v>
      </c>
      <c r="J32" s="87">
        <f>J31-'[5]CoGS Tracker Vap-C'!O68</f>
        <v>-1.3944047053644493E-2</v>
      </c>
      <c r="K32" s="87">
        <f>K31-'[5]CoGS Tracker Vap-C'!P68</f>
        <v>-1.4551171632203541E-2</v>
      </c>
      <c r="L32" s="87">
        <f>L31-'[5]CoGS Tracker Vap-C'!Q68</f>
        <v>-1.8863398323285541E-2</v>
      </c>
      <c r="M32" s="87">
        <f>M31-'[5]CoGS Tracker Vap-C'!R68</f>
        <v>-4.7294915157436446E-3</v>
      </c>
      <c r="N32" s="87">
        <f>N31-'[5]CoGS Tracker Vap-C'!S68</f>
        <v>-4.7294915157436446E-3</v>
      </c>
      <c r="O32" s="87">
        <f>O31-'[5]CoGS Tracker Vap-C'!T68</f>
        <v>-4.7294915157436446E-3</v>
      </c>
      <c r="Q32" s="71"/>
    </row>
    <row r="33" spans="1:22">
      <c r="A33" s="49"/>
      <c r="B33" s="49" t="s">
        <v>221</v>
      </c>
      <c r="C33" s="50">
        <f>C31-C29</f>
        <v>0</v>
      </c>
      <c r="D33" s="50">
        <f t="shared" ref="D33:P33" si="4">D31-D29</f>
        <v>0</v>
      </c>
      <c r="E33" s="50">
        <f t="shared" si="4"/>
        <v>0</v>
      </c>
      <c r="F33" s="50">
        <f t="shared" si="4"/>
        <v>0</v>
      </c>
      <c r="G33" s="50">
        <f t="shared" si="4"/>
        <v>0</v>
      </c>
      <c r="H33" s="50">
        <f t="shared" si="4"/>
        <v>0</v>
      </c>
      <c r="I33" s="50">
        <f t="shared" si="4"/>
        <v>0</v>
      </c>
      <c r="J33" s="50">
        <f t="shared" si="4"/>
        <v>-1.4419955498589765E-2</v>
      </c>
      <c r="K33" s="50">
        <f t="shared" si="4"/>
        <v>-1.5027080077148813E-2</v>
      </c>
      <c r="L33" s="50">
        <f t="shared" si="4"/>
        <v>-2.6949871972291817E-2</v>
      </c>
      <c r="M33" s="50">
        <f t="shared" si="4"/>
        <v>-2.0515644351412954E-2</v>
      </c>
      <c r="N33" s="50">
        <f t="shared" si="4"/>
        <v>-2.0515644351412954E-2</v>
      </c>
      <c r="O33" s="50">
        <f t="shared" si="4"/>
        <v>-2.0515644351412954E-2</v>
      </c>
      <c r="P33" s="50">
        <f t="shared" si="4"/>
        <v>-1.1867114975173454E-2</v>
      </c>
      <c r="Q33" s="73">
        <f>Q31-Q29</f>
        <v>-7.6053764711937255E-2</v>
      </c>
    </row>
    <row r="34" spans="1:22">
      <c r="A34" s="74"/>
      <c r="B34" s="74"/>
      <c r="C34" s="75"/>
      <c r="D34" s="75"/>
      <c r="E34" s="75"/>
      <c r="F34" s="75"/>
      <c r="G34" s="75"/>
      <c r="H34" s="75"/>
      <c r="I34" s="75"/>
      <c r="J34" s="75"/>
      <c r="K34" s="75"/>
      <c r="L34" s="75"/>
      <c r="M34" s="75"/>
      <c r="N34" s="75"/>
      <c r="O34" s="75"/>
      <c r="P34" s="75"/>
      <c r="Q34" s="73"/>
    </row>
    <row r="35" spans="1:22">
      <c r="A35" s="56"/>
      <c r="B35" s="56"/>
      <c r="C35" s="57"/>
      <c r="D35" s="57"/>
      <c r="E35" s="57"/>
      <c r="F35" s="57"/>
      <c r="G35" s="57"/>
      <c r="H35" s="57"/>
      <c r="I35" s="57"/>
      <c r="J35" s="57"/>
      <c r="K35" s="57"/>
      <c r="L35" s="57"/>
      <c r="M35" s="57"/>
      <c r="N35" s="57"/>
      <c r="O35" s="57"/>
      <c r="P35" s="57"/>
      <c r="Q35" s="58"/>
    </row>
    <row r="36" spans="1:22">
      <c r="A36" s="56"/>
      <c r="B36" s="56"/>
      <c r="C36" s="57"/>
      <c r="D36" s="57"/>
      <c r="E36" s="57"/>
      <c r="F36" s="57"/>
      <c r="G36" s="57"/>
      <c r="H36" s="57"/>
      <c r="I36" s="57"/>
      <c r="J36" s="57"/>
      <c r="K36" s="57"/>
      <c r="L36" s="57"/>
      <c r="M36" s="57"/>
      <c r="N36" s="57"/>
      <c r="O36" s="57"/>
      <c r="P36" s="57"/>
      <c r="Q36" s="58"/>
    </row>
    <row r="37" spans="1:22">
      <c r="A37" s="74"/>
      <c r="B37" s="74"/>
      <c r="C37" s="75"/>
      <c r="D37" s="75"/>
      <c r="E37" s="75"/>
      <c r="F37" s="75"/>
      <c r="G37" s="75"/>
      <c r="H37" s="75"/>
      <c r="I37" s="75"/>
      <c r="J37" s="75"/>
      <c r="K37" s="75"/>
      <c r="L37" s="75"/>
      <c r="M37" s="75"/>
      <c r="N37" s="75"/>
      <c r="O37" s="75"/>
      <c r="P37" s="75"/>
      <c r="Q37" s="73"/>
    </row>
    <row r="38" spans="1:22">
      <c r="A38" s="52" t="s">
        <v>176</v>
      </c>
      <c r="B38" s="52"/>
      <c r="C38" s="52"/>
      <c r="D38" s="52"/>
      <c r="E38" s="52"/>
      <c r="F38" s="52"/>
      <c r="G38" s="52"/>
      <c r="H38" s="52"/>
      <c r="I38" s="52"/>
      <c r="J38" s="52"/>
      <c r="K38" s="52"/>
      <c r="L38" s="52"/>
      <c r="M38" s="52"/>
      <c r="N38" s="52"/>
      <c r="O38" s="52"/>
      <c r="P38" s="52"/>
      <c r="Q38" s="73"/>
    </row>
    <row r="39" spans="1:22">
      <c r="A39" s="59" t="s">
        <v>205</v>
      </c>
      <c r="B39" s="59"/>
      <c r="C39" s="59"/>
      <c r="D39" s="70">
        <v>45658</v>
      </c>
      <c r="E39" s="70">
        <v>45689</v>
      </c>
      <c r="F39" s="70">
        <v>45717</v>
      </c>
      <c r="G39" s="70">
        <v>45748</v>
      </c>
      <c r="H39" s="70">
        <v>45778</v>
      </c>
      <c r="I39" s="70">
        <v>45809</v>
      </c>
      <c r="J39" s="70">
        <v>45839</v>
      </c>
      <c r="K39" s="70">
        <v>45870</v>
      </c>
      <c r="L39" s="70">
        <v>45901</v>
      </c>
      <c r="M39" s="70">
        <v>45931</v>
      </c>
      <c r="N39" s="70">
        <v>45962</v>
      </c>
      <c r="O39" s="70">
        <v>45992</v>
      </c>
      <c r="P39" s="60" t="s">
        <v>206</v>
      </c>
      <c r="Q39" s="73"/>
    </row>
    <row r="40" spans="1:22">
      <c r="A40" s="1" t="s">
        <v>207</v>
      </c>
      <c r="B40" s="12" t="s">
        <v>208</v>
      </c>
      <c r="D40" s="3">
        <f>'[4]Vols ePod'!AN181</f>
        <v>7.9402E-2</v>
      </c>
      <c r="E40" s="3">
        <f>'[4]Vols ePod'!AO181</f>
        <v>7.8016000000000002E-2</v>
      </c>
      <c r="F40" s="3">
        <f>'[4]Vols ePod'!AP181</f>
        <v>9.329599999999999E-2</v>
      </c>
      <c r="G40" s="3">
        <f>'[4]Vols ePod'!AQ181</f>
        <v>8.5323999999999997E-2</v>
      </c>
      <c r="H40" s="3">
        <f>'[4]Vols ePod'!AR181</f>
        <v>9.9761000000000002E-2</v>
      </c>
      <c r="I40" s="3">
        <f>'[4]Vols ePod'!AS181</f>
        <v>8.9009000000000005E-2</v>
      </c>
      <c r="J40" s="3">
        <f>'[4]Vols ePod'!AT181</f>
        <v>9.0125000000000011E-2</v>
      </c>
      <c r="K40" s="3">
        <f>'[4]Vols ePod'!AU181</f>
        <v>0.118173</v>
      </c>
      <c r="L40" s="3">
        <f>'[4]Vols ePod'!AV181</f>
        <v>0.117135</v>
      </c>
      <c r="M40" s="3">
        <f>'[4]Vols ePod'!AW181</f>
        <v>0.11754499999999997</v>
      </c>
      <c r="N40" s="3">
        <f>'[4]Vols ePod'!AX181</f>
        <v>0.10523099999999999</v>
      </c>
      <c r="O40" s="3">
        <f>'[4]Vols ePod'!AY181</f>
        <v>0.10566799999999998</v>
      </c>
      <c r="P40" s="54">
        <f>SUM(D40:O40)</f>
        <v>1.1786849999999998</v>
      </c>
      <c r="Q40" s="73"/>
    </row>
    <row r="41" spans="1:22">
      <c r="A41" s="1"/>
      <c r="B41" s="64" t="s">
        <v>169</v>
      </c>
      <c r="C41" s="65"/>
      <c r="D41" s="66">
        <f>'[5]Volume Summary'!L129</f>
        <v>4.4145000000000018E-2</v>
      </c>
      <c r="E41" s="66">
        <f>'[5]Volume Summary'!M129</f>
        <v>7.7316999999999997E-2</v>
      </c>
      <c r="F41" s="66">
        <f>'[5]Volume Summary'!N129</f>
        <v>6.4279000000000003E-2</v>
      </c>
      <c r="G41" s="66">
        <f>'[5]Volume Summary'!O129</f>
        <v>6.5878000000000006E-2</v>
      </c>
      <c r="H41" s="66">
        <f>'[5]Volume Summary'!P129</f>
        <v>7.2505E-2</v>
      </c>
      <c r="I41" s="66">
        <f>'[5]Volume Summary'!Q129</f>
        <v>8.4546999999999997E-2</v>
      </c>
      <c r="J41" s="66">
        <f>'[5]Volume Summary'!R129</f>
        <v>6.7363999999999993E-2</v>
      </c>
      <c r="K41" s="66">
        <f>'[5]Volume Summary'!S129</f>
        <v>8.2922999999999997E-2</v>
      </c>
      <c r="L41" s="66">
        <f>'[5]Volume Summary'!T129</f>
        <v>7.4582999999999983E-2</v>
      </c>
      <c r="M41" s="66">
        <f>'[5]Volume Summary'!U129</f>
        <v>7.7458999999999972E-2</v>
      </c>
      <c r="N41" s="66">
        <f>'[5]Volume Summary'!V129</f>
        <v>7.6974000000000001E-2</v>
      </c>
      <c r="O41" s="66">
        <f>'[5]Volume Summary'!W129</f>
        <v>8.0068E-2</v>
      </c>
      <c r="P41" s="67">
        <f>SUM(D41:O41)</f>
        <v>0.86804199999999987</v>
      </c>
      <c r="Q41" s="73"/>
      <c r="R41" t="s">
        <v>176</v>
      </c>
    </row>
    <row r="42" spans="1:22">
      <c r="A42" s="56"/>
      <c r="B42" s="56"/>
      <c r="C42" s="57"/>
      <c r="D42" s="57"/>
      <c r="E42" s="57"/>
      <c r="F42" s="57"/>
      <c r="G42" s="57"/>
      <c r="H42" s="57"/>
      <c r="I42" s="57"/>
      <c r="J42" s="57"/>
      <c r="K42" s="57"/>
      <c r="L42" s="57"/>
      <c r="M42" s="57"/>
      <c r="N42" s="57"/>
      <c r="O42" s="57"/>
      <c r="P42" s="57"/>
      <c r="Q42" s="73"/>
    </row>
    <row r="43" spans="1:22">
      <c r="A43" s="36" t="s">
        <v>209</v>
      </c>
      <c r="B43" s="37"/>
      <c r="C43" s="38">
        <v>45505</v>
      </c>
      <c r="D43" s="39">
        <v>45536</v>
      </c>
      <c r="E43" s="39">
        <v>45566</v>
      </c>
      <c r="F43" s="39">
        <v>45597</v>
      </c>
      <c r="G43" s="39">
        <v>45627</v>
      </c>
      <c r="H43" s="39">
        <v>45658</v>
      </c>
      <c r="I43" s="39">
        <v>45689</v>
      </c>
      <c r="J43" s="39">
        <v>45717</v>
      </c>
      <c r="K43" s="39">
        <v>45748</v>
      </c>
      <c r="L43" s="39">
        <v>45778</v>
      </c>
      <c r="M43" s="39">
        <v>45809</v>
      </c>
      <c r="N43" s="39">
        <v>45839</v>
      </c>
      <c r="O43" s="39">
        <v>45870</v>
      </c>
      <c r="P43" s="37"/>
      <c r="Q43" s="73"/>
    </row>
    <row r="44" spans="1:22">
      <c r="A44" s="8" t="s">
        <v>210</v>
      </c>
      <c r="B44" s="12" t="s">
        <v>4</v>
      </c>
      <c r="D44" s="9">
        <f>SUMIFS('RCS Initiatives'!G:G,'RCS Initiatives'!$A:$A,RCS!$A$38,'RCS Initiatives'!$B:$B,RCS!$B44)</f>
        <v>-5.6596081836305843E-2</v>
      </c>
      <c r="E44" s="9">
        <f>SUMIFS('RCS Initiatives'!H:H,'RCS Initiatives'!$A:$A,RCS!$A$38,'RCS Initiatives'!$B:$B,RCS!$B44)</f>
        <v>0</v>
      </c>
      <c r="F44" s="9">
        <f>SUMIFS('RCS Initiatives'!I:I,'RCS Initiatives'!$A:$A,RCS!$A$38,'RCS Initiatives'!$B:$B,RCS!$B44)</f>
        <v>0</v>
      </c>
      <c r="G44" s="9">
        <f>SUMIFS('RCS Initiatives'!J:J,'RCS Initiatives'!$A:$A,RCS!$A$38,'RCS Initiatives'!$B:$B,RCS!$B44)</f>
        <v>0</v>
      </c>
      <c r="H44" s="9">
        <f>SUMIFS('RCS Initiatives'!K:K,'RCS Initiatives'!$A:$A,RCS!$A$38,'RCS Initiatives'!$B:$B,RCS!$B44)</f>
        <v>-0.30416415934304186</v>
      </c>
      <c r="I44" s="9">
        <f>SUMIFS('RCS Initiatives'!L:L,'RCS Initiatives'!$A:$A,RCS!$A$38,'RCS Initiatives'!$B:$B,RCS!$B44)</f>
        <v>0</v>
      </c>
      <c r="J44" s="9">
        <f>SUMIFS('RCS Initiatives'!M:M,'RCS Initiatives'!$A:$A,RCS!$A$38,'RCS Initiatives'!$B:$B,RCS!$B44)</f>
        <v>0</v>
      </c>
      <c r="K44" s="9">
        <f>SUMIFS('RCS Initiatives'!N:N,'RCS Initiatives'!$A:$A,RCS!$A$38,'RCS Initiatives'!$B:$B,RCS!$B44)</f>
        <v>-8.2374583321555075E-2</v>
      </c>
      <c r="L44" s="9">
        <f>SUMIFS('RCS Initiatives'!O:O,'RCS Initiatives'!$A:$A,RCS!$A$38,'RCS Initiatives'!$B:$B,RCS!$B44)</f>
        <v>0</v>
      </c>
      <c r="M44" s="9">
        <f>SUMIFS('RCS Initiatives'!P:P,'RCS Initiatives'!$A:$A,RCS!$A$38,'RCS Initiatives'!$B:$B,RCS!$B44)</f>
        <v>0</v>
      </c>
      <c r="N44" s="9">
        <f>SUMIFS('RCS Initiatives'!Q:Q,'RCS Initiatives'!$A:$A,RCS!$A$38,'RCS Initiatives'!$B:$B,RCS!$B44)</f>
        <v>-1.9156879842222113E-2</v>
      </c>
      <c r="O44" s="9">
        <f>SUMIFS('RCS Initiatives'!R:R,'RCS Initiatives'!$A:$A,RCS!$A$38,'RCS Initiatives'!$B:$B,RCS!$B44)</f>
        <v>0</v>
      </c>
      <c r="Q44" s="73"/>
    </row>
    <row r="45" spans="1:22">
      <c r="A45" s="8" t="s">
        <v>210</v>
      </c>
      <c r="B45" s="13" t="s">
        <v>5</v>
      </c>
      <c r="D45" s="9">
        <f>SUMIFS('RCS Initiatives'!G:G,'RCS Initiatives'!$A:$A,RCS!$A$38,'RCS Initiatives'!$B:$B,RCS!$B45)</f>
        <v>0</v>
      </c>
      <c r="E45" s="9">
        <f>SUMIFS('RCS Initiatives'!H:H,'RCS Initiatives'!$A:$A,RCS!$A$38,'RCS Initiatives'!$B:$B,RCS!$B45)</f>
        <v>-1.9644220918175335E-2</v>
      </c>
      <c r="F45" s="9">
        <f>SUMIFS('RCS Initiatives'!I:I,'RCS Initiatives'!$A:$A,RCS!$A$38,'RCS Initiatives'!$B:$B,RCS!$B45)</f>
        <v>0</v>
      </c>
      <c r="G45" s="9">
        <f>SUMIFS('RCS Initiatives'!J:J,'RCS Initiatives'!$A:$A,RCS!$A$38,'RCS Initiatives'!$B:$B,RCS!$B45)</f>
        <v>0</v>
      </c>
      <c r="H45" s="9">
        <f>SUMIFS('RCS Initiatives'!K:K,'RCS Initiatives'!$A:$A,RCS!$A$38,'RCS Initiatives'!$B:$B,RCS!$B45)</f>
        <v>-3.886824372074011E-2</v>
      </c>
      <c r="I45" s="9">
        <f>SUMIFS('RCS Initiatives'!L:L,'RCS Initiatives'!$A:$A,RCS!$A$38,'RCS Initiatives'!$B:$B,RCS!$B45)</f>
        <v>-8.7857019554201526E-2</v>
      </c>
      <c r="J45" s="9">
        <f>SUMIFS('RCS Initiatives'!M:M,'RCS Initiatives'!$A:$A,RCS!$A$38,'RCS Initiatives'!$B:$B,RCS!$B45)</f>
        <v>0</v>
      </c>
      <c r="K45" s="9">
        <f>SUMIFS('RCS Initiatives'!N:N,'RCS Initiatives'!$A:$A,RCS!$A$38,'RCS Initiatives'!$B:$B,RCS!$B45)</f>
        <v>-6.094388646715708E-2</v>
      </c>
      <c r="L45" s="9">
        <f>SUMIFS('RCS Initiatives'!O:O,'RCS Initiatives'!$A:$A,RCS!$A$38,'RCS Initiatives'!$B:$B,RCS!$B45)</f>
        <v>0</v>
      </c>
      <c r="M45" s="9">
        <f>SUMIFS('RCS Initiatives'!P:P,'RCS Initiatives'!$A:$A,RCS!$A$38,'RCS Initiatives'!$B:$B,RCS!$B45)</f>
        <v>-1.0676426889194509E-2</v>
      </c>
      <c r="N45" s="9">
        <f>SUMIFS('RCS Initiatives'!Q:Q,'RCS Initiatives'!$A:$A,RCS!$A$38,'RCS Initiatives'!$B:$B,RCS!$B45)</f>
        <v>-9.1767651551390092E-3</v>
      </c>
      <c r="O45" s="9">
        <f>SUMIFS('RCS Initiatives'!R:R,'RCS Initiatives'!$A:$A,RCS!$A$38,'RCS Initiatives'!$B:$B,RCS!$B45)</f>
        <v>0</v>
      </c>
      <c r="Q45" s="73"/>
    </row>
    <row r="46" spans="1:22">
      <c r="A46" s="56"/>
      <c r="B46" s="56"/>
      <c r="C46" s="57"/>
      <c r="D46" s="57"/>
      <c r="E46" s="57"/>
      <c r="F46" s="57"/>
      <c r="G46" s="57"/>
      <c r="H46" s="57"/>
      <c r="I46" s="57"/>
      <c r="J46" s="57"/>
      <c r="K46" s="57"/>
      <c r="L46" s="57"/>
      <c r="M46" s="57"/>
      <c r="N46" s="57"/>
      <c r="O46" s="57"/>
      <c r="P46" s="57"/>
      <c r="Q46" s="73"/>
      <c r="V46" s="48"/>
    </row>
    <row r="47" spans="1:22">
      <c r="A47" s="36" t="s">
        <v>213</v>
      </c>
      <c r="B47" s="37"/>
      <c r="C47" s="37"/>
      <c r="D47" s="37"/>
      <c r="E47" s="37"/>
      <c r="F47" s="37"/>
      <c r="G47" s="37"/>
      <c r="H47" s="37"/>
      <c r="I47" s="37"/>
      <c r="J47" s="37"/>
      <c r="K47" s="37"/>
      <c r="L47" s="37"/>
      <c r="M47" s="37"/>
      <c r="N47" s="37"/>
      <c r="O47" s="37"/>
      <c r="P47" s="16" t="s">
        <v>214</v>
      </c>
      <c r="Q47" s="63" t="s">
        <v>215</v>
      </c>
    </row>
    <row r="48" spans="1:22">
      <c r="B48" s="12" t="s">
        <v>4</v>
      </c>
      <c r="C48" s="20">
        <f>'[4]ePod Devices'!$AE$174</f>
        <v>4.5869622185103287</v>
      </c>
      <c r="D48" s="9">
        <f>C48+D44</f>
        <v>4.5303661366740231</v>
      </c>
      <c r="E48" s="9">
        <f t="shared" ref="E48:O48" si="5">D48+E44</f>
        <v>4.5303661366740231</v>
      </c>
      <c r="F48" s="9">
        <f t="shared" si="5"/>
        <v>4.5303661366740231</v>
      </c>
      <c r="G48" s="9">
        <f t="shared" si="5"/>
        <v>4.5303661366740231</v>
      </c>
      <c r="H48" s="9">
        <f t="shared" si="5"/>
        <v>4.2262019773309811</v>
      </c>
      <c r="I48" s="9">
        <f t="shared" si="5"/>
        <v>4.2262019773309811</v>
      </c>
      <c r="J48" s="9">
        <f t="shared" si="5"/>
        <v>4.2262019773309811</v>
      </c>
      <c r="K48" s="9">
        <f t="shared" si="5"/>
        <v>4.1438273940094259</v>
      </c>
      <c r="L48" s="9">
        <f t="shared" si="5"/>
        <v>4.1438273940094259</v>
      </c>
      <c r="M48" s="9">
        <f t="shared" si="5"/>
        <v>4.1438273940094259</v>
      </c>
      <c r="N48" s="9">
        <f t="shared" si="5"/>
        <v>4.124670514167204</v>
      </c>
      <c r="O48" s="9">
        <f t="shared" si="5"/>
        <v>4.124670514167204</v>
      </c>
      <c r="P48" s="20">
        <f>SUMPRODUCT(D48:O48,D40:O40)/P40</f>
        <v>4.2700913225578905</v>
      </c>
      <c r="Q48" s="72">
        <f>P48*$P$40</f>
        <v>5.0330925905291464</v>
      </c>
      <c r="R48" t="s">
        <v>176</v>
      </c>
    </row>
    <row r="49" spans="1:18">
      <c r="B49" s="14"/>
      <c r="C49" s="5">
        <f>C48-'[4]ePod Devices'!AE174</f>
        <v>0</v>
      </c>
      <c r="D49" s="5">
        <f>D48-'[4]ePod Devices'!AF174</f>
        <v>0</v>
      </c>
      <c r="E49" s="5">
        <f>E48-'[4]ePod Devices'!AG174</f>
        <v>0</v>
      </c>
      <c r="F49" s="5">
        <f>F48-'[4]ePod Devices'!AH174</f>
        <v>0</v>
      </c>
      <c r="G49" s="5">
        <f>G48-'[4]ePod Devices'!AI174</f>
        <v>0</v>
      </c>
      <c r="H49" s="5">
        <f>H48-'[4]ePod Devices'!AJ174</f>
        <v>0</v>
      </c>
      <c r="I49" s="5">
        <f>I48-'[4]ePod Devices'!AK174</f>
        <v>0</v>
      </c>
      <c r="J49" s="5">
        <f>J48-'[4]ePod Devices'!AL174</f>
        <v>0</v>
      </c>
      <c r="K49" s="5">
        <f>K48-'[4]ePod Devices'!AM174</f>
        <v>0</v>
      </c>
      <c r="L49" s="5">
        <f>L48-'[4]ePod Devices'!AN174</f>
        <v>0</v>
      </c>
      <c r="M49" s="5">
        <f>M48-'[4]ePod Devices'!AO174</f>
        <v>0</v>
      </c>
      <c r="N49" s="5">
        <f>N48-'[4]ePod Devices'!AP174</f>
        <v>0</v>
      </c>
      <c r="O49" s="5">
        <f>O48-'[4]ePod Devices'!AQ174</f>
        <v>0</v>
      </c>
      <c r="Q49" s="72"/>
    </row>
    <row r="50" spans="1:18">
      <c r="B50" s="13" t="s">
        <v>5</v>
      </c>
      <c r="C50" s="20">
        <f>'[6]ePod Devices'!$AE$192</f>
        <v>4.4655219929599719</v>
      </c>
      <c r="D50" s="9">
        <f>C50+D45</f>
        <v>4.4655219929599719</v>
      </c>
      <c r="E50" s="9">
        <f t="shared" ref="E50:O50" si="6">D50+E45</f>
        <v>4.4458777720417961</v>
      </c>
      <c r="F50" s="9">
        <f t="shared" si="6"/>
        <v>4.4458777720417961</v>
      </c>
      <c r="G50" s="9">
        <f t="shared" si="6"/>
        <v>4.4458777720417961</v>
      </c>
      <c r="H50" s="9">
        <f t="shared" si="6"/>
        <v>4.4070095283210557</v>
      </c>
      <c r="I50" s="9">
        <f t="shared" si="6"/>
        <v>4.3191525087668543</v>
      </c>
      <c r="J50" s="9">
        <f t="shared" si="6"/>
        <v>4.3191525087668543</v>
      </c>
      <c r="K50" s="9">
        <f t="shared" si="6"/>
        <v>4.2582086222996969</v>
      </c>
      <c r="L50" s="9">
        <f t="shared" si="6"/>
        <v>4.2582086222996969</v>
      </c>
      <c r="M50" s="9">
        <f t="shared" si="6"/>
        <v>4.2475321954105025</v>
      </c>
      <c r="N50" s="9">
        <f t="shared" si="6"/>
        <v>4.2383554302553632</v>
      </c>
      <c r="O50" s="9">
        <f t="shared" si="6"/>
        <v>4.2383554302553632</v>
      </c>
      <c r="P50" s="20">
        <f>SUMPRODUCT(D50:O50,D40:O40)/P40</f>
        <v>4.3302748881525224</v>
      </c>
      <c r="Q50" s="72">
        <f>P50*$P$40</f>
        <v>5.1040300565420544</v>
      </c>
      <c r="R50" t="s">
        <v>176</v>
      </c>
    </row>
    <row r="51" spans="1:18">
      <c r="C51" s="5">
        <f>C50-'[5]CoGS Tracker Vap-D'!L256</f>
        <v>0</v>
      </c>
      <c r="D51" s="5">
        <f>D50-'[5]CoGS Tracker Vap-D'!M256</f>
        <v>0</v>
      </c>
      <c r="E51" s="5">
        <f>E50-'[5]CoGS Tracker Vap-D'!N256</f>
        <v>0</v>
      </c>
      <c r="F51" s="5">
        <f>F50-'[5]CoGS Tracker Vap-D'!O256</f>
        <v>0</v>
      </c>
      <c r="G51" s="5">
        <f>G50-'[5]CoGS Tracker Vap-D'!P256</f>
        <v>0</v>
      </c>
      <c r="H51" s="5">
        <f>H50-'[5]CoGS Tracker Vap-D'!Q256</f>
        <v>0</v>
      </c>
      <c r="I51" s="5">
        <f>I50-'[5]CoGS Tracker Vap-D'!R256</f>
        <v>0</v>
      </c>
      <c r="J51" s="5">
        <f>J50-'[5]CoGS Tracker Vap-D'!S256</f>
        <v>0</v>
      </c>
      <c r="K51" s="5">
        <f>K50-'[5]CoGS Tracker Vap-D'!T256</f>
        <v>-6.5823302091776448E-2</v>
      </c>
      <c r="L51" s="5">
        <f>L50-'[5]CoGS Tracker Vap-D'!U256</f>
        <v>-6.5823302091776448E-2</v>
      </c>
      <c r="M51" s="5">
        <f>M50-'[5]CoGS Tracker Vap-D'!V256</f>
        <v>-6.5823302091776448E-2</v>
      </c>
      <c r="N51" s="5">
        <f>N50-'[5]CoGS Tracker Vap-D'!W256</f>
        <v>-6.5823302091776448E-2</v>
      </c>
      <c r="O51" s="5">
        <f>O50-'[5]CoGS Tracker Vap-D'!X256</f>
        <v>-6.5823302091776448E-2</v>
      </c>
      <c r="Q51" s="71"/>
    </row>
    <row r="52" spans="1:18">
      <c r="A52" s="49"/>
      <c r="B52" s="49" t="s">
        <v>221</v>
      </c>
      <c r="C52" s="50">
        <f>C50-C48</f>
        <v>-0.12144022555035683</v>
      </c>
      <c r="D52" s="50">
        <f>D50-D48</f>
        <v>-6.4844143714051228E-2</v>
      </c>
      <c r="E52" s="50">
        <f t="shared" ref="E52:O52" si="7">E50-E48</f>
        <v>-8.4488364632226975E-2</v>
      </c>
      <c r="F52" s="50">
        <f t="shared" si="7"/>
        <v>-8.4488364632226975E-2</v>
      </c>
      <c r="G52" s="50">
        <f t="shared" si="7"/>
        <v>-8.4488364632226975E-2</v>
      </c>
      <c r="H52" s="50">
        <f t="shared" si="7"/>
        <v>0.18080755099007462</v>
      </c>
      <c r="I52" s="50">
        <f t="shared" si="7"/>
        <v>9.2950531435873174E-2</v>
      </c>
      <c r="J52" s="50">
        <f t="shared" si="7"/>
        <v>9.2950531435873174E-2</v>
      </c>
      <c r="K52" s="50">
        <f t="shared" si="7"/>
        <v>0.11438122829027098</v>
      </c>
      <c r="L52" s="50">
        <f t="shared" si="7"/>
        <v>0.11438122829027098</v>
      </c>
      <c r="M52" s="50">
        <f t="shared" si="7"/>
        <v>0.10370480140107663</v>
      </c>
      <c r="N52" s="50">
        <f t="shared" si="7"/>
        <v>0.11368491608815923</v>
      </c>
      <c r="O52" s="50">
        <f t="shared" si="7"/>
        <v>0.11368491608815923</v>
      </c>
      <c r="P52" s="50">
        <f>P50-P48</f>
        <v>6.0183565594631894E-2</v>
      </c>
      <c r="Q52" s="73">
        <f>Q50-Q48</f>
        <v>7.0937466012908068E-2</v>
      </c>
    </row>
    <row r="53" spans="1:18">
      <c r="A53" s="74"/>
      <c r="B53" s="74"/>
      <c r="C53" s="75"/>
      <c r="D53" s="75"/>
      <c r="E53" s="75"/>
      <c r="F53" s="75"/>
      <c r="G53" s="75"/>
      <c r="H53" s="75"/>
      <c r="I53" s="75"/>
      <c r="J53" s="75"/>
      <c r="K53" s="75"/>
      <c r="L53" s="75"/>
      <c r="M53" s="75"/>
      <c r="N53" s="75"/>
      <c r="O53" s="75"/>
      <c r="P53" s="75"/>
      <c r="Q53" s="73"/>
    </row>
    <row r="54" spans="1:18">
      <c r="A54" s="56"/>
      <c r="B54" s="56"/>
      <c r="C54" s="57"/>
      <c r="D54" s="57"/>
      <c r="E54" s="57"/>
      <c r="F54" s="57"/>
      <c r="G54" s="57"/>
      <c r="H54" s="57"/>
      <c r="I54" s="57"/>
      <c r="J54" s="57"/>
      <c r="K54" s="57"/>
      <c r="L54" s="57"/>
      <c r="M54" s="57"/>
      <c r="N54" s="57"/>
      <c r="O54" s="57"/>
      <c r="P54" s="57"/>
      <c r="Q54" s="58"/>
    </row>
    <row r="55" spans="1:18">
      <c r="A55" s="56"/>
      <c r="B55" s="56"/>
      <c r="C55" s="57"/>
      <c r="D55" s="57"/>
      <c r="E55" s="57"/>
      <c r="F55" s="57"/>
      <c r="G55" s="57"/>
      <c r="H55" s="57"/>
      <c r="I55" s="57"/>
      <c r="J55" s="57"/>
      <c r="K55" s="57"/>
      <c r="L55" s="57"/>
      <c r="M55" s="57"/>
      <c r="N55" s="57"/>
      <c r="O55" s="57"/>
      <c r="P55" s="57"/>
      <c r="Q55" s="58"/>
    </row>
    <row r="56" spans="1:18">
      <c r="A56" s="76"/>
      <c r="B56" s="76"/>
      <c r="C56" s="76"/>
      <c r="D56" s="76"/>
      <c r="E56" s="76"/>
      <c r="F56" s="76"/>
      <c r="G56" s="76"/>
      <c r="H56" s="76"/>
      <c r="I56" s="76"/>
      <c r="J56" s="76"/>
      <c r="K56" s="76"/>
      <c r="L56" s="76"/>
      <c r="M56" s="76"/>
      <c r="N56" s="76"/>
      <c r="O56" s="76"/>
      <c r="P56" s="76"/>
      <c r="Q56" s="73"/>
    </row>
    <row r="57" spans="1:18" ht="14.5" customHeight="1">
      <c r="A57" s="52" t="s">
        <v>178</v>
      </c>
      <c r="B57" s="52"/>
      <c r="C57" s="52"/>
      <c r="D57" s="52"/>
      <c r="E57" s="52"/>
      <c r="F57" s="52"/>
      <c r="G57" s="52"/>
      <c r="H57" s="52"/>
      <c r="I57" s="52"/>
      <c r="J57" s="52"/>
      <c r="K57" s="52"/>
      <c r="L57" s="52"/>
      <c r="M57" s="52"/>
      <c r="N57" s="52"/>
      <c r="O57" s="52"/>
      <c r="P57" s="52"/>
      <c r="Q57" s="73"/>
    </row>
    <row r="58" spans="1:18" ht="14.5" customHeight="1">
      <c r="A58" s="59" t="s">
        <v>205</v>
      </c>
      <c r="B58" s="59"/>
      <c r="C58" s="59"/>
      <c r="D58" s="70">
        <v>45658</v>
      </c>
      <c r="E58" s="70">
        <v>45689</v>
      </c>
      <c r="F58" s="70">
        <v>45717</v>
      </c>
      <c r="G58" s="70">
        <v>45748</v>
      </c>
      <c r="H58" s="70">
        <v>45778</v>
      </c>
      <c r="I58" s="70">
        <v>45809</v>
      </c>
      <c r="J58" s="70">
        <v>45839</v>
      </c>
      <c r="K58" s="70">
        <v>45870</v>
      </c>
      <c r="L58" s="70">
        <v>45901</v>
      </c>
      <c r="M58" s="70">
        <v>45931</v>
      </c>
      <c r="N58" s="70">
        <v>45962</v>
      </c>
      <c r="O58" s="70">
        <v>45992</v>
      </c>
      <c r="P58" s="60" t="s">
        <v>206</v>
      </c>
      <c r="Q58" s="73"/>
    </row>
    <row r="59" spans="1:18" ht="14.5" customHeight="1">
      <c r="A59" s="1" t="s">
        <v>207</v>
      </c>
      <c r="B59" s="12" t="s">
        <v>208</v>
      </c>
      <c r="D59" s="3">
        <f>'[4]Vols ePod'!AN182</f>
        <v>4.7069E-2</v>
      </c>
      <c r="E59" s="3">
        <f>'[4]Vols ePod'!AO182</f>
        <v>4.2696999999999992E-2</v>
      </c>
      <c r="F59" s="3">
        <f>'[4]Vols ePod'!AP182</f>
        <v>4.1592999999999998E-2</v>
      </c>
      <c r="G59" s="3">
        <f>'[4]Vols ePod'!AQ182</f>
        <v>4.4382999999999992E-2</v>
      </c>
      <c r="H59" s="3">
        <f>'[4]Vols ePod'!AR182</f>
        <v>4.5744000000000007E-2</v>
      </c>
      <c r="I59" s="3">
        <f>'[4]Vols ePod'!AS182</f>
        <v>4.2350999999999993E-2</v>
      </c>
      <c r="J59" s="3">
        <f>'[4]Vols ePod'!AT182</f>
        <v>4.5568000000000004E-2</v>
      </c>
      <c r="K59" s="3">
        <f>'[4]Vols ePod'!AU182</f>
        <v>4.4963000000000003E-2</v>
      </c>
      <c r="L59" s="3">
        <f>'[4]Vols ePod'!AV182</f>
        <v>4.3996999999999994E-2</v>
      </c>
      <c r="M59" s="3">
        <f>'[4]Vols ePod'!AW182</f>
        <v>4.7959000000000016E-2</v>
      </c>
      <c r="N59" s="3">
        <f>'[4]Vols ePod'!AX182</f>
        <v>4.3967999999999993E-2</v>
      </c>
      <c r="O59" s="3">
        <f>'[4]Vols ePod'!AY182</f>
        <v>4.6304999999999992E-2</v>
      </c>
      <c r="P59" s="54">
        <f>SUM(D59:O59)</f>
        <v>0.53659699999999999</v>
      </c>
      <c r="Q59" s="73"/>
    </row>
    <row r="60" spans="1:18" ht="14.5" customHeight="1">
      <c r="A60" s="1"/>
      <c r="B60" s="64" t="s">
        <v>169</v>
      </c>
      <c r="C60" s="65"/>
      <c r="D60" s="66">
        <f>'[5]Volume Summary'!L130</f>
        <v>2.8635999999999988E-2</v>
      </c>
      <c r="E60" s="66">
        <f>'[5]Volume Summary'!M130</f>
        <v>3.5002000000000005E-2</v>
      </c>
      <c r="F60" s="66">
        <f>'[5]Volume Summary'!N130</f>
        <v>2.9783999999999995E-2</v>
      </c>
      <c r="G60" s="66">
        <f>'[5]Volume Summary'!O130</f>
        <v>3.2322999999999991E-2</v>
      </c>
      <c r="H60" s="66">
        <f>'[5]Volume Summary'!P130</f>
        <v>3.2761000000000005E-2</v>
      </c>
      <c r="I60" s="66">
        <f>'[5]Volume Summary'!Q130</f>
        <v>2.9703E-2</v>
      </c>
      <c r="J60" s="66">
        <f>'[5]Volume Summary'!R130</f>
        <v>2.6182999999999998E-2</v>
      </c>
      <c r="K60" s="66">
        <f>'[5]Volume Summary'!S130</f>
        <v>2.2850999999999996E-2</v>
      </c>
      <c r="L60" s="66">
        <f>'[5]Volume Summary'!T130</f>
        <v>2.2493000000000003E-2</v>
      </c>
      <c r="M60" s="66">
        <f>'[5]Volume Summary'!U130</f>
        <v>2.4331999999999993E-2</v>
      </c>
      <c r="N60" s="66">
        <f>'[5]Volume Summary'!V130</f>
        <v>2.0527000000000004E-2</v>
      </c>
      <c r="O60" s="66">
        <f>'[5]Volume Summary'!W130</f>
        <v>2.3304999999999996E-2</v>
      </c>
      <c r="P60" s="67">
        <f>SUM(D60:O60)</f>
        <v>0.32790000000000002</v>
      </c>
      <c r="Q60" s="73"/>
      <c r="R60" t="s">
        <v>178</v>
      </c>
    </row>
    <row r="61" spans="1:18" ht="14.5" customHeight="1">
      <c r="A61" s="69"/>
      <c r="B61" s="69"/>
      <c r="C61" s="69"/>
      <c r="D61" s="69"/>
      <c r="E61" s="69"/>
      <c r="F61" s="69"/>
      <c r="G61" s="69"/>
      <c r="H61" s="69"/>
      <c r="I61" s="69"/>
      <c r="J61" s="69"/>
      <c r="K61" s="69"/>
      <c r="L61" s="69"/>
      <c r="M61" s="69"/>
      <c r="N61" s="69"/>
      <c r="O61" s="69"/>
      <c r="P61" s="69"/>
      <c r="Q61" s="73"/>
    </row>
    <row r="62" spans="1:18" ht="14.5" customHeight="1">
      <c r="A62" s="36" t="s">
        <v>209</v>
      </c>
      <c r="B62" s="37"/>
      <c r="C62" s="38">
        <v>45505</v>
      </c>
      <c r="D62" s="39">
        <v>45536</v>
      </c>
      <c r="E62" s="39">
        <v>45566</v>
      </c>
      <c r="F62" s="39">
        <v>45597</v>
      </c>
      <c r="G62" s="39">
        <v>45627</v>
      </c>
      <c r="H62" s="39">
        <v>45658</v>
      </c>
      <c r="I62" s="39">
        <v>45689</v>
      </c>
      <c r="J62" s="39">
        <v>45717</v>
      </c>
      <c r="K62" s="39">
        <v>45748</v>
      </c>
      <c r="L62" s="39">
        <v>45778</v>
      </c>
      <c r="M62" s="39">
        <v>45809</v>
      </c>
      <c r="N62" s="39">
        <v>45839</v>
      </c>
      <c r="O62" s="39">
        <v>45870</v>
      </c>
      <c r="P62" s="37"/>
      <c r="Q62" s="73"/>
    </row>
    <row r="63" spans="1:18" ht="14.5" customHeight="1">
      <c r="A63" s="8" t="s">
        <v>210</v>
      </c>
      <c r="B63" s="12" t="s">
        <v>4</v>
      </c>
      <c r="D63" s="9">
        <f>SUMIFS('RCS Initiatives'!G:G,'RCS Initiatives'!$A:$A,RCS!$A$57,'RCS Initiatives'!$B:$B,RCS!$B63)</f>
        <v>-0.10571720946781656</v>
      </c>
      <c r="E63" s="9">
        <f>SUMIFS('RCS Initiatives'!H:H,'RCS Initiatives'!$A:$A,RCS!$A$57,'RCS Initiatives'!$B:$B,RCS!$B63)</f>
        <v>0</v>
      </c>
      <c r="F63" s="9">
        <f>SUMIFS('RCS Initiatives'!I:I,'RCS Initiatives'!$A:$A,RCS!$A$57,'RCS Initiatives'!$B:$B,RCS!$B63)</f>
        <v>0</v>
      </c>
      <c r="G63" s="9">
        <f>SUMIFS('RCS Initiatives'!J:J,'RCS Initiatives'!$A:$A,RCS!$A$57,'RCS Initiatives'!$B:$B,RCS!$B63)</f>
        <v>0</v>
      </c>
      <c r="H63" s="9">
        <f>SUMIFS('RCS Initiatives'!K:K,'RCS Initiatives'!$A:$A,RCS!$A$57,'RCS Initiatives'!$B:$B,RCS!$B63)</f>
        <v>0.15766049232009077</v>
      </c>
      <c r="I63" s="9">
        <f>SUMIFS('RCS Initiatives'!L:L,'RCS Initiatives'!$A:$A,RCS!$A$57,'RCS Initiatives'!$B:$B,RCS!$B63)</f>
        <v>0</v>
      </c>
      <c r="J63" s="9">
        <f>SUMIFS('RCS Initiatives'!M:M,'RCS Initiatives'!$A:$A,RCS!$A$57,'RCS Initiatives'!$B:$B,RCS!$B63)</f>
        <v>0</v>
      </c>
      <c r="K63" s="9">
        <f>SUMIFS('RCS Initiatives'!N:N,'RCS Initiatives'!$A:$A,RCS!$A$57,'RCS Initiatives'!$B:$B,RCS!$B63)</f>
        <v>-0.75957028574410645</v>
      </c>
      <c r="L63" s="9">
        <f>SUMIFS('RCS Initiatives'!O:O,'RCS Initiatives'!$A:$A,RCS!$A$57,'RCS Initiatives'!$B:$B,RCS!$B63)</f>
        <v>0</v>
      </c>
      <c r="M63" s="9">
        <f>SUMIFS('RCS Initiatives'!P:P,'RCS Initiatives'!$A:$A,RCS!$A$57,'RCS Initiatives'!$B:$B,RCS!$B63)</f>
        <v>0</v>
      </c>
      <c r="N63" s="9">
        <f>SUMIFS('RCS Initiatives'!Q:Q,'RCS Initiatives'!$A:$A,RCS!$A$57,'RCS Initiatives'!$B:$B,RCS!$B63)</f>
        <v>-1.9156879842222113E-2</v>
      </c>
      <c r="O63" s="9">
        <f>SUMIFS('RCS Initiatives'!R:R,'RCS Initiatives'!$A:$A,RCS!$A$57,'RCS Initiatives'!$B:$B,RCS!$B63)</f>
        <v>0</v>
      </c>
      <c r="Q63" s="73"/>
    </row>
    <row r="64" spans="1:18">
      <c r="A64" s="8" t="s">
        <v>210</v>
      </c>
      <c r="B64" s="13" t="s">
        <v>5</v>
      </c>
      <c r="D64" s="9">
        <f>SUMIFS('RCS Initiatives'!G:G,'RCS Initiatives'!$A:$A,RCS!$A$57,'RCS Initiatives'!$B:$B,RCS!$B64)</f>
        <v>-5.3239044540161061E-2</v>
      </c>
      <c r="E64" s="9">
        <f>SUMIFS('RCS Initiatives'!H:H,'RCS Initiatives'!$A:$A,RCS!$A$57,'RCS Initiatives'!$B:$B,RCS!$B64)</f>
        <v>-2.3731927274982332E-2</v>
      </c>
      <c r="F64" s="9">
        <f>SUMIFS('RCS Initiatives'!I:I,'RCS Initiatives'!$A:$A,RCS!$A$57,'RCS Initiatives'!$B:$B,RCS!$B64)</f>
        <v>0</v>
      </c>
      <c r="G64" s="9">
        <f>SUMIFS('RCS Initiatives'!J:J,'RCS Initiatives'!$A:$A,RCS!$A$57,'RCS Initiatives'!$B:$B,RCS!$B64)</f>
        <v>0</v>
      </c>
      <c r="H64" s="9">
        <f>SUMIFS('RCS Initiatives'!K:K,'RCS Initiatives'!$A:$A,RCS!$A$57,'RCS Initiatives'!$B:$B,RCS!$B64)</f>
        <v>-9.2696684185466061E-2</v>
      </c>
      <c r="I64" s="9">
        <f>SUMIFS('RCS Initiatives'!L:L,'RCS Initiatives'!$A:$A,RCS!$A$57,'RCS Initiatives'!$B:$B,RCS!$B64)</f>
        <v>-0.11744602229673812</v>
      </c>
      <c r="J64" s="9">
        <f>SUMIFS('RCS Initiatives'!M:M,'RCS Initiatives'!$A:$A,RCS!$A$57,'RCS Initiatives'!$B:$B,RCS!$B64)</f>
        <v>0</v>
      </c>
      <c r="K64" s="9">
        <f>SUMIFS('RCS Initiatives'!N:N,'RCS Initiatives'!$A:$A,RCS!$A$57,'RCS Initiatives'!$B:$B,RCS!$B64)</f>
        <v>-0.2208238366035043</v>
      </c>
      <c r="L64" s="9">
        <f>SUMIFS('RCS Initiatives'!O:O,'RCS Initiatives'!$A:$A,RCS!$A$57,'RCS Initiatives'!$B:$B,RCS!$B64)</f>
        <v>0</v>
      </c>
      <c r="M64" s="9">
        <f>SUMIFS('RCS Initiatives'!P:P,'RCS Initiatives'!$A:$A,RCS!$A$57,'RCS Initiatives'!$B:$B,RCS!$B64)</f>
        <v>2.2683852221261139E-2</v>
      </c>
      <c r="N64" s="9">
        <f>SUMIFS('RCS Initiatives'!Q:Q,'RCS Initiatives'!$A:$A,RCS!$A$57,'RCS Initiatives'!$B:$B,RCS!$B64)</f>
        <v>-9.1767651551390092E-3</v>
      </c>
      <c r="O64" s="9">
        <f>SUMIFS('RCS Initiatives'!R:R,'RCS Initiatives'!$A:$A,RCS!$A$57,'RCS Initiatives'!$B:$B,RCS!$B64)</f>
        <v>0</v>
      </c>
      <c r="Q64" s="73"/>
    </row>
    <row r="65" spans="1:18">
      <c r="A65" s="56"/>
      <c r="B65" s="56"/>
      <c r="C65" s="57"/>
      <c r="D65" s="57"/>
      <c r="E65" s="57"/>
      <c r="F65" s="57"/>
      <c r="G65" s="57"/>
      <c r="H65" s="57"/>
      <c r="I65" s="57"/>
      <c r="J65" s="57"/>
      <c r="K65" s="57"/>
      <c r="L65" s="57"/>
      <c r="M65" s="57"/>
      <c r="N65" s="57"/>
      <c r="O65" s="57"/>
      <c r="P65" s="57"/>
      <c r="Q65" s="73"/>
    </row>
    <row r="66" spans="1:18">
      <c r="A66" s="36" t="s">
        <v>213</v>
      </c>
      <c r="B66" s="37"/>
      <c r="C66" s="37"/>
      <c r="D66" s="37"/>
      <c r="E66" s="37"/>
      <c r="F66" s="37"/>
      <c r="G66" s="37"/>
      <c r="H66" s="37"/>
      <c r="I66" s="37"/>
      <c r="J66" s="37"/>
      <c r="K66" s="37"/>
      <c r="L66" s="37"/>
      <c r="M66" s="37"/>
      <c r="N66" s="37"/>
      <c r="O66" s="37"/>
      <c r="P66" s="16" t="s">
        <v>214</v>
      </c>
      <c r="Q66" s="63" t="s">
        <v>215</v>
      </c>
    </row>
    <row r="67" spans="1:18">
      <c r="B67" s="12" t="s">
        <v>4</v>
      </c>
      <c r="C67" s="20">
        <f>'[4]ePod Devices'!$AE$226</f>
        <v>9.1148089740352063</v>
      </c>
      <c r="D67" s="9">
        <f>C67+D63</f>
        <v>9.0090917645673905</v>
      </c>
      <c r="E67" s="9">
        <f t="shared" ref="E67:O67" si="8">D67+E63</f>
        <v>9.0090917645673905</v>
      </c>
      <c r="F67" s="9">
        <f t="shared" si="8"/>
        <v>9.0090917645673905</v>
      </c>
      <c r="G67" s="9">
        <f t="shared" si="8"/>
        <v>9.0090917645673905</v>
      </c>
      <c r="H67" s="9">
        <f t="shared" si="8"/>
        <v>9.1667522568874809</v>
      </c>
      <c r="I67" s="9">
        <f t="shared" si="8"/>
        <v>9.1667522568874809</v>
      </c>
      <c r="J67" s="9">
        <f t="shared" si="8"/>
        <v>9.1667522568874809</v>
      </c>
      <c r="K67" s="9">
        <f t="shared" si="8"/>
        <v>8.4071819711433751</v>
      </c>
      <c r="L67" s="9">
        <f t="shared" si="8"/>
        <v>8.4071819711433751</v>
      </c>
      <c r="M67" s="9">
        <f t="shared" si="8"/>
        <v>8.4071819711433751</v>
      </c>
      <c r="N67" s="9">
        <f t="shared" si="8"/>
        <v>8.3880250913011523</v>
      </c>
      <c r="O67" s="9">
        <f t="shared" si="8"/>
        <v>8.3880250913011523</v>
      </c>
      <c r="P67" s="20">
        <f>SUMPRODUCT(D67:O67,D59:O59)/P59</f>
        <v>8.7902961611320265</v>
      </c>
      <c r="Q67" s="72">
        <f>P67*$P$59</f>
        <v>4.7168465491749618</v>
      </c>
      <c r="R67" t="s">
        <v>178</v>
      </c>
    </row>
    <row r="68" spans="1:18">
      <c r="B68" s="14"/>
      <c r="C68" s="5">
        <f>C67-'[4]ePod Devices'!AE226</f>
        <v>0</v>
      </c>
      <c r="D68" s="5">
        <f>D67-'[4]ePod Devices'!AF226</f>
        <v>0</v>
      </c>
      <c r="E68" s="5">
        <f>E67-'[4]ePod Devices'!AG226</f>
        <v>0</v>
      </c>
      <c r="F68" s="5">
        <f>F67-'[4]ePod Devices'!AH226</f>
        <v>0</v>
      </c>
      <c r="G68" s="5">
        <f>G67-'[4]ePod Devices'!AI226</f>
        <v>0</v>
      </c>
      <c r="H68" s="5">
        <f>H67-'[4]ePod Devices'!AJ226</f>
        <v>0</v>
      </c>
      <c r="I68" s="5">
        <f>I67-'[4]ePod Devices'!AK226</f>
        <v>0</v>
      </c>
      <c r="J68" s="5">
        <f>J67-'[4]ePod Devices'!AL226</f>
        <v>0</v>
      </c>
      <c r="K68" s="5">
        <f>K67-'[4]ePod Devices'!AM226</f>
        <v>0</v>
      </c>
      <c r="L68" s="5">
        <f>L67-'[4]ePod Devices'!AN226</f>
        <v>0</v>
      </c>
      <c r="M68" s="5">
        <f>M67-'[4]ePod Devices'!AO226</f>
        <v>0</v>
      </c>
      <c r="N68" s="5">
        <f>N67-'[4]ePod Devices'!AP226</f>
        <v>0</v>
      </c>
      <c r="O68" s="5">
        <f>O67-'[4]ePod Devices'!AQ226</f>
        <v>0</v>
      </c>
      <c r="Q68" s="72"/>
    </row>
    <row r="69" spans="1:18">
      <c r="B69" s="13" t="s">
        <v>5</v>
      </c>
      <c r="C69" s="20">
        <f>'[6]ePod Devices'!$AE$245</f>
        <v>8.9415813015774095</v>
      </c>
      <c r="D69" s="9">
        <f>C69+D64</f>
        <v>8.8883422570372481</v>
      </c>
      <c r="E69" s="9">
        <f t="shared" ref="E69:O69" si="9">D69+E64</f>
        <v>8.8646103297622663</v>
      </c>
      <c r="F69" s="9">
        <f t="shared" si="9"/>
        <v>8.8646103297622663</v>
      </c>
      <c r="G69" s="9">
        <f t="shared" si="9"/>
        <v>8.8646103297622663</v>
      </c>
      <c r="H69" s="9">
        <f t="shared" si="9"/>
        <v>8.7719136455768005</v>
      </c>
      <c r="I69" s="9">
        <f t="shared" si="9"/>
        <v>8.6544676232800626</v>
      </c>
      <c r="J69" s="9">
        <f t="shared" si="9"/>
        <v>8.6544676232800626</v>
      </c>
      <c r="K69" s="9">
        <f t="shared" si="9"/>
        <v>8.4336437866765586</v>
      </c>
      <c r="L69" s="9">
        <f t="shared" si="9"/>
        <v>8.4336437866765586</v>
      </c>
      <c r="M69" s="9">
        <f t="shared" si="9"/>
        <v>8.4563276388978199</v>
      </c>
      <c r="N69" s="9">
        <f t="shared" si="9"/>
        <v>8.4471508737426806</v>
      </c>
      <c r="O69" s="9">
        <f t="shared" si="9"/>
        <v>8.4471508737426806</v>
      </c>
      <c r="P69" s="20">
        <f>SUMPRODUCT(D69:O69,D59:O59)/P59</f>
        <v>8.646189901834024</v>
      </c>
      <c r="Q69" s="72">
        <f>P69*$P$59</f>
        <v>4.6395195627544314</v>
      </c>
      <c r="R69" t="s">
        <v>178</v>
      </c>
    </row>
    <row r="70" spans="1:18">
      <c r="C70" s="5">
        <f>C69-'[5]CoGS Tracker Vap-D'!L305</f>
        <v>0</v>
      </c>
      <c r="D70" s="5">
        <f>D69-'[5]CoGS Tracker Vap-D'!M305</f>
        <v>0</v>
      </c>
      <c r="E70" s="5">
        <f>E69-'[5]CoGS Tracker Vap-D'!N305</f>
        <v>0</v>
      </c>
      <c r="F70" s="5">
        <f>F69-'[5]CoGS Tracker Vap-D'!O305</f>
        <v>0</v>
      </c>
      <c r="G70" s="5">
        <f>G69-'[5]CoGS Tracker Vap-D'!P305</f>
        <v>0</v>
      </c>
      <c r="H70" s="5">
        <f>H69-'[5]CoGS Tracker Vap-D'!Q305</f>
        <v>0</v>
      </c>
      <c r="I70" s="5">
        <f>I69-'[5]CoGS Tracker Vap-D'!R305</f>
        <v>0</v>
      </c>
      <c r="J70" s="5">
        <f>J69-'[5]CoGS Tracker Vap-D'!S305</f>
        <v>0</v>
      </c>
      <c r="K70" s="5">
        <f>K69-'[5]CoGS Tracker Vap-D'!T305</f>
        <v>-0.15789529857064721</v>
      </c>
      <c r="L70" s="5">
        <f>L69-'[5]CoGS Tracker Vap-D'!U305</f>
        <v>-0.15789529857064721</v>
      </c>
      <c r="M70" s="5">
        <f>M69-'[5]CoGS Tracker Vap-D'!V305</f>
        <v>-0.15789529857064721</v>
      </c>
      <c r="N70" s="5">
        <f>N69-'[5]CoGS Tracker Vap-D'!W305</f>
        <v>-0.15789529857064721</v>
      </c>
      <c r="O70" s="5">
        <f>O69-'[5]CoGS Tracker Vap-D'!X305</f>
        <v>-0.15789529857064721</v>
      </c>
      <c r="Q70" s="71"/>
    </row>
    <row r="71" spans="1:18">
      <c r="A71" s="49"/>
      <c r="B71" s="49" t="s">
        <v>221</v>
      </c>
      <c r="C71" s="50">
        <f>C69-C67</f>
        <v>-0.1732276724577968</v>
      </c>
      <c r="D71" s="50">
        <f t="shared" ref="D71:O71" si="10">D69-D67</f>
        <v>-0.12074950753014235</v>
      </c>
      <c r="E71" s="50">
        <f t="shared" si="10"/>
        <v>-0.14448143480512421</v>
      </c>
      <c r="F71" s="50">
        <f t="shared" si="10"/>
        <v>-0.14448143480512421</v>
      </c>
      <c r="G71" s="50">
        <f t="shared" si="10"/>
        <v>-0.14448143480512421</v>
      </c>
      <c r="H71" s="50">
        <f t="shared" si="10"/>
        <v>-0.39483861131068032</v>
      </c>
      <c r="I71" s="50">
        <f t="shared" si="10"/>
        <v>-0.51228463360741827</v>
      </c>
      <c r="J71" s="50">
        <f t="shared" si="10"/>
        <v>-0.51228463360741827</v>
      </c>
      <c r="K71" s="50">
        <f t="shared" si="10"/>
        <v>2.6461815533183497E-2</v>
      </c>
      <c r="L71" s="50">
        <f t="shared" si="10"/>
        <v>2.6461815533183497E-2</v>
      </c>
      <c r="M71" s="50">
        <f t="shared" si="10"/>
        <v>4.9145667754444844E-2</v>
      </c>
      <c r="N71" s="50">
        <f t="shared" si="10"/>
        <v>5.912578244152833E-2</v>
      </c>
      <c r="O71" s="50">
        <f t="shared" si="10"/>
        <v>5.912578244152833E-2</v>
      </c>
      <c r="P71" s="50">
        <f>P69-P67</f>
        <v>-0.14410625929800247</v>
      </c>
      <c r="Q71" s="73">
        <f>Q69-Q67</f>
        <v>-7.7326986420530375E-2</v>
      </c>
    </row>
    <row r="72" spans="1:18">
      <c r="A72" s="71"/>
      <c r="B72" s="71"/>
      <c r="C72" s="71"/>
      <c r="D72" s="71"/>
      <c r="E72" s="71"/>
      <c r="F72" s="71"/>
      <c r="G72" s="71"/>
      <c r="H72" s="71"/>
      <c r="I72" s="71"/>
      <c r="J72" s="71"/>
      <c r="K72" s="71"/>
      <c r="L72" s="71"/>
      <c r="M72" s="71"/>
      <c r="N72" s="71"/>
      <c r="O72" s="71"/>
      <c r="P72" s="71"/>
      <c r="Q72" s="71"/>
    </row>
    <row r="75" spans="1:18">
      <c r="A75" s="71"/>
      <c r="B75" s="71"/>
      <c r="C75" s="71"/>
      <c r="D75" s="71"/>
      <c r="E75" s="71"/>
      <c r="F75" s="71"/>
      <c r="G75" s="71"/>
      <c r="H75" s="71"/>
      <c r="I75" s="71"/>
      <c r="J75" s="71"/>
      <c r="K75" s="71"/>
      <c r="L75" s="71"/>
      <c r="M75" s="71"/>
      <c r="N75" s="71"/>
      <c r="O75" s="71"/>
      <c r="P75" s="71"/>
      <c r="Q75" s="71"/>
    </row>
    <row r="76" spans="1:18">
      <c r="A76" s="52" t="s">
        <v>149</v>
      </c>
      <c r="B76" s="52"/>
      <c r="C76" s="52"/>
      <c r="D76" s="52"/>
      <c r="E76" s="52"/>
      <c r="F76" s="52"/>
      <c r="G76" s="52"/>
      <c r="H76" s="52"/>
      <c r="I76" s="52"/>
      <c r="J76" s="52"/>
      <c r="K76" s="52"/>
      <c r="L76" s="52"/>
      <c r="M76" s="52"/>
      <c r="N76" s="52"/>
      <c r="O76" s="52"/>
      <c r="P76" s="52"/>
      <c r="Q76" s="71"/>
    </row>
    <row r="77" spans="1:18">
      <c r="A77" s="59" t="s">
        <v>205</v>
      </c>
      <c r="B77" s="59"/>
      <c r="C77" s="59"/>
      <c r="D77" s="70">
        <v>45658</v>
      </c>
      <c r="E77" s="70">
        <v>45689</v>
      </c>
      <c r="F77" s="70">
        <v>45717</v>
      </c>
      <c r="G77" s="70">
        <v>45748</v>
      </c>
      <c r="H77" s="70">
        <v>45778</v>
      </c>
      <c r="I77" s="70">
        <v>45809</v>
      </c>
      <c r="J77" s="70">
        <v>45839</v>
      </c>
      <c r="K77" s="70">
        <v>45870</v>
      </c>
      <c r="L77" s="70">
        <v>45901</v>
      </c>
      <c r="M77" s="70">
        <v>45931</v>
      </c>
      <c r="N77" s="70">
        <v>45962</v>
      </c>
      <c r="O77" s="70">
        <v>45992</v>
      </c>
      <c r="P77" s="60" t="s">
        <v>206</v>
      </c>
      <c r="Q77" s="71"/>
    </row>
    <row r="78" spans="1:18">
      <c r="A78" s="1" t="s">
        <v>207</v>
      </c>
      <c r="B78" s="12" t="s">
        <v>208</v>
      </c>
      <c r="D78" s="3">
        <f>'[4]Vols ePod'!AN184</f>
        <v>0.34795399999999999</v>
      </c>
      <c r="E78" s="3">
        <f>'[4]Vols ePod'!AO184</f>
        <v>0.26864299999999991</v>
      </c>
      <c r="F78" s="3">
        <f>'[4]Vols ePod'!AP184</f>
        <v>0.25550499999999998</v>
      </c>
      <c r="G78" s="3">
        <f>'[4]Vols ePod'!AQ184</f>
        <v>0.51380700000000001</v>
      </c>
      <c r="H78" s="3">
        <f>'[4]Vols ePod'!AR184</f>
        <v>0.51407900000000006</v>
      </c>
      <c r="I78" s="3">
        <f>'[4]Vols ePod'!AS184</f>
        <v>0.5453610000000001</v>
      </c>
      <c r="J78" s="3">
        <f>'[4]Vols ePod'!AT184</f>
        <v>0.56210599999999988</v>
      </c>
      <c r="K78" s="3">
        <f>'[4]Vols ePod'!AU184</f>
        <v>0.57341600000000004</v>
      </c>
      <c r="L78" s="3">
        <f>'[4]Vols ePod'!AV184</f>
        <v>0.57024299999999994</v>
      </c>
      <c r="M78" s="3">
        <f>'[4]Vols ePod'!AW184</f>
        <v>0.87597900000000006</v>
      </c>
      <c r="N78" s="3">
        <f>'[4]Vols ePod'!AX184</f>
        <v>0.8989609999999999</v>
      </c>
      <c r="O78" s="3">
        <f>'[4]Vols ePod'!AY184</f>
        <v>0.82591900000000007</v>
      </c>
      <c r="P78" s="54">
        <f>SUM(D78:O78)</f>
        <v>6.7519729999999996</v>
      </c>
      <c r="Q78" s="71"/>
    </row>
    <row r="79" spans="1:18">
      <c r="A79" s="1"/>
      <c r="B79" s="64" t="s">
        <v>169</v>
      </c>
      <c r="C79" s="65"/>
      <c r="D79" s="66">
        <f>'[5]Volume Summary'!L132</f>
        <v>0.12278199999999999</v>
      </c>
      <c r="E79" s="66">
        <f>'[5]Volume Summary'!M132</f>
        <v>0.32840200000000003</v>
      </c>
      <c r="F79" s="66">
        <f>'[5]Volume Summary'!N132</f>
        <v>0.206284</v>
      </c>
      <c r="G79" s="66">
        <f>'[5]Volume Summary'!O132</f>
        <v>0.20673500000000003</v>
      </c>
      <c r="H79" s="66">
        <f>'[5]Volume Summary'!P132</f>
        <v>0.27258700000000002</v>
      </c>
      <c r="I79" s="66">
        <f>'[5]Volume Summary'!Q132</f>
        <v>0.28974099999999997</v>
      </c>
      <c r="J79" s="66">
        <f>'[5]Volume Summary'!R132</f>
        <v>0.13897000000000001</v>
      </c>
      <c r="K79" s="66">
        <f>'[5]Volume Summary'!S132</f>
        <v>9.339900000000001E-2</v>
      </c>
      <c r="L79" s="66">
        <f>'[5]Volume Summary'!T132</f>
        <v>8.8099999999999998E-2</v>
      </c>
      <c r="M79" s="66">
        <f>'[5]Volume Summary'!U132</f>
        <v>6.8046999999999996E-2</v>
      </c>
      <c r="N79" s="66">
        <f>'[5]Volume Summary'!V132</f>
        <v>5.5969999999999999E-2</v>
      </c>
      <c r="O79" s="66">
        <f>'[5]Volume Summary'!W132</f>
        <v>5.3523000000000001E-2</v>
      </c>
      <c r="P79" s="67">
        <f>SUM(D79:O79)</f>
        <v>1.9245400000000001</v>
      </c>
      <c r="Q79" s="71"/>
      <c r="R79" t="s">
        <v>149</v>
      </c>
    </row>
    <row r="80" spans="1:18">
      <c r="Q80" s="71"/>
    </row>
    <row r="81" spans="1:18">
      <c r="A81" s="36" t="s">
        <v>209</v>
      </c>
      <c r="B81" s="37"/>
      <c r="C81" s="38">
        <v>45505</v>
      </c>
      <c r="D81" s="39">
        <v>45536</v>
      </c>
      <c r="E81" s="39">
        <v>45566</v>
      </c>
      <c r="F81" s="39">
        <v>45597</v>
      </c>
      <c r="G81" s="39">
        <v>45627</v>
      </c>
      <c r="H81" s="39">
        <v>45658</v>
      </c>
      <c r="I81" s="39">
        <v>45689</v>
      </c>
      <c r="J81" s="39">
        <v>45717</v>
      </c>
      <c r="K81" s="39">
        <v>45748</v>
      </c>
      <c r="L81" s="39">
        <v>45778</v>
      </c>
      <c r="M81" s="39">
        <v>45809</v>
      </c>
      <c r="N81" s="39">
        <v>45839</v>
      </c>
      <c r="O81" s="39">
        <v>45870</v>
      </c>
      <c r="P81" s="37"/>
      <c r="Q81" s="71"/>
    </row>
    <row r="82" spans="1:18">
      <c r="A82" s="8" t="s">
        <v>210</v>
      </c>
      <c r="B82" s="12" t="s">
        <v>4</v>
      </c>
      <c r="D82" s="9">
        <f>SUMIFS('RCS Initiatives'!G:G,'RCS Initiatives'!$A:$A,RCS!$A$76,'RCS Initiatives'!$B:$B,RCS!$B82)</f>
        <v>3.8198411626013853E-2</v>
      </c>
      <c r="E82" s="9">
        <f>SUMIFS('RCS Initiatives'!H:H,'RCS Initiatives'!$A:$A,RCS!$A$76,'RCS Initiatives'!$B:$B,RCS!$B82)</f>
        <v>0</v>
      </c>
      <c r="F82" s="9">
        <f>SUMIFS('RCS Initiatives'!I:I,'RCS Initiatives'!$A:$A,RCS!$A$76,'RCS Initiatives'!$B:$B,RCS!$B82)</f>
        <v>-3.4816746656391201E-2</v>
      </c>
      <c r="G82" s="9">
        <f>SUMIFS('RCS Initiatives'!J:J,'RCS Initiatives'!$A:$A,RCS!$A$76,'RCS Initiatives'!$B:$B,RCS!$B82)</f>
        <v>-9.3936119090124323E-2</v>
      </c>
      <c r="H82" s="9">
        <f>SUMIFS('RCS Initiatives'!K:K,'RCS Initiatives'!$A:$A,RCS!$A$76,'RCS Initiatives'!$B:$B,RCS!$B82)</f>
        <v>-0.15006903429237775</v>
      </c>
      <c r="I82" s="9">
        <f>SUMIFS('RCS Initiatives'!L:L,'RCS Initiatives'!$A:$A,RCS!$A$76,'RCS Initiatives'!$B:$B,RCS!$B82)</f>
        <v>-5.849262971121167E-2</v>
      </c>
      <c r="J82" s="9">
        <f>SUMIFS('RCS Initiatives'!M:M,'RCS Initiatives'!$A:$A,RCS!$A$76,'RCS Initiatives'!$B:$B,RCS!$B82)</f>
        <v>0</v>
      </c>
      <c r="K82" s="9">
        <f>SUMIFS('RCS Initiatives'!N:N,'RCS Initiatives'!$A:$A,RCS!$A$76,'RCS Initiatives'!$B:$B,RCS!$B82)</f>
        <v>-1.1494127905333267E-2</v>
      </c>
      <c r="L82" s="9">
        <f>SUMIFS('RCS Initiatives'!O:O,'RCS Initiatives'!$A:$A,RCS!$A$76,'RCS Initiatives'!$B:$B,RCS!$B82)</f>
        <v>0</v>
      </c>
      <c r="M82" s="9">
        <f>SUMIFS('RCS Initiatives'!P:P,'RCS Initiatives'!$A:$A,RCS!$A$76,'RCS Initiatives'!$B:$B,RCS!$B82)</f>
        <v>0</v>
      </c>
      <c r="N82" s="9">
        <f>SUMIFS('RCS Initiatives'!Q:Q,'RCS Initiatives'!$A:$A,RCS!$A$76,'RCS Initiatives'!$B:$B,RCS!$B82)</f>
        <v>-1.1494127905333267E-2</v>
      </c>
      <c r="O82" s="9">
        <f>SUMIFS('RCS Initiatives'!R:R,'RCS Initiatives'!$A:$A,RCS!$A$76,'RCS Initiatives'!$B:$B,RCS!$B82)</f>
        <v>0</v>
      </c>
      <c r="Q82" s="71"/>
    </row>
    <row r="83" spans="1:18">
      <c r="A83" s="8" t="s">
        <v>210</v>
      </c>
      <c r="B83" s="13" t="s">
        <v>5</v>
      </c>
      <c r="D83" s="9">
        <f>SUMIFS('RCS Initiatives'!G:G,'RCS Initiatives'!$A:$A,RCS!$A$76,'RCS Initiatives'!$B:$B,RCS!$B83)</f>
        <v>-2.0203663247710842E-2</v>
      </c>
      <c r="E83" s="9">
        <f>SUMIFS('RCS Initiatives'!H:H,'RCS Initiatives'!$A:$A,RCS!$A$76,'RCS Initiatives'!$B:$B,RCS!$B83)</f>
        <v>-0.10499058067439002</v>
      </c>
      <c r="F83" s="9">
        <f>SUMIFS('RCS Initiatives'!I:I,'RCS Initiatives'!$A:$A,RCS!$A$76,'RCS Initiatives'!$B:$B,RCS!$B83)</f>
        <v>-4.7258042464781783E-3</v>
      </c>
      <c r="G83" s="9">
        <f>SUMIFS('RCS Initiatives'!J:J,'RCS Initiatives'!$A:$A,RCS!$A$76,'RCS Initiatives'!$B:$B,RCS!$B83)</f>
        <v>-8.3728001391646205E-3</v>
      </c>
      <c r="H83" s="9">
        <f>SUMIFS('RCS Initiatives'!K:K,'RCS Initiatives'!$A:$A,RCS!$A$76,'RCS Initiatives'!$B:$B,RCS!$B83)</f>
        <v>-2.5805687049211268E-2</v>
      </c>
      <c r="I83" s="9">
        <f>SUMIFS('RCS Initiatives'!L:L,'RCS Initiatives'!$A:$A,RCS!$A$76,'RCS Initiatives'!$B:$B,RCS!$B83)</f>
        <v>-6.6983846031742585E-4</v>
      </c>
      <c r="J83" s="9">
        <f>SUMIFS('RCS Initiatives'!M:M,'RCS Initiatives'!$A:$A,RCS!$A$76,'RCS Initiatives'!$B:$B,RCS!$B83)</f>
        <v>-5.528284449866129E-2</v>
      </c>
      <c r="K83" s="9">
        <f>SUMIFS('RCS Initiatives'!N:N,'RCS Initiatives'!$A:$A,RCS!$A$76,'RCS Initiatives'!$B:$B,RCS!$B83)</f>
        <v>0</v>
      </c>
      <c r="L83" s="9">
        <f>SUMIFS('RCS Initiatives'!O:O,'RCS Initiatives'!$A:$A,RCS!$A$76,'RCS Initiatives'!$B:$B,RCS!$B83)</f>
        <v>-3.4846871752694615E-3</v>
      </c>
      <c r="M83" s="9">
        <f>SUMIFS('RCS Initiatives'!P:P,'RCS Initiatives'!$A:$A,RCS!$A$76,'RCS Initiatives'!$B:$B,RCS!$B83)</f>
        <v>1.1943667598689348E-2</v>
      </c>
      <c r="N83" s="9">
        <f>SUMIFS('RCS Initiatives'!Q:Q,'RCS Initiatives'!$A:$A,RCS!$A$76,'RCS Initiatives'!$B:$B,RCS!$B83)</f>
        <v>-6.8495086836548999E-3</v>
      </c>
      <c r="O83" s="9">
        <f>SUMIFS('RCS Initiatives'!R:R,'RCS Initiatives'!$A:$A,RCS!$A$76,'RCS Initiatives'!$B:$B,RCS!$B83)</f>
        <v>0</v>
      </c>
      <c r="Q83" s="71"/>
    </row>
    <row r="84" spans="1:18">
      <c r="Q84" s="71"/>
    </row>
    <row r="85" spans="1:18">
      <c r="A85" s="36" t="s">
        <v>213</v>
      </c>
      <c r="B85" s="37"/>
      <c r="C85" s="37"/>
      <c r="D85" s="37"/>
      <c r="E85" s="37"/>
      <c r="F85" s="37"/>
      <c r="G85" s="37"/>
      <c r="H85" s="37"/>
      <c r="I85" s="37"/>
      <c r="J85" s="37"/>
      <c r="K85" s="37"/>
      <c r="L85" s="37"/>
      <c r="M85" s="37"/>
      <c r="N85" s="37"/>
      <c r="O85" s="37"/>
      <c r="P85" s="16" t="s">
        <v>214</v>
      </c>
      <c r="Q85" s="63" t="s">
        <v>215</v>
      </c>
    </row>
    <row r="86" spans="1:18">
      <c r="B86" s="12" t="s">
        <v>4</v>
      </c>
      <c r="C86" s="20">
        <f>'[4]ePod Devices'!$AE$282</f>
        <v>2.9291453731167607</v>
      </c>
      <c r="D86" s="9">
        <f>C86+D82</f>
        <v>2.9673437847427744</v>
      </c>
      <c r="E86" s="9">
        <f t="shared" ref="E86:O86" si="11">D86+E82</f>
        <v>2.9673437847427744</v>
      </c>
      <c r="F86" s="9">
        <f t="shared" si="11"/>
        <v>2.9325270380863833</v>
      </c>
      <c r="G86" s="9">
        <f t="shared" si="11"/>
        <v>2.838590918996259</v>
      </c>
      <c r="H86" s="9">
        <f t="shared" si="11"/>
        <v>2.6885218847038814</v>
      </c>
      <c r="I86" s="9">
        <f t="shared" si="11"/>
        <v>2.6300292549926696</v>
      </c>
      <c r="J86" s="9">
        <f t="shared" si="11"/>
        <v>2.6300292549926696</v>
      </c>
      <c r="K86" s="9">
        <f t="shared" si="11"/>
        <v>2.6185351270873363</v>
      </c>
      <c r="L86" s="9">
        <f t="shared" si="11"/>
        <v>2.6185351270873363</v>
      </c>
      <c r="M86" s="9">
        <f t="shared" si="11"/>
        <v>2.6185351270873363</v>
      </c>
      <c r="N86" s="9">
        <f t="shared" si="11"/>
        <v>2.6070409991820029</v>
      </c>
      <c r="O86" s="9">
        <f t="shared" si="11"/>
        <v>2.6070409991820029</v>
      </c>
      <c r="P86" s="20">
        <f>SUMPRODUCT(D86:O86,D78:O78)/P78</f>
        <v>2.683293854610961</v>
      </c>
      <c r="Q86" s="72">
        <f>P86*$P$78</f>
        <v>18.117527657399133</v>
      </c>
      <c r="R86" t="s">
        <v>149</v>
      </c>
    </row>
    <row r="87" spans="1:18">
      <c r="B87" s="14"/>
      <c r="C87" s="5">
        <f>C86-'[4]ePod Devices'!AE282</f>
        <v>0</v>
      </c>
      <c r="D87" s="5">
        <f>D86-'[4]ePod Devices'!AF282</f>
        <v>0</v>
      </c>
      <c r="E87" s="5">
        <f>E86-'[4]ePod Devices'!AG282</f>
        <v>0</v>
      </c>
      <c r="F87" s="5">
        <f>F86-'[4]ePod Devices'!AH282</f>
        <v>0</v>
      </c>
      <c r="G87" s="5">
        <f>G86-'[4]ePod Devices'!AI282</f>
        <v>0</v>
      </c>
      <c r="H87" s="5">
        <f>H86-'[4]ePod Devices'!AJ282</f>
        <v>0</v>
      </c>
      <c r="I87" s="5">
        <f>I86-'[4]ePod Devices'!AK282</f>
        <v>0</v>
      </c>
      <c r="J87" s="5">
        <f>J86-'[4]ePod Devices'!AL282</f>
        <v>0</v>
      </c>
      <c r="K87" s="5">
        <f>K86-'[4]ePod Devices'!AM282</f>
        <v>0</v>
      </c>
      <c r="L87" s="5">
        <f>L86-'[4]ePod Devices'!AN282</f>
        <v>0</v>
      </c>
      <c r="M87" s="5">
        <f>M86-'[4]ePod Devices'!AO282</f>
        <v>0</v>
      </c>
      <c r="N87" s="5">
        <f>N86-'[4]ePod Devices'!AP282</f>
        <v>0</v>
      </c>
      <c r="O87" s="5">
        <f>O86-'[4]ePod Devices'!AQ282</f>
        <v>0</v>
      </c>
      <c r="Q87" s="72"/>
    </row>
    <row r="88" spans="1:18">
      <c r="B88" s="13" t="s">
        <v>5</v>
      </c>
      <c r="C88" s="20">
        <f>'[6]ePod Devices'!$AE$299</f>
        <v>2.9291453731167607</v>
      </c>
      <c r="D88" s="9">
        <f>C88+D83</f>
        <v>2.9089417098690498</v>
      </c>
      <c r="E88" s="9">
        <f t="shared" ref="E88:O88" si="12">D88+E83</f>
        <v>2.8039511291946599</v>
      </c>
      <c r="F88" s="9">
        <f t="shared" si="12"/>
        <v>2.7992253249481815</v>
      </c>
      <c r="G88" s="9">
        <f t="shared" si="12"/>
        <v>2.7908525248090168</v>
      </c>
      <c r="H88" s="9">
        <f t="shared" si="12"/>
        <v>2.7650468377598054</v>
      </c>
      <c r="I88" s="9">
        <f t="shared" si="12"/>
        <v>2.764376999299488</v>
      </c>
      <c r="J88" s="9">
        <f t="shared" si="12"/>
        <v>2.7090941548008267</v>
      </c>
      <c r="K88" s="9">
        <f t="shared" si="12"/>
        <v>2.7090941548008267</v>
      </c>
      <c r="L88" s="9">
        <f t="shared" si="12"/>
        <v>2.7056094676255573</v>
      </c>
      <c r="M88" s="9">
        <f t="shared" si="12"/>
        <v>2.7175531352242466</v>
      </c>
      <c r="N88" s="9">
        <f t="shared" si="12"/>
        <v>2.7107036265405915</v>
      </c>
      <c r="O88" s="9">
        <f t="shared" si="12"/>
        <v>2.7107036265405915</v>
      </c>
      <c r="P88" s="20">
        <f>SUMPRODUCT(D88:O88,D78:O78)/P78</f>
        <v>2.742739065527664</v>
      </c>
      <c r="Q88" s="72">
        <f>P88*$P$78</f>
        <v>18.518900116488016</v>
      </c>
      <c r="R88" t="s">
        <v>149</v>
      </c>
    </row>
    <row r="89" spans="1:18">
      <c r="C89" s="5">
        <f>C88-'[5]CoGS Tracker Vap-D'!L58</f>
        <v>0</v>
      </c>
      <c r="D89" s="5">
        <f>D88-'[5]CoGS Tracker Vap-D'!M58</f>
        <v>0</v>
      </c>
      <c r="E89" s="5">
        <f>E88-'[5]CoGS Tracker Vap-D'!N58</f>
        <v>0</v>
      </c>
      <c r="F89" s="5">
        <f>F88-'[5]CoGS Tracker Vap-D'!O58</f>
        <v>0</v>
      </c>
      <c r="G89" s="5">
        <f>G88-'[5]CoGS Tracker Vap-D'!P58</f>
        <v>0</v>
      </c>
      <c r="H89" s="5">
        <f>H88-'[5]CoGS Tracker Vap-D'!Q58</f>
        <v>0</v>
      </c>
      <c r="I89" s="5">
        <f>I88-'[5]CoGS Tracker Vap-D'!R58</f>
        <v>0</v>
      </c>
      <c r="J89" s="5">
        <f>J88-'[5]CoGS Tracker Vap-D'!S58</f>
        <v>2.8522720781504862E-2</v>
      </c>
      <c r="K89" s="5">
        <f>K88-'[5]CoGS Tracker Vap-D'!T58</f>
        <v>-6.0321265220109055E-4</v>
      </c>
      <c r="L89" s="5">
        <f>L88-'[5]CoGS Tracker Vap-D'!U58</f>
        <v>-4.087899827470487E-3</v>
      </c>
      <c r="M89" s="5">
        <f>M88-'[5]CoGS Tracker Vap-D'!V58</f>
        <v>-4.087899827470487E-3</v>
      </c>
      <c r="N89" s="5">
        <f>N88-'[5]CoGS Tracker Vap-D'!W58</f>
        <v>-4.087899827470487E-3</v>
      </c>
      <c r="O89" s="5">
        <f>O88-'[5]CoGS Tracker Vap-D'!X58</f>
        <v>-4.087899827470487E-3</v>
      </c>
      <c r="Q89" s="71"/>
    </row>
    <row r="90" spans="1:18">
      <c r="A90" s="49"/>
      <c r="B90" s="49" t="s">
        <v>221</v>
      </c>
      <c r="C90" s="50">
        <f>C88-C86</f>
        <v>0</v>
      </c>
      <c r="D90" s="50">
        <f t="shared" ref="D90:O90" si="13">D88-D86</f>
        <v>-5.8402074873724619E-2</v>
      </c>
      <c r="E90" s="50">
        <f t="shared" si="13"/>
        <v>-0.16339265554811444</v>
      </c>
      <c r="F90" s="50">
        <f t="shared" si="13"/>
        <v>-0.13330171313820172</v>
      </c>
      <c r="G90" s="50">
        <f t="shared" si="13"/>
        <v>-4.7738394187242239E-2</v>
      </c>
      <c r="H90" s="50">
        <f t="shared" si="13"/>
        <v>7.6524953055923994E-2</v>
      </c>
      <c r="I90" s="50">
        <f t="shared" si="13"/>
        <v>0.1343477443068184</v>
      </c>
      <c r="J90" s="50">
        <f t="shared" si="13"/>
        <v>7.9064899808157119E-2</v>
      </c>
      <c r="K90" s="50">
        <f t="shared" si="13"/>
        <v>9.0559027713490448E-2</v>
      </c>
      <c r="L90" s="50">
        <f t="shared" si="13"/>
        <v>8.7074340538221051E-2</v>
      </c>
      <c r="M90" s="50">
        <f t="shared" si="13"/>
        <v>9.9018008136910307E-2</v>
      </c>
      <c r="N90" s="50">
        <f t="shared" si="13"/>
        <v>0.10366262735858855</v>
      </c>
      <c r="O90" s="50">
        <f t="shared" si="13"/>
        <v>0.10366262735858855</v>
      </c>
      <c r="P90" s="50">
        <f>P88-P86</f>
        <v>5.9445210916702962E-2</v>
      </c>
      <c r="Q90" s="73">
        <f>Q88-Q86</f>
        <v>0.40137245908888275</v>
      </c>
    </row>
    <row r="91" spans="1:18">
      <c r="A91" s="71"/>
      <c r="B91" s="71"/>
      <c r="C91" s="71"/>
      <c r="D91" s="71"/>
      <c r="E91" s="71"/>
      <c r="F91" s="71"/>
      <c r="G91" s="71"/>
      <c r="H91" s="71"/>
      <c r="I91" s="71"/>
      <c r="J91" s="71"/>
      <c r="K91" s="71"/>
      <c r="L91" s="71"/>
      <c r="M91" s="71"/>
      <c r="N91" s="71"/>
      <c r="O91" s="71"/>
      <c r="P91" s="71"/>
      <c r="Q91" s="71"/>
    </row>
    <row r="94" spans="1:18">
      <c r="A94" s="71"/>
      <c r="B94" s="71"/>
      <c r="C94" s="71"/>
      <c r="D94" s="71"/>
      <c r="E94" s="71"/>
      <c r="F94" s="71"/>
      <c r="G94" s="71"/>
      <c r="H94" s="71"/>
      <c r="I94" s="71"/>
      <c r="J94" s="71"/>
      <c r="K94" s="71"/>
      <c r="L94" s="71"/>
      <c r="M94" s="71"/>
      <c r="N94" s="71"/>
      <c r="O94" s="71"/>
      <c r="P94" s="71"/>
      <c r="Q94" s="71"/>
    </row>
    <row r="95" spans="1:18">
      <c r="A95" s="52" t="s">
        <v>153</v>
      </c>
      <c r="B95" s="52"/>
      <c r="C95" s="52"/>
      <c r="D95" s="52"/>
      <c r="E95" s="52"/>
      <c r="F95" s="52"/>
      <c r="G95" s="52"/>
      <c r="H95" s="52"/>
      <c r="I95" s="52"/>
      <c r="J95" s="52"/>
      <c r="K95" s="52"/>
      <c r="L95" s="52"/>
      <c r="M95" s="52"/>
      <c r="N95" s="52"/>
      <c r="O95" s="52"/>
      <c r="P95" s="52"/>
      <c r="Q95" s="71"/>
    </row>
    <row r="96" spans="1:18">
      <c r="A96" s="59" t="s">
        <v>205</v>
      </c>
      <c r="B96" s="59"/>
      <c r="C96" s="59"/>
      <c r="D96" s="70">
        <v>45658</v>
      </c>
      <c r="E96" s="70">
        <v>45689</v>
      </c>
      <c r="F96" s="70">
        <v>45717</v>
      </c>
      <c r="G96" s="70">
        <v>45748</v>
      </c>
      <c r="H96" s="70">
        <v>45778</v>
      </c>
      <c r="I96" s="70">
        <v>45809</v>
      </c>
      <c r="J96" s="70">
        <v>45839</v>
      </c>
      <c r="K96" s="70">
        <v>45870</v>
      </c>
      <c r="L96" s="70">
        <v>45901</v>
      </c>
      <c r="M96" s="70">
        <v>45931</v>
      </c>
      <c r="N96" s="70">
        <v>45962</v>
      </c>
      <c r="O96" s="70">
        <v>45992</v>
      </c>
      <c r="P96" s="60" t="s">
        <v>206</v>
      </c>
      <c r="Q96" s="71"/>
    </row>
    <row r="97" spans="1:18">
      <c r="A97" s="1" t="s">
        <v>207</v>
      </c>
      <c r="B97" s="12" t="s">
        <v>208</v>
      </c>
      <c r="D97" s="3">
        <f>'[4]Vols ePod'!AN183</f>
        <v>0.26884299999999989</v>
      </c>
      <c r="E97" s="3">
        <f>'[4]Vols ePod'!AO183</f>
        <v>0.23872499999999997</v>
      </c>
      <c r="F97" s="3">
        <f>'[4]Vols ePod'!AP183</f>
        <v>0.40081400000000017</v>
      </c>
      <c r="G97" s="3">
        <f>'[4]Vols ePod'!AQ183</f>
        <v>0.36376899999999995</v>
      </c>
      <c r="H97" s="3">
        <f>'[4]Vols ePod'!AR183</f>
        <v>0.34615700000000021</v>
      </c>
      <c r="I97" s="3">
        <f>'[4]Vols ePod'!AS183</f>
        <v>0.41783900000000007</v>
      </c>
      <c r="J97" s="3">
        <f>'[4]Vols ePod'!AT183</f>
        <v>0.3893120000000001</v>
      </c>
      <c r="K97" s="3">
        <f>'[4]Vols ePod'!AU183</f>
        <v>0.41568199999999988</v>
      </c>
      <c r="L97" s="3">
        <f>'[4]Vols ePod'!AV183</f>
        <v>0.37977899999999998</v>
      </c>
      <c r="M97" s="3">
        <f>'[4]Vols ePod'!AW183</f>
        <v>0.38728900000000011</v>
      </c>
      <c r="N97" s="3">
        <f>'[4]Vols ePod'!AX183</f>
        <v>0.41058699999999976</v>
      </c>
      <c r="O97" s="3">
        <f>'[4]Vols ePod'!AY183</f>
        <v>0.20409699999999995</v>
      </c>
      <c r="P97" s="54">
        <f>SUM(D97:O97)</f>
        <v>4.2228930000000009</v>
      </c>
      <c r="Q97" s="71"/>
    </row>
    <row r="98" spans="1:18">
      <c r="A98" s="1"/>
      <c r="B98" s="64" t="s">
        <v>169</v>
      </c>
      <c r="C98" s="65"/>
      <c r="D98" s="66">
        <f>'[5]Volume Summary'!L131</f>
        <v>0.44123199999999979</v>
      </c>
      <c r="E98" s="66">
        <f>'[5]Volume Summary'!M131</f>
        <v>0.203404</v>
      </c>
      <c r="F98" s="66">
        <f>'[5]Volume Summary'!N131</f>
        <v>0.5428099999999999</v>
      </c>
      <c r="G98" s="66">
        <f>'[5]Volume Summary'!O131</f>
        <v>0.8234840000000001</v>
      </c>
      <c r="H98" s="66">
        <f>'[5]Volume Summary'!P131</f>
        <v>0.32053800000000005</v>
      </c>
      <c r="I98" s="66">
        <f>'[5]Volume Summary'!Q131</f>
        <v>0.39121799999999995</v>
      </c>
      <c r="J98" s="66">
        <f>'[5]Volume Summary'!R131</f>
        <v>0.28572100000000006</v>
      </c>
      <c r="K98" s="66">
        <f>'[5]Volume Summary'!S131</f>
        <v>0.25299599999999989</v>
      </c>
      <c r="L98" s="66">
        <f>'[5]Volume Summary'!T131</f>
        <v>0.25507399999999997</v>
      </c>
      <c r="M98" s="66">
        <f>'[5]Volume Summary'!U131</f>
        <v>0.21567000000000006</v>
      </c>
      <c r="N98" s="66">
        <f>'[5]Volume Summary'!V131</f>
        <v>0.16783300000000004</v>
      </c>
      <c r="O98" s="66">
        <f>'[5]Volume Summary'!W131</f>
        <v>0.17409699999999997</v>
      </c>
      <c r="P98" s="67">
        <f>SUM(D98:O98)</f>
        <v>4.0740769999999999</v>
      </c>
      <c r="Q98" s="71"/>
      <c r="R98" t="s">
        <v>153</v>
      </c>
    </row>
    <row r="99" spans="1:18">
      <c r="Q99" s="71"/>
    </row>
    <row r="100" spans="1:18">
      <c r="A100" s="36" t="s">
        <v>209</v>
      </c>
      <c r="B100" s="37"/>
      <c r="C100" s="38">
        <v>45505</v>
      </c>
      <c r="D100" s="39">
        <v>45536</v>
      </c>
      <c r="E100" s="39">
        <v>45566</v>
      </c>
      <c r="F100" s="39">
        <v>45597</v>
      </c>
      <c r="G100" s="39">
        <v>45627</v>
      </c>
      <c r="H100" s="39">
        <v>45658</v>
      </c>
      <c r="I100" s="39">
        <v>45689</v>
      </c>
      <c r="J100" s="39">
        <v>45717</v>
      </c>
      <c r="K100" s="39">
        <v>45748</v>
      </c>
      <c r="L100" s="39">
        <v>45778</v>
      </c>
      <c r="M100" s="39">
        <v>45809</v>
      </c>
      <c r="N100" s="39">
        <v>45839</v>
      </c>
      <c r="O100" s="39">
        <v>45870</v>
      </c>
      <c r="P100" s="37"/>
      <c r="Q100" s="71"/>
    </row>
    <row r="101" spans="1:18">
      <c r="A101" s="8" t="s">
        <v>210</v>
      </c>
      <c r="B101" s="12" t="s">
        <v>4</v>
      </c>
      <c r="D101" s="9">
        <f>SUMIFS('RCS Initiatives'!G:G,'RCS Initiatives'!$A:$A,RCS!$A$95,'RCS Initiatives'!$B:$B,RCS!$B101)</f>
        <v>3.880212117935225E-2</v>
      </c>
      <c r="E101" s="9">
        <f>SUMIFS('RCS Initiatives'!H:H,'RCS Initiatives'!$A:$A,RCS!$A$95,'RCS Initiatives'!$B:$B,RCS!$B101)</f>
        <v>0</v>
      </c>
      <c r="F101" s="9">
        <f>SUMIFS('RCS Initiatives'!I:I,'RCS Initiatives'!$A:$A,RCS!$A$95,'RCS Initiatives'!$B:$B,RCS!$B101)</f>
        <v>-3.4816746656391201E-2</v>
      </c>
      <c r="G101" s="9">
        <f>SUMIFS('RCS Initiatives'!J:J,'RCS Initiatives'!$A:$A,RCS!$A$95,'RCS Initiatives'!$B:$B,RCS!$B101)</f>
        <v>-9.3890340453198287E-2</v>
      </c>
      <c r="H101" s="9">
        <f>SUMIFS('RCS Initiatives'!K:K,'RCS Initiatives'!$A:$A,RCS!$A$95,'RCS Initiatives'!$B:$B,RCS!$B101)</f>
        <v>-0.15006903429237775</v>
      </c>
      <c r="I101" s="9">
        <f>SUMIFS('RCS Initiatives'!L:L,'RCS Initiatives'!$A:$A,RCS!$A$95,'RCS Initiatives'!$B:$B,RCS!$B101)</f>
        <v>-5.849262971121167E-2</v>
      </c>
      <c r="J101" s="9">
        <f>SUMIFS('RCS Initiatives'!M:M,'RCS Initiatives'!$A:$A,RCS!$A$95,'RCS Initiatives'!$B:$B,RCS!$B101)</f>
        <v>0</v>
      </c>
      <c r="K101" s="9">
        <f>SUMIFS('RCS Initiatives'!N:N,'RCS Initiatives'!$A:$A,RCS!$A$95,'RCS Initiatives'!$B:$B,RCS!$B101)</f>
        <v>-1.1494127905333267E-2</v>
      </c>
      <c r="L101" s="9">
        <f>SUMIFS('RCS Initiatives'!O:O,'RCS Initiatives'!$A:$A,RCS!$A$95,'RCS Initiatives'!$B:$B,RCS!$B101)</f>
        <v>0</v>
      </c>
      <c r="M101" s="9">
        <f>SUMIFS('RCS Initiatives'!P:P,'RCS Initiatives'!$A:$A,RCS!$A$95,'RCS Initiatives'!$B:$B,RCS!$B101)</f>
        <v>0</v>
      </c>
      <c r="N101" s="9">
        <f>SUMIFS('RCS Initiatives'!Q:Q,'RCS Initiatives'!$A:$A,RCS!$A$95,'RCS Initiatives'!$B:$B,RCS!$B101)</f>
        <v>-1.1494127905333267E-2</v>
      </c>
      <c r="O101" s="9">
        <f>SUMIFS('RCS Initiatives'!R:R,'RCS Initiatives'!$A:$A,RCS!$A$95,'RCS Initiatives'!$B:$B,RCS!$B101)</f>
        <v>0</v>
      </c>
      <c r="Q101" s="71"/>
    </row>
    <row r="102" spans="1:18">
      <c r="A102" s="8" t="s">
        <v>210</v>
      </c>
      <c r="B102" s="13" t="s">
        <v>5</v>
      </c>
      <c r="D102" s="9">
        <f>SUMIFS('RCS Initiatives'!G:G,'RCS Initiatives'!$A:$A,RCS!$A$95,'RCS Initiatives'!$B:$B,RCS!$B102)</f>
        <v>-1.9733836617766648E-2</v>
      </c>
      <c r="E102" s="9">
        <f>SUMIFS('RCS Initiatives'!H:H,'RCS Initiatives'!$A:$A,RCS!$A$95,'RCS Initiatives'!$B:$B,RCS!$B102)</f>
        <v>-0.10624407967850789</v>
      </c>
      <c r="F102" s="9">
        <f>SUMIFS('RCS Initiatives'!I:I,'RCS Initiatives'!$A:$A,RCS!$A$95,'RCS Initiatives'!$B:$B,RCS!$B102)</f>
        <v>-5.8524027754572987E-3</v>
      </c>
      <c r="G102" s="9">
        <f>SUMIFS('RCS Initiatives'!J:J,'RCS Initiatives'!$A:$A,RCS!$A$95,'RCS Initiatives'!$B:$B,RCS!$B102)</f>
        <v>-1.6471437548721413E-4</v>
      </c>
      <c r="H102" s="9">
        <f>SUMIFS('RCS Initiatives'!K:K,'RCS Initiatives'!$A:$A,RCS!$A$95,'RCS Initiatives'!$B:$B,RCS!$B102)</f>
        <v>-2.4927210379941233E-2</v>
      </c>
      <c r="I102" s="9">
        <f>SUMIFS('RCS Initiatives'!L:L,'RCS Initiatives'!$A:$A,RCS!$A$95,'RCS Initiatives'!$B:$B,RCS!$B102)</f>
        <v>-3.2712274971896237E-2</v>
      </c>
      <c r="J102" s="9">
        <f>SUMIFS('RCS Initiatives'!M:M,'RCS Initiatives'!$A:$A,RCS!$A$95,'RCS Initiatives'!$B:$B,RCS!$B102)</f>
        <v>-3.3876592309912051E-2</v>
      </c>
      <c r="K102" s="9">
        <f>SUMIFS('RCS Initiatives'!N:N,'RCS Initiatives'!$A:$A,RCS!$A$95,'RCS Initiatives'!$B:$B,RCS!$B102)</f>
        <v>0</v>
      </c>
      <c r="L102" s="9">
        <f>SUMIFS('RCS Initiatives'!O:O,'RCS Initiatives'!$A:$A,RCS!$A$95,'RCS Initiatives'!$B:$B,RCS!$B102)</f>
        <v>-3.1460430565424642E-2</v>
      </c>
      <c r="M102" s="9">
        <f>SUMIFS('RCS Initiatives'!P:P,'RCS Initiatives'!$A:$A,RCS!$A$95,'RCS Initiatives'!$B:$B,RCS!$B102)</f>
        <v>1.2890192473791978E-2</v>
      </c>
      <c r="N102" s="9">
        <f>SUMIFS('RCS Initiatives'!Q:Q,'RCS Initiatives'!$A:$A,RCS!$A$95,'RCS Initiatives'!$B:$B,RCS!$B102)</f>
        <v>-3.1855651496998198E-2</v>
      </c>
      <c r="O102" s="9">
        <f>SUMIFS('RCS Initiatives'!R:R,'RCS Initiatives'!$A:$A,RCS!$A$95,'RCS Initiatives'!$B:$B,RCS!$B102)</f>
        <v>0</v>
      </c>
      <c r="Q102" s="71"/>
    </row>
    <row r="103" spans="1:18">
      <c r="Q103" s="71"/>
    </row>
    <row r="104" spans="1:18">
      <c r="A104" s="36" t="s">
        <v>213</v>
      </c>
      <c r="B104" s="37"/>
      <c r="C104" s="37"/>
      <c r="D104" s="37"/>
      <c r="E104" s="37"/>
      <c r="F104" s="37"/>
      <c r="G104" s="37"/>
      <c r="H104" s="37"/>
      <c r="I104" s="37"/>
      <c r="J104" s="37"/>
      <c r="K104" s="37"/>
      <c r="L104" s="37"/>
      <c r="M104" s="37"/>
      <c r="N104" s="37"/>
      <c r="O104" s="37"/>
      <c r="P104" s="16" t="s">
        <v>214</v>
      </c>
      <c r="Q104" s="63" t="s">
        <v>215</v>
      </c>
    </row>
    <row r="105" spans="1:18">
      <c r="B105" s="12" t="s">
        <v>4</v>
      </c>
      <c r="C105" s="20">
        <f>'[4]ePod Devices'!$AE$318</f>
        <v>2.9586151122557967</v>
      </c>
      <c r="D105" s="9">
        <f>C105+D101</f>
        <v>2.997417233435149</v>
      </c>
      <c r="E105" s="9">
        <f t="shared" ref="E105:O105" si="14">D105+E101</f>
        <v>2.997417233435149</v>
      </c>
      <c r="F105" s="9">
        <f t="shared" si="14"/>
        <v>2.9626004867787579</v>
      </c>
      <c r="G105" s="9">
        <f t="shared" si="14"/>
        <v>2.8687101463255598</v>
      </c>
      <c r="H105" s="9">
        <f t="shared" si="14"/>
        <v>2.7186411120331822</v>
      </c>
      <c r="I105" s="9">
        <f t="shared" si="14"/>
        <v>2.6601484823219703</v>
      </c>
      <c r="J105" s="9">
        <f t="shared" si="14"/>
        <v>2.6601484823219703</v>
      </c>
      <c r="K105" s="9">
        <f t="shared" si="14"/>
        <v>2.648654354416637</v>
      </c>
      <c r="L105" s="9">
        <f t="shared" si="14"/>
        <v>2.648654354416637</v>
      </c>
      <c r="M105" s="9">
        <f t="shared" si="14"/>
        <v>2.648654354416637</v>
      </c>
      <c r="N105" s="9">
        <f t="shared" si="14"/>
        <v>2.6371602265113037</v>
      </c>
      <c r="O105" s="9">
        <f t="shared" si="14"/>
        <v>2.6371602265113037</v>
      </c>
      <c r="P105" s="20">
        <f>SUMPRODUCT(D105:O105,D97:O97)/P97</f>
        <v>2.7455886134217788</v>
      </c>
      <c r="Q105" s="72">
        <f>P105*$P$97</f>
        <v>11.594326936498538</v>
      </c>
      <c r="R105" t="s">
        <v>153</v>
      </c>
    </row>
    <row r="106" spans="1:18">
      <c r="B106" s="14"/>
      <c r="C106" s="5">
        <f>C105-'[4]ePod Devices'!AE318</f>
        <v>0</v>
      </c>
      <c r="D106" s="123">
        <f>D105-'[4]ePod Devices'!AF318</f>
        <v>0</v>
      </c>
      <c r="E106" s="123">
        <f>E105-'[4]ePod Devices'!AG318</f>
        <v>0</v>
      </c>
      <c r="F106" s="123">
        <f>F105-'[4]ePod Devices'!AH318</f>
        <v>0</v>
      </c>
      <c r="G106" s="123">
        <f>G105-'[4]ePod Devices'!AI318</f>
        <v>4.5778636927007454E-5</v>
      </c>
      <c r="H106" s="123">
        <f>H105-'[4]ePod Devices'!AJ318</f>
        <v>4.5778636927007454E-5</v>
      </c>
      <c r="I106" s="123">
        <f>I105-'[4]ePod Devices'!AK318</f>
        <v>4.5778636927007454E-5</v>
      </c>
      <c r="J106" s="123">
        <f>J105-'[4]ePod Devices'!AL318</f>
        <v>4.5778636927007454E-5</v>
      </c>
      <c r="K106" s="123">
        <f>K105-'[4]ePod Devices'!AM318</f>
        <v>4.5778636926563365E-5</v>
      </c>
      <c r="L106" s="123">
        <f>L105-'[4]ePod Devices'!AN318</f>
        <v>4.5778636926563365E-5</v>
      </c>
      <c r="M106" s="123">
        <f>M105-'[4]ePod Devices'!AO318</f>
        <v>4.5778636926563365E-5</v>
      </c>
      <c r="N106" s="123">
        <f>N105-'[4]ePod Devices'!AP318</f>
        <v>4.5778636926563365E-5</v>
      </c>
      <c r="O106" s="123">
        <f>O105-'[4]ePod Devices'!AQ318</f>
        <v>4.5778636926563365E-5</v>
      </c>
      <c r="Q106" s="72"/>
    </row>
    <row r="107" spans="1:18">
      <c r="B107" s="13" t="s">
        <v>5</v>
      </c>
      <c r="C107" s="20">
        <f>'[6]ePod Devices'!$AE$347</f>
        <v>2.9854310744157666</v>
      </c>
      <c r="D107" s="9">
        <f>C107+D102</f>
        <v>2.965697237798</v>
      </c>
      <c r="E107" s="9">
        <f t="shared" ref="E107:O107" si="15">D107+E102</f>
        <v>2.859453158119492</v>
      </c>
      <c r="F107" s="9">
        <f t="shared" si="15"/>
        <v>2.8536007553440346</v>
      </c>
      <c r="G107" s="9">
        <f t="shared" si="15"/>
        <v>2.8534360409685475</v>
      </c>
      <c r="H107" s="9">
        <f t="shared" si="15"/>
        <v>2.8285088305886061</v>
      </c>
      <c r="I107" s="9">
        <f t="shared" si="15"/>
        <v>2.7957965556167097</v>
      </c>
      <c r="J107" s="9">
        <f t="shared" si="15"/>
        <v>2.7619199633067977</v>
      </c>
      <c r="K107" s="9">
        <f t="shared" si="15"/>
        <v>2.7619199633067977</v>
      </c>
      <c r="L107" s="9">
        <f t="shared" si="15"/>
        <v>2.730459532741373</v>
      </c>
      <c r="M107" s="9">
        <f t="shared" si="15"/>
        <v>2.7433497252151651</v>
      </c>
      <c r="N107" s="9">
        <f t="shared" si="15"/>
        <v>2.7114940737181668</v>
      </c>
      <c r="O107" s="9">
        <f t="shared" si="15"/>
        <v>2.7114940737181668</v>
      </c>
      <c r="P107" s="20">
        <f>SUMPRODUCT(D107:O107,D97:O97)/P97</f>
        <v>2.7939298862298325</v>
      </c>
      <c r="Q107" s="72">
        <f>P107*$P$97</f>
        <v>11.798466959050758</v>
      </c>
      <c r="R107" t="s">
        <v>153</v>
      </c>
    </row>
    <row r="108" spans="1:18">
      <c r="C108" s="5">
        <f>C107-'[6]ePod Devices'!AE347</f>
        <v>0</v>
      </c>
      <c r="D108" s="5">
        <f>D107-'[5]CoGS Tracker Vap-D'!M8</f>
        <v>0</v>
      </c>
      <c r="E108" s="5">
        <f>E107-'[5]CoGS Tracker Vap-D'!N8</f>
        <v>0</v>
      </c>
      <c r="F108" s="5">
        <f>F107-'[5]CoGS Tracker Vap-D'!O8</f>
        <v>0</v>
      </c>
      <c r="G108" s="5">
        <f>G107-'[5]CoGS Tracker Vap-D'!P8</f>
        <v>0</v>
      </c>
      <c r="H108" s="5">
        <f>H107-'[5]CoGS Tracker Vap-D'!Q8</f>
        <v>0</v>
      </c>
      <c r="I108" s="5">
        <f>I107-'[5]CoGS Tracker Vap-D'!R8</f>
        <v>0</v>
      </c>
      <c r="J108" s="5">
        <f>J107-'[5]CoGS Tracker Vap-D'!S8</f>
        <v>2.3607289600209747E-2</v>
      </c>
      <c r="K108" s="5">
        <f>K107-'[5]CoGS Tracker Vap-D'!T8</f>
        <v>1.7852056317776199E-2</v>
      </c>
      <c r="L108" s="5">
        <f>L107-'[5]CoGS Tracker Vap-D'!U8</f>
        <v>-1.3608374247648491E-2</v>
      </c>
      <c r="M108" s="5">
        <f>M107-'[5]CoGS Tracker Vap-D'!V8</f>
        <v>-1.3608374247648047E-2</v>
      </c>
      <c r="N108" s="5">
        <f>N107-'[5]CoGS Tracker Vap-D'!W8</f>
        <v>-1.3608374247648491E-2</v>
      </c>
      <c r="O108" s="5">
        <f>O107-'[5]CoGS Tracker Vap-D'!X8</f>
        <v>-1.3608374247648491E-2</v>
      </c>
      <c r="Q108" s="71"/>
    </row>
    <row r="109" spans="1:18">
      <c r="A109" s="49"/>
      <c r="B109" s="49" t="s">
        <v>221</v>
      </c>
      <c r="C109" s="50">
        <f>C107-C105</f>
        <v>2.6815962159969953E-2</v>
      </c>
      <c r="D109" s="50">
        <f t="shared" ref="D109:O109" si="16">D107-D105</f>
        <v>-3.1719995637149001E-2</v>
      </c>
      <c r="E109" s="50">
        <f t="shared" si="16"/>
        <v>-0.13796407531565702</v>
      </c>
      <c r="F109" s="50">
        <f t="shared" si="16"/>
        <v>-0.1089997314347233</v>
      </c>
      <c r="G109" s="50">
        <f t="shared" si="16"/>
        <v>-1.5274105357012235E-2</v>
      </c>
      <c r="H109" s="50">
        <f t="shared" si="16"/>
        <v>0.10986771855542399</v>
      </c>
      <c r="I109" s="50">
        <f t="shared" si="16"/>
        <v>0.13564807329473938</v>
      </c>
      <c r="J109" s="50">
        <f t="shared" si="16"/>
        <v>0.10177148098482736</v>
      </c>
      <c r="K109" s="50">
        <f t="shared" si="16"/>
        <v>0.11326560889016069</v>
      </c>
      <c r="L109" s="50">
        <f t="shared" si="16"/>
        <v>8.1805178324735994E-2</v>
      </c>
      <c r="M109" s="50">
        <f t="shared" si="16"/>
        <v>9.4695370798528078E-2</v>
      </c>
      <c r="N109" s="50">
        <f t="shared" si="16"/>
        <v>7.4333847206863091E-2</v>
      </c>
      <c r="O109" s="50">
        <f t="shared" si="16"/>
        <v>7.4333847206863091E-2</v>
      </c>
      <c r="P109" s="50">
        <f>P107-P105</f>
        <v>4.834127280805367E-2</v>
      </c>
      <c r="Q109" s="73">
        <f>Q107-Q105</f>
        <v>0.2041400225522203</v>
      </c>
    </row>
    <row r="110" spans="1:18">
      <c r="A110" s="71"/>
      <c r="B110" s="71"/>
      <c r="C110" s="71"/>
      <c r="D110" s="71"/>
      <c r="E110" s="71"/>
      <c r="F110" s="71"/>
      <c r="G110" s="71"/>
      <c r="H110" s="71"/>
      <c r="I110" s="71"/>
      <c r="J110" s="71"/>
      <c r="K110" s="71"/>
      <c r="L110" s="71"/>
      <c r="M110" s="71"/>
      <c r="N110" s="71"/>
      <c r="O110" s="71"/>
      <c r="P110" s="71"/>
      <c r="Q110" s="71"/>
    </row>
    <row r="113" spans="1:18">
      <c r="A113" s="71"/>
      <c r="B113" s="71"/>
      <c r="C113" s="71"/>
      <c r="D113" s="71"/>
      <c r="E113" s="71"/>
      <c r="F113" s="71"/>
      <c r="G113" s="71"/>
      <c r="H113" s="71"/>
      <c r="I113" s="71"/>
      <c r="J113" s="71"/>
      <c r="K113" s="71"/>
      <c r="L113" s="71"/>
      <c r="M113" s="71"/>
      <c r="N113" s="71"/>
      <c r="O113" s="71"/>
      <c r="P113" s="71"/>
      <c r="Q113" s="71"/>
    </row>
    <row r="114" spans="1:18">
      <c r="A114" s="52" t="s">
        <v>185</v>
      </c>
      <c r="B114" s="52"/>
      <c r="C114" s="52"/>
      <c r="D114" s="52"/>
      <c r="E114" s="52"/>
      <c r="F114" s="52"/>
      <c r="G114" s="52"/>
      <c r="H114" s="52"/>
      <c r="I114" s="52"/>
      <c r="J114" s="52"/>
      <c r="K114" s="52"/>
      <c r="L114" s="52"/>
      <c r="M114" s="52"/>
      <c r="N114" s="52"/>
      <c r="O114" s="52"/>
      <c r="P114" s="52"/>
      <c r="Q114" s="71"/>
    </row>
    <row r="115" spans="1:18">
      <c r="A115" s="59" t="s">
        <v>205</v>
      </c>
      <c r="B115" s="59"/>
      <c r="C115" s="59"/>
      <c r="D115" s="70">
        <v>45658</v>
      </c>
      <c r="E115" s="70">
        <v>45689</v>
      </c>
      <c r="F115" s="70">
        <v>45717</v>
      </c>
      <c r="G115" s="70">
        <v>45748</v>
      </c>
      <c r="H115" s="70">
        <v>45778</v>
      </c>
      <c r="I115" s="70">
        <v>45809</v>
      </c>
      <c r="J115" s="70">
        <v>45839</v>
      </c>
      <c r="K115" s="70">
        <v>45870</v>
      </c>
      <c r="L115" s="70">
        <v>45901</v>
      </c>
      <c r="M115" s="70">
        <v>45931</v>
      </c>
      <c r="N115" s="70">
        <v>45962</v>
      </c>
      <c r="O115" s="70">
        <v>45992</v>
      </c>
      <c r="P115" s="60" t="s">
        <v>206</v>
      </c>
      <c r="Q115" s="71"/>
    </row>
    <row r="116" spans="1:18">
      <c r="A116" s="1" t="s">
        <v>207</v>
      </c>
      <c r="B116" s="153" t="s">
        <v>208</v>
      </c>
      <c r="D116" s="3">
        <f>'[7]Vols ePod'!AN193</f>
        <v>0</v>
      </c>
      <c r="E116" s="3">
        <f>'[7]Vols ePod'!AO193</f>
        <v>0</v>
      </c>
      <c r="F116" s="3">
        <f>'[7]Vols ePod'!AP193</f>
        <v>0.87787699999999991</v>
      </c>
      <c r="G116" s="3">
        <f>'[7]Vols ePod'!AQ193</f>
        <v>0.185082</v>
      </c>
      <c r="H116" s="3">
        <f>'[7]Vols ePod'!AR193</f>
        <v>0.18911900000000004</v>
      </c>
      <c r="I116" s="3">
        <f>'[7]Vols ePod'!AS193</f>
        <v>0.217275</v>
      </c>
      <c r="J116" s="3">
        <f>'[7]Vols ePod'!AT193</f>
        <v>0.20426500000000003</v>
      </c>
      <c r="K116" s="3">
        <f>'[7]Vols ePod'!AU193</f>
        <v>0.20124</v>
      </c>
      <c r="L116" s="3">
        <f>'[7]Vols ePod'!AV193</f>
        <v>0.19813900000000007</v>
      </c>
      <c r="M116" s="3">
        <f>'[7]Vols ePod'!AW193</f>
        <v>0.21716500000000005</v>
      </c>
      <c r="N116" s="3">
        <f>'[7]Vols ePod'!AX193</f>
        <v>0.22132200000000005</v>
      </c>
      <c r="O116" s="3">
        <f>'[7]Vols ePod'!AY193</f>
        <v>0.14262600000000003</v>
      </c>
      <c r="P116" s="54">
        <f>SUM(D116:O116)</f>
        <v>2.6541100000000002</v>
      </c>
      <c r="Q116" s="71"/>
    </row>
    <row r="117" spans="1:18">
      <c r="A117" s="1"/>
      <c r="B117" s="64" t="s">
        <v>169</v>
      </c>
      <c r="C117" s="65"/>
      <c r="D117" s="66">
        <f>'[5]Volume Summary'!L137</f>
        <v>0</v>
      </c>
      <c r="E117" s="66">
        <f>'[5]Volume Summary'!M137</f>
        <v>0</v>
      </c>
      <c r="F117" s="66">
        <f>'[5]Volume Summary'!N137</f>
        <v>0</v>
      </c>
      <c r="G117" s="66">
        <f>'[5]Volume Summary'!O137</f>
        <v>1.1360000000000001E-3</v>
      </c>
      <c r="H117" s="66">
        <f>'[5]Volume Summary'!P137</f>
        <v>9.3435000000000004E-2</v>
      </c>
      <c r="I117" s="66">
        <f>'[5]Volume Summary'!Q137</f>
        <v>8.2348999999999978E-2</v>
      </c>
      <c r="J117" s="66">
        <f>'[5]Volume Summary'!R137</f>
        <v>0.12751999999999997</v>
      </c>
      <c r="K117" s="66">
        <f>'[5]Volume Summary'!S137</f>
        <v>0.20341400000000004</v>
      </c>
      <c r="L117" s="66">
        <f>'[5]Volume Summary'!T137</f>
        <v>0.21080300000000002</v>
      </c>
      <c r="M117" s="66">
        <f>'[5]Volume Summary'!U137</f>
        <v>0.33054200000000011</v>
      </c>
      <c r="N117" s="66">
        <f>'[5]Volume Summary'!V137</f>
        <v>0.38938300000000009</v>
      </c>
      <c r="O117" s="66">
        <f>'[5]Volume Summary'!W137</f>
        <v>0.37402699999999994</v>
      </c>
      <c r="P117" s="67">
        <f>SUM(D117:O117)</f>
        <v>1.8126090000000001</v>
      </c>
      <c r="Q117" s="71"/>
      <c r="R117" t="s">
        <v>185</v>
      </c>
    </row>
    <row r="118" spans="1:18">
      <c r="Q118" s="71"/>
    </row>
    <row r="119" spans="1:18">
      <c r="A119" s="36" t="s">
        <v>209</v>
      </c>
      <c r="B119" s="37"/>
      <c r="C119" s="38">
        <v>45505</v>
      </c>
      <c r="D119" s="39">
        <v>45536</v>
      </c>
      <c r="E119" s="39">
        <v>45566</v>
      </c>
      <c r="F119" s="39">
        <v>45597</v>
      </c>
      <c r="G119" s="39">
        <v>45627</v>
      </c>
      <c r="H119" s="39">
        <v>45658</v>
      </c>
      <c r="I119" s="39">
        <v>45689</v>
      </c>
      <c r="J119" s="39">
        <v>45717</v>
      </c>
      <c r="K119" s="39">
        <v>45748</v>
      </c>
      <c r="L119" s="39">
        <v>45778</v>
      </c>
      <c r="M119" s="39">
        <v>45809</v>
      </c>
      <c r="N119" s="39">
        <v>45839</v>
      </c>
      <c r="O119" s="39">
        <v>45870</v>
      </c>
      <c r="P119" s="37"/>
      <c r="Q119" s="71"/>
    </row>
    <row r="120" spans="1:18">
      <c r="A120" s="8" t="s">
        <v>210</v>
      </c>
      <c r="B120" s="12" t="s">
        <v>4</v>
      </c>
      <c r="Q120" s="71"/>
    </row>
    <row r="121" spans="1:18">
      <c r="A121" s="8" t="s">
        <v>210</v>
      </c>
      <c r="B121" s="13" t="s">
        <v>5</v>
      </c>
      <c r="D121" s="9">
        <f>SUMIFS('RCS Initiatives'!G:G,'RCS Initiatives'!$A:$A,RCS!$A$114,'RCS Initiatives'!$B:$B,RCS!$B121)</f>
        <v>0</v>
      </c>
      <c r="E121" s="9">
        <f>SUMIFS('RCS Initiatives'!H:H,'RCS Initiatives'!$A:$A,RCS!$A$114,'RCS Initiatives'!$B:$B,RCS!$B121)</f>
        <v>0</v>
      </c>
      <c r="F121" s="9">
        <f>SUMIFS('RCS Initiatives'!I:I,'RCS Initiatives'!$A:$A,RCS!$A$114,'RCS Initiatives'!$B:$B,RCS!$B121)</f>
        <v>0</v>
      </c>
      <c r="G121" s="9">
        <f>SUMIFS('RCS Initiatives'!J:J,'RCS Initiatives'!$A:$A,RCS!$A$114,'RCS Initiatives'!$B:$B,RCS!$B121)</f>
        <v>0</v>
      </c>
      <c r="H121" s="9">
        <f>SUMIFS('RCS Initiatives'!K:K,'RCS Initiatives'!$A:$A,RCS!$A$114,'RCS Initiatives'!$B:$B,RCS!$B121)</f>
        <v>0</v>
      </c>
      <c r="I121" s="9">
        <f>SUMIFS('RCS Initiatives'!L:L,'RCS Initiatives'!$A:$A,RCS!$A$114,'RCS Initiatives'!$B:$B,RCS!$B121)</f>
        <v>0</v>
      </c>
      <c r="J121" s="9">
        <f>SUMIFS('RCS Initiatives'!M:M,'RCS Initiatives'!$A:$A,RCS!$A$114,'RCS Initiatives'!$B:$B,RCS!$B121)</f>
        <v>0</v>
      </c>
      <c r="K121" s="9">
        <f>SUMIFS('RCS Initiatives'!N:N,'RCS Initiatives'!$A:$A,RCS!$A$114,'RCS Initiatives'!$B:$B,RCS!$B121)</f>
        <v>-0.15349400000000002</v>
      </c>
      <c r="L121" s="9">
        <f>SUMIFS('RCS Initiatives'!O:O,'RCS Initiatives'!$A:$A,RCS!$A$114,'RCS Initiatives'!$B:$B,RCS!$B121)</f>
        <v>0</v>
      </c>
      <c r="M121" s="9">
        <f>SUMIFS('RCS Initiatives'!P:P,'RCS Initiatives'!$A:$A,RCS!$A$114,'RCS Initiatives'!$B:$B,RCS!$B121)</f>
        <v>2.2611012344906672E-2</v>
      </c>
      <c r="N121" s="9">
        <f>SUMIFS('RCS Initiatives'!Q:Q,'RCS Initiatives'!$A:$A,RCS!$A$114,'RCS Initiatives'!$B:$B,RCS!$B121)</f>
        <v>-1.729597161439873E-2</v>
      </c>
      <c r="O121" s="9">
        <f>SUMIFS('RCS Initiatives'!R:R,'RCS Initiatives'!$A:$A,RCS!$A$114,'RCS Initiatives'!$B:$B,RCS!$B121)</f>
        <v>0</v>
      </c>
      <c r="Q121" s="71"/>
    </row>
    <row r="122" spans="1:18">
      <c r="Q122" s="71"/>
    </row>
    <row r="123" spans="1:18">
      <c r="A123" s="36" t="s">
        <v>213</v>
      </c>
      <c r="B123" s="37"/>
      <c r="C123" s="37"/>
      <c r="D123" s="37"/>
      <c r="E123" s="37"/>
      <c r="F123" s="37"/>
      <c r="G123" s="37"/>
      <c r="H123" s="37"/>
      <c r="I123" s="37"/>
      <c r="J123" s="37"/>
      <c r="K123" s="37"/>
      <c r="L123" s="37"/>
      <c r="M123" s="37"/>
      <c r="N123" s="37"/>
      <c r="O123" s="37"/>
      <c r="P123" s="16" t="s">
        <v>214</v>
      </c>
      <c r="Q123" s="63" t="s">
        <v>215</v>
      </c>
    </row>
    <row r="124" spans="1:18">
      <c r="B124" s="12" t="s">
        <v>4</v>
      </c>
      <c r="C124" s="20">
        <f>4.76*V1/V2</f>
        <v>4.5603879648696308</v>
      </c>
      <c r="D124" s="9">
        <v>4.5603879648696308</v>
      </c>
      <c r="E124" s="9">
        <v>4.5603879648696308</v>
      </c>
      <c r="F124" s="9">
        <v>4.5603879648696308</v>
      </c>
      <c r="G124" s="9">
        <v>4.5603879648696308</v>
      </c>
      <c r="H124" s="9">
        <v>4.5603879648696308</v>
      </c>
      <c r="I124" s="9">
        <v>4.5603879648696308</v>
      </c>
      <c r="J124" s="9">
        <v>4.5603879648696308</v>
      </c>
      <c r="K124" s="9">
        <v>4.5603879648696308</v>
      </c>
      <c r="L124" s="9">
        <v>4.5603879648696308</v>
      </c>
      <c r="M124" s="9">
        <v>4.5603879648696308</v>
      </c>
      <c r="N124" s="9">
        <v>4.5603879648696308</v>
      </c>
      <c r="O124" s="9">
        <v>4.5603879648696308</v>
      </c>
      <c r="P124" s="20">
        <f>SUMPRODUCT(D124:O124,D116:O116)/P116</f>
        <v>4.5603879648696308</v>
      </c>
      <c r="Q124" s="72">
        <f>P124*$P$117</f>
        <v>8.2662002686143765</v>
      </c>
      <c r="R124" t="s">
        <v>185</v>
      </c>
    </row>
    <row r="125" spans="1:18">
      <c r="B125" s="14"/>
      <c r="Q125" s="72"/>
    </row>
    <row r="126" spans="1:18">
      <c r="B126" s="13" t="s">
        <v>5</v>
      </c>
      <c r="C126" s="422">
        <f>'[6]ePod Devices'!AE543</f>
        <v>0</v>
      </c>
      <c r="D126" s="9">
        <f>'[6]ePod Devices'!AF543</f>
        <v>0</v>
      </c>
      <c r="E126" s="9">
        <f>'[6]ePod Devices'!AG543</f>
        <v>0</v>
      </c>
      <c r="F126" s="9">
        <v>4.3783556721542469</v>
      </c>
      <c r="G126" s="9">
        <f t="shared" ref="G126:O126" si="17">F126+G121</f>
        <v>4.3783556721542469</v>
      </c>
      <c r="H126" s="9">
        <f t="shared" si="17"/>
        <v>4.3783556721542469</v>
      </c>
      <c r="I126" s="9">
        <f t="shared" si="17"/>
        <v>4.3783556721542469</v>
      </c>
      <c r="J126" s="9">
        <f t="shared" si="17"/>
        <v>4.3783556721542469</v>
      </c>
      <c r="K126" s="9">
        <f t="shared" si="17"/>
        <v>4.2248616721542467</v>
      </c>
      <c r="L126" s="9">
        <f t="shared" si="17"/>
        <v>4.2248616721542467</v>
      </c>
      <c r="M126" s="9">
        <f t="shared" si="17"/>
        <v>4.2474726844991535</v>
      </c>
      <c r="N126" s="9">
        <f t="shared" si="17"/>
        <v>4.2301767128847549</v>
      </c>
      <c r="O126" s="9">
        <f t="shared" si="17"/>
        <v>4.2301767128847549</v>
      </c>
      <c r="P126" s="20">
        <f>SUMPRODUCT(D126:O126,D116:O116)/P116</f>
        <v>4.3242302138618882</v>
      </c>
      <c r="Q126" s="72">
        <f>P126*$P$117</f>
        <v>7.8381386037179839</v>
      </c>
      <c r="R126" t="s">
        <v>185</v>
      </c>
    </row>
    <row r="127" spans="1:18">
      <c r="C127" s="87">
        <f>C126-'[6]ePod Devices'!AE543</f>
        <v>0</v>
      </c>
      <c r="D127" s="87">
        <f>D126-'[6]ePod Devices'!AF543</f>
        <v>0</v>
      </c>
      <c r="E127" s="87">
        <f>E126-'[6]ePod Devices'!AG543</f>
        <v>0</v>
      </c>
      <c r="F127" s="87">
        <f>F126-'[5]CoGS Tracker Vap-D'!O388</f>
        <v>0</v>
      </c>
      <c r="G127" s="87">
        <f>G126-'[5]CoGS Tracker Vap-D'!P388</f>
        <v>0</v>
      </c>
      <c r="H127" s="87">
        <f>H126-'[5]CoGS Tracker Vap-D'!Q388</f>
        <v>0</v>
      </c>
      <c r="I127" s="87">
        <f>I126-'[5]CoGS Tracker Vap-D'!R388</f>
        <v>0</v>
      </c>
      <c r="J127" s="87">
        <f>J126-'[5]CoGS Tracker Vap-D'!S388</f>
        <v>-3.9588296461285921E-3</v>
      </c>
      <c r="K127" s="87">
        <f>K126-'[5]CoGS Tracker Vap-D'!T388</f>
        <v>-1.9458829646128883E-2</v>
      </c>
      <c r="L127" s="87">
        <f>L126-'[5]CoGS Tracker Vap-D'!U388</f>
        <v>-1.9458829646128883E-2</v>
      </c>
      <c r="M127" s="87">
        <f>M126-'[5]CoGS Tracker Vap-D'!V388</f>
        <v>1.4024418704578601E-2</v>
      </c>
      <c r="N127" s="87">
        <f>N126-'[5]CoGS Tracker Vap-D'!W388</f>
        <v>-3.2715529098199525E-3</v>
      </c>
      <c r="O127" s="87">
        <f>O126-'[5]CoGS Tracker Vap-D'!X388</f>
        <v>-3.2715529098199525E-3</v>
      </c>
      <c r="Q127" s="71"/>
    </row>
    <row r="128" spans="1:18">
      <c r="A128" s="49"/>
      <c r="B128" s="49" t="s">
        <v>221</v>
      </c>
      <c r="C128" s="50">
        <f>C126-C124</f>
        <v>-4.5603879648696308</v>
      </c>
      <c r="D128" s="50">
        <f t="shared" ref="D128:P128" si="18">D126-D124</f>
        <v>-4.5603879648696308</v>
      </c>
      <c r="E128" s="50">
        <f t="shared" si="18"/>
        <v>-4.5603879648696308</v>
      </c>
      <c r="F128" s="50">
        <f t="shared" si="18"/>
        <v>-0.1820322927153839</v>
      </c>
      <c r="G128" s="50">
        <f t="shared" si="18"/>
        <v>-0.1820322927153839</v>
      </c>
      <c r="H128" s="50">
        <f t="shared" si="18"/>
        <v>-0.1820322927153839</v>
      </c>
      <c r="I128" s="50">
        <f t="shared" si="18"/>
        <v>-0.1820322927153839</v>
      </c>
      <c r="J128" s="50">
        <f t="shared" si="18"/>
        <v>-0.1820322927153839</v>
      </c>
      <c r="K128" s="50">
        <f t="shared" si="18"/>
        <v>-0.33552629271538414</v>
      </c>
      <c r="L128" s="50">
        <f t="shared" si="18"/>
        <v>-0.33552629271538414</v>
      </c>
      <c r="M128" s="50">
        <f t="shared" si="18"/>
        <v>-0.31291528037047733</v>
      </c>
      <c r="N128" s="50">
        <f t="shared" si="18"/>
        <v>-0.33021125198487589</v>
      </c>
      <c r="O128" s="50">
        <f t="shared" si="18"/>
        <v>-0.33021125198487589</v>
      </c>
      <c r="P128" s="50">
        <f t="shared" si="18"/>
        <v>-0.23615775100774261</v>
      </c>
      <c r="Q128" s="73">
        <f>Q126-Q124</f>
        <v>-0.42806166489639264</v>
      </c>
    </row>
    <row r="129" spans="1:18">
      <c r="A129" s="71"/>
      <c r="B129" s="71"/>
      <c r="C129" s="71"/>
      <c r="D129" s="71"/>
      <c r="E129" s="71"/>
      <c r="F129" s="71"/>
      <c r="G129" s="71"/>
      <c r="H129" s="71"/>
      <c r="I129" s="71"/>
      <c r="J129" s="71"/>
      <c r="K129" s="71"/>
      <c r="L129" s="71"/>
      <c r="M129" s="71"/>
      <c r="N129" s="71"/>
      <c r="O129" s="71"/>
      <c r="P129" s="71"/>
      <c r="Q129" s="71"/>
    </row>
    <row r="130" spans="1:18">
      <c r="F130" s="87"/>
    </row>
    <row r="132" spans="1:18">
      <c r="A132" s="71"/>
      <c r="B132" s="71"/>
      <c r="C132" s="71"/>
      <c r="D132" s="71"/>
      <c r="E132" s="71"/>
      <c r="F132" s="71"/>
      <c r="G132" s="71"/>
      <c r="H132" s="71"/>
      <c r="I132" s="71"/>
      <c r="J132" s="71"/>
      <c r="K132" s="71"/>
      <c r="L132" s="71"/>
      <c r="M132" s="71"/>
      <c r="N132" s="71"/>
      <c r="O132" s="71"/>
      <c r="P132" s="71"/>
      <c r="Q132" s="71"/>
    </row>
    <row r="133" spans="1:18">
      <c r="A133" s="52" t="s">
        <v>187</v>
      </c>
      <c r="B133" s="52"/>
      <c r="C133" s="52"/>
      <c r="D133" s="52"/>
      <c r="E133" s="52"/>
      <c r="F133" s="52"/>
      <c r="G133" s="52"/>
      <c r="H133" s="52"/>
      <c r="I133" s="52"/>
      <c r="J133" s="52"/>
      <c r="K133" s="52"/>
      <c r="L133" s="52"/>
      <c r="M133" s="52"/>
      <c r="N133" s="52"/>
      <c r="O133" s="52"/>
      <c r="P133" s="52"/>
      <c r="Q133" s="71"/>
    </row>
    <row r="134" spans="1:18">
      <c r="A134" s="59" t="s">
        <v>205</v>
      </c>
      <c r="B134" s="59"/>
      <c r="C134" s="59"/>
      <c r="D134" s="70">
        <v>45658</v>
      </c>
      <c r="E134" s="70">
        <v>45689</v>
      </c>
      <c r="F134" s="70">
        <v>45717</v>
      </c>
      <c r="G134" s="70">
        <v>45748</v>
      </c>
      <c r="H134" s="70">
        <v>45778</v>
      </c>
      <c r="I134" s="70">
        <v>45809</v>
      </c>
      <c r="J134" s="70">
        <v>45839</v>
      </c>
      <c r="K134" s="70">
        <v>45870</v>
      </c>
      <c r="L134" s="70">
        <v>45901</v>
      </c>
      <c r="M134" s="70">
        <v>45931</v>
      </c>
      <c r="N134" s="70">
        <v>45962</v>
      </c>
      <c r="O134" s="70">
        <v>45992</v>
      </c>
      <c r="P134" s="60" t="s">
        <v>206</v>
      </c>
      <c r="Q134" s="71"/>
    </row>
    <row r="135" spans="1:18">
      <c r="A135" s="1" t="s">
        <v>207</v>
      </c>
      <c r="B135" s="153" t="s">
        <v>208</v>
      </c>
      <c r="D135" s="3">
        <f>'[7]Vols ePod'!AN194</f>
        <v>1.8005E-2</v>
      </c>
      <c r="E135" s="3">
        <f>'[7]Vols ePod'!AO194</f>
        <v>1.6945999999999999E-2</v>
      </c>
      <c r="F135" s="3">
        <f>'[7]Vols ePod'!AP194</f>
        <v>1.6945999999999999E-2</v>
      </c>
      <c r="G135" s="3">
        <f>'[7]Vols ePod'!AQ194</f>
        <v>0.19038499999999997</v>
      </c>
      <c r="H135" s="3">
        <f>'[7]Vols ePod'!AR194</f>
        <v>6.4808999999999992E-2</v>
      </c>
      <c r="I135" s="3">
        <f>'[7]Vols ePod'!AS194</f>
        <v>5.7611999999999997E-2</v>
      </c>
      <c r="J135" s="3">
        <f>'[7]Vols ePod'!AT194</f>
        <v>6.8411E-2</v>
      </c>
      <c r="K135" s="3">
        <f>'[7]Vols ePod'!AU194</f>
        <v>6.1210999999999995E-2</v>
      </c>
      <c r="L135" s="3">
        <f>'[7]Vols ePod'!AV194</f>
        <v>6.1210999999999995E-2</v>
      </c>
      <c r="M135" s="3">
        <f>'[7]Vols ePod'!AW194</f>
        <v>6.8411E-2</v>
      </c>
      <c r="N135" s="3">
        <f>'[7]Vols ePod'!AX194</f>
        <v>5.7611999999999997E-2</v>
      </c>
      <c r="O135" s="3">
        <f>'[7]Vols ePod'!AY194</f>
        <v>6.4808999999999992E-2</v>
      </c>
      <c r="P135" s="54">
        <f>SUM(D135:O135)</f>
        <v>0.74636799999999992</v>
      </c>
      <c r="Q135" s="71"/>
    </row>
    <row r="136" spans="1:18">
      <c r="A136" s="1"/>
      <c r="B136" s="64" t="s">
        <v>169</v>
      </c>
      <c r="C136" s="65"/>
      <c r="D136" s="66">
        <f>'[5]Volume Summary'!L139</f>
        <v>4.0659999999999993E-3</v>
      </c>
      <c r="E136" s="66">
        <f>'[5]Volume Summary'!M139</f>
        <v>1.2709E-2</v>
      </c>
      <c r="F136" s="66">
        <f>'[5]Volume Summary'!N139</f>
        <v>4.0990000000000002E-3</v>
      </c>
      <c r="G136" s="66">
        <f>'[5]Volume Summary'!O139</f>
        <v>0.11032700000000001</v>
      </c>
      <c r="H136" s="66">
        <f>'[5]Volume Summary'!P139</f>
        <v>5.0499999999999998E-3</v>
      </c>
      <c r="I136" s="66">
        <f>'[5]Volume Summary'!Q139</f>
        <v>2.777E-2</v>
      </c>
      <c r="J136" s="66">
        <f>'[5]Volume Summary'!R139</f>
        <v>0</v>
      </c>
      <c r="K136" s="66">
        <f>'[5]Volume Summary'!S139</f>
        <v>0</v>
      </c>
      <c r="L136" s="66">
        <f>'[5]Volume Summary'!T139</f>
        <v>0</v>
      </c>
      <c r="M136" s="66">
        <f>'[5]Volume Summary'!U139</f>
        <v>0</v>
      </c>
      <c r="N136" s="66">
        <f>'[5]Volume Summary'!V139</f>
        <v>0</v>
      </c>
      <c r="O136" s="66">
        <f>'[5]Volume Summary'!W139</f>
        <v>0</v>
      </c>
      <c r="P136" s="67">
        <f>SUM(D136:O136)</f>
        <v>0.164021</v>
      </c>
      <c r="Q136" s="71"/>
      <c r="R136" t="s">
        <v>187</v>
      </c>
    </row>
    <row r="137" spans="1:18">
      <c r="Q137" s="71"/>
    </row>
    <row r="138" spans="1:18">
      <c r="A138" s="36" t="s">
        <v>209</v>
      </c>
      <c r="B138" s="37"/>
      <c r="C138" s="38">
        <v>45505</v>
      </c>
      <c r="D138" s="39">
        <v>45536</v>
      </c>
      <c r="E138" s="39">
        <v>45566</v>
      </c>
      <c r="F138" s="39">
        <v>45597</v>
      </c>
      <c r="G138" s="39">
        <v>45627</v>
      </c>
      <c r="H138" s="39">
        <v>45658</v>
      </c>
      <c r="I138" s="39">
        <v>45689</v>
      </c>
      <c r="J138" s="39">
        <v>45717</v>
      </c>
      <c r="K138" s="39">
        <v>45748</v>
      </c>
      <c r="L138" s="39">
        <v>45778</v>
      </c>
      <c r="M138" s="39">
        <v>45809</v>
      </c>
      <c r="N138" s="39">
        <v>45839</v>
      </c>
      <c r="O138" s="39">
        <v>45870</v>
      </c>
      <c r="P138" s="37"/>
      <c r="Q138" s="71"/>
    </row>
    <row r="139" spans="1:18">
      <c r="A139" s="8" t="s">
        <v>210</v>
      </c>
      <c r="B139" s="12" t="s">
        <v>4</v>
      </c>
      <c r="Q139" s="71"/>
    </row>
    <row r="140" spans="1:18">
      <c r="A140" s="8" t="s">
        <v>210</v>
      </c>
      <c r="B140" s="13" t="s">
        <v>5</v>
      </c>
      <c r="D140" s="9">
        <f>SUMIFS('RCS Initiatives'!G:G,'RCS Initiatives'!$A:$A,RCS!$A$133,'RCS Initiatives'!$B:$B,RCS!$B140)</f>
        <v>0</v>
      </c>
      <c r="E140" s="9">
        <f>SUMIFS('RCS Initiatives'!H:H,'RCS Initiatives'!$A:$A,RCS!$A$133,'RCS Initiatives'!$B:$B,RCS!$B140)</f>
        <v>0</v>
      </c>
      <c r="F140" s="9">
        <f>SUMIFS('RCS Initiatives'!I:I,'RCS Initiatives'!$A:$A,RCS!$A$133,'RCS Initiatives'!$B:$B,RCS!$B140)</f>
        <v>0</v>
      </c>
      <c r="G140" s="9">
        <f>SUMIFS('RCS Initiatives'!J:J,'RCS Initiatives'!$A:$A,RCS!$A$133,'RCS Initiatives'!$B:$B,RCS!$B140)</f>
        <v>0</v>
      </c>
      <c r="H140" s="9">
        <f>SUMIFS('RCS Initiatives'!K:K,'RCS Initiatives'!$A:$A,RCS!$A$133,'RCS Initiatives'!$B:$B,RCS!$B140)</f>
        <v>-5.1437114986879195E-3</v>
      </c>
      <c r="I140" s="9">
        <f>SUMIFS('RCS Initiatives'!L:L,'RCS Initiatives'!$A:$A,RCS!$A$133,'RCS Initiatives'!$B:$B,RCS!$B140)</f>
        <v>-5.4359141484756165E-2</v>
      </c>
      <c r="J140" s="9">
        <f>SUMIFS('RCS Initiatives'!M:M,'RCS Initiatives'!$A:$A,RCS!$A$133,'RCS Initiatives'!$B:$B,RCS!$B140)</f>
        <v>-0.11857665911408712</v>
      </c>
      <c r="K140" s="9">
        <f>SUMIFS('RCS Initiatives'!N:N,'RCS Initiatives'!$A:$A,RCS!$A$133,'RCS Initiatives'!$B:$B,RCS!$B140)</f>
        <v>-0.15291584882258114</v>
      </c>
      <c r="L140" s="9">
        <f>SUMIFS('RCS Initiatives'!O:O,'RCS Initiatives'!$A:$A,RCS!$A$133,'RCS Initiatives'!$B:$B,RCS!$B140)</f>
        <v>0</v>
      </c>
      <c r="M140" s="9">
        <f>SUMIFS('RCS Initiatives'!P:P,'RCS Initiatives'!$A:$A,RCS!$A$133,'RCS Initiatives'!$B:$B,RCS!$B140)</f>
        <v>1.1738776339105248E-2</v>
      </c>
      <c r="N140" s="9">
        <f>SUMIFS('RCS Initiatives'!Q:Q,'RCS Initiatives'!$A:$A,RCS!$A$133,'RCS Initiatives'!$B:$B,RCS!$B140)</f>
        <v>-6.4237356085973052E-3</v>
      </c>
      <c r="O140" s="9">
        <f>SUMIFS('RCS Initiatives'!R:R,'RCS Initiatives'!$A:$A,RCS!$A$133,'RCS Initiatives'!$B:$B,RCS!$B140)</f>
        <v>0</v>
      </c>
      <c r="Q140" s="71"/>
    </row>
    <row r="141" spans="1:18">
      <c r="Q141" s="71"/>
    </row>
    <row r="142" spans="1:18">
      <c r="A142" s="36" t="s">
        <v>213</v>
      </c>
      <c r="B142" s="37"/>
      <c r="C142" s="37"/>
      <c r="D142" s="37"/>
      <c r="E142" s="37"/>
      <c r="F142" s="37"/>
      <c r="G142" s="37"/>
      <c r="H142" s="37"/>
      <c r="I142" s="37"/>
      <c r="J142" s="37"/>
      <c r="K142" s="37"/>
      <c r="L142" s="37"/>
      <c r="M142" s="37"/>
      <c r="N142" s="37"/>
      <c r="O142" s="37"/>
      <c r="P142" s="16" t="s">
        <v>214</v>
      </c>
      <c r="Q142" s="63" t="s">
        <v>215</v>
      </c>
    </row>
    <row r="143" spans="1:18">
      <c r="B143" s="12" t="s">
        <v>4</v>
      </c>
      <c r="C143" s="20">
        <f>4.76*V1/V2</f>
        <v>4.5603879648696308</v>
      </c>
      <c r="D143" s="9">
        <v>4.5603879648696308</v>
      </c>
      <c r="E143" s="9">
        <v>4.5603879648696308</v>
      </c>
      <c r="F143" s="9">
        <v>4.5603879648696308</v>
      </c>
      <c r="G143" s="9">
        <f>4.62*V1/V2</f>
        <v>4.4262589070793483</v>
      </c>
      <c r="H143" s="9">
        <v>4.4262589070793483</v>
      </c>
      <c r="I143" s="9">
        <v>4.4262589070793483</v>
      </c>
      <c r="J143" s="9">
        <v>4.4262589070793483</v>
      </c>
      <c r="K143" s="9">
        <v>4.4262589070793483</v>
      </c>
      <c r="L143" s="9">
        <v>4.4262589070793483</v>
      </c>
      <c r="M143" s="9">
        <v>4.4262589070793483</v>
      </c>
      <c r="N143" s="9">
        <v>4.4262589070793483</v>
      </c>
      <c r="O143" s="9">
        <v>4.4262589070793483</v>
      </c>
      <c r="P143" s="20">
        <f>SUMPRODUCT(D143:O143,D135:O135)/P135</f>
        <v>4.4355852658087453</v>
      </c>
      <c r="Q143" s="72">
        <f>P143*$P$117</f>
        <v>8.0399817730723253</v>
      </c>
      <c r="R143" t="s">
        <v>187</v>
      </c>
    </row>
    <row r="144" spans="1:18">
      <c r="B144" s="14"/>
      <c r="Q144" s="72"/>
    </row>
    <row r="145" spans="1:18">
      <c r="B145" s="13" t="s">
        <v>5</v>
      </c>
      <c r="C145" s="20">
        <f>'[6]ePod Devices'!AE571</f>
        <v>4.5603940138979091</v>
      </c>
      <c r="D145" s="9">
        <f>'[6]ePod Devices'!AF571</f>
        <v>4.5603940138979091</v>
      </c>
      <c r="E145" s="9">
        <f>D145+E140</f>
        <v>4.5603940138979091</v>
      </c>
      <c r="F145" s="9">
        <f>E145+F140</f>
        <v>4.5603940138979091</v>
      </c>
      <c r="G145" s="9">
        <f t="shared" ref="G145:O145" si="19">F145+G140</f>
        <v>4.5603940138979091</v>
      </c>
      <c r="H145" s="9">
        <f t="shared" si="19"/>
        <v>4.5552503023992212</v>
      </c>
      <c r="I145" s="9">
        <f t="shared" si="19"/>
        <v>4.5008911609144651</v>
      </c>
      <c r="J145" s="9">
        <f t="shared" si="19"/>
        <v>4.3823145018003782</v>
      </c>
      <c r="K145" s="9">
        <f t="shared" si="19"/>
        <v>4.2293986529777969</v>
      </c>
      <c r="L145" s="9">
        <f t="shared" si="19"/>
        <v>4.2293986529777969</v>
      </c>
      <c r="M145" s="9">
        <f>L145+M140</f>
        <v>4.2411374293169022</v>
      </c>
      <c r="N145" s="9">
        <f>M145+N140</f>
        <v>4.2347136937083052</v>
      </c>
      <c r="O145" s="9">
        <f t="shared" si="19"/>
        <v>4.2347136937083052</v>
      </c>
      <c r="P145" s="20">
        <f>SUMPRODUCT(D145:O145,D135:O135)/P135</f>
        <v>4.4020593566953368</v>
      </c>
      <c r="Q145" s="72">
        <f>P145*$P$117</f>
        <v>7.9792124084801781</v>
      </c>
      <c r="R145" t="s">
        <v>187</v>
      </c>
    </row>
    <row r="146" spans="1:18">
      <c r="C146" s="87">
        <f>C145-'[5]CoGS Tracker Vap-D'!L423</f>
        <v>0</v>
      </c>
      <c r="D146" s="87">
        <f>D145-'[5]CoGS Tracker Vap-D'!M423</f>
        <v>0</v>
      </c>
      <c r="E146" s="87">
        <f>E145-'[5]CoGS Tracker Vap-D'!N423</f>
        <v>0</v>
      </c>
      <c r="F146" s="87">
        <f>F145-'[5]CoGS Tracker Vap-D'!O423</f>
        <v>0</v>
      </c>
      <c r="G146" s="87">
        <f>G145-'[5]CoGS Tracker Vap-D'!P423</f>
        <v>0</v>
      </c>
      <c r="H146" s="87">
        <f>H145-'[5]CoGS Tracker Vap-D'!Q423</f>
        <v>0</v>
      </c>
      <c r="I146" s="87">
        <f>I145-'[5]CoGS Tracker Vap-D'!R423</f>
        <v>-6.5233416034811142E-3</v>
      </c>
      <c r="J146" s="87">
        <f>J145-'[5]CoGS Tracker Vap-D'!S423</f>
        <v>0</v>
      </c>
      <c r="K146" s="87">
        <f>K145-'[5]CoGS Tracker Vap-D'!T423</f>
        <v>-0.15291584882257858</v>
      </c>
      <c r="L146" s="87">
        <f>L145-'[5]CoGS Tracker Vap-D'!U423</f>
        <v>-0.15291584882257858</v>
      </c>
      <c r="M146" s="87">
        <f>M145-'[5]CoGS Tracker Vap-D'!V423</f>
        <v>-0.15632864123901058</v>
      </c>
      <c r="N146" s="87">
        <f>N145-'[5]CoGS Tracker Vap-D'!W423</f>
        <v>-0.15632864123901058</v>
      </c>
      <c r="O146" s="87">
        <f>O145-'[5]CoGS Tracker Vap-D'!X423</f>
        <v>-0.15632864123901058</v>
      </c>
      <c r="Q146" s="71"/>
    </row>
    <row r="147" spans="1:18">
      <c r="A147" s="49"/>
      <c r="B147" s="49" t="s">
        <v>221</v>
      </c>
      <c r="C147" s="50">
        <f>C145-C143</f>
        <v>6.0490282782765803E-6</v>
      </c>
      <c r="D147" s="50">
        <f t="shared" ref="D147:P147" si="20">D145-D143</f>
        <v>6.0490282782765803E-6</v>
      </c>
      <c r="E147" s="50">
        <f t="shared" si="20"/>
        <v>6.0490282782765803E-6</v>
      </c>
      <c r="F147" s="50">
        <f t="shared" si="20"/>
        <v>6.0490282782765803E-6</v>
      </c>
      <c r="G147" s="50">
        <f t="shared" si="20"/>
        <v>0.13413510681856078</v>
      </c>
      <c r="H147" s="50">
        <f t="shared" si="20"/>
        <v>0.12899139531987291</v>
      </c>
      <c r="I147" s="50">
        <f t="shared" si="20"/>
        <v>7.4632253835116735E-2</v>
      </c>
      <c r="J147" s="50">
        <f t="shared" si="20"/>
        <v>-4.3944405278970144E-2</v>
      </c>
      <c r="K147" s="50">
        <f t="shared" si="20"/>
        <v>-0.19686025410155139</v>
      </c>
      <c r="L147" s="50">
        <f t="shared" si="20"/>
        <v>-0.19686025410155139</v>
      </c>
      <c r="M147" s="50">
        <f t="shared" si="20"/>
        <v>-0.18512147776244614</v>
      </c>
      <c r="N147" s="50">
        <f t="shared" si="20"/>
        <v>-0.19154521337104313</v>
      </c>
      <c r="O147" s="50">
        <f t="shared" si="20"/>
        <v>-0.19154521337104313</v>
      </c>
      <c r="P147" s="50">
        <f t="shared" si="20"/>
        <v>-3.3525909113408581E-2</v>
      </c>
      <c r="Q147" s="73">
        <f>Q145-Q143</f>
        <v>-6.0769364592147213E-2</v>
      </c>
    </row>
    <row r="148" spans="1:18">
      <c r="A148" s="71"/>
      <c r="B148" s="71"/>
      <c r="C148" s="71"/>
      <c r="D148" s="71"/>
      <c r="E148" s="71"/>
      <c r="F148" s="71"/>
      <c r="G148" s="71"/>
      <c r="H148" s="71"/>
      <c r="I148" s="71"/>
      <c r="J148" s="71"/>
      <c r="K148" s="71"/>
      <c r="L148" s="71"/>
      <c r="M148" s="71"/>
      <c r="N148" s="71"/>
      <c r="O148" s="71"/>
      <c r="P148" s="71"/>
      <c r="Q148" s="71"/>
    </row>
    <row r="151" spans="1:18">
      <c r="A151" s="71"/>
      <c r="B151" s="71"/>
      <c r="C151" s="71"/>
      <c r="D151" s="71"/>
      <c r="E151" s="71"/>
      <c r="F151" s="71"/>
      <c r="G151" s="71"/>
      <c r="H151" s="71"/>
      <c r="I151" s="71"/>
      <c r="J151" s="71"/>
      <c r="K151" s="71"/>
      <c r="L151" s="71"/>
      <c r="M151" s="71"/>
      <c r="N151" s="71"/>
      <c r="O151" s="71"/>
      <c r="P151" s="71"/>
      <c r="Q151" s="71"/>
    </row>
    <row r="152" spans="1:18">
      <c r="A152" s="52" t="s">
        <v>188</v>
      </c>
      <c r="B152" s="52"/>
      <c r="C152" s="52"/>
      <c r="D152" s="52"/>
      <c r="E152" s="52"/>
      <c r="F152" s="52"/>
      <c r="G152" s="52"/>
      <c r="H152" s="52"/>
      <c r="I152" s="52"/>
      <c r="J152" s="52"/>
      <c r="K152" s="52"/>
      <c r="L152" s="52"/>
      <c r="M152" s="52"/>
      <c r="N152" s="52"/>
      <c r="O152" s="52"/>
      <c r="P152" s="52"/>
      <c r="Q152" s="71"/>
    </row>
    <row r="153" spans="1:18">
      <c r="A153" s="59" t="s">
        <v>205</v>
      </c>
      <c r="B153" s="59"/>
      <c r="C153" s="59"/>
      <c r="D153" s="70">
        <v>45658</v>
      </c>
      <c r="E153" s="70">
        <v>45689</v>
      </c>
      <c r="F153" s="70">
        <v>45717</v>
      </c>
      <c r="G153" s="70">
        <v>45748</v>
      </c>
      <c r="H153" s="70">
        <v>45778</v>
      </c>
      <c r="I153" s="70">
        <v>45809</v>
      </c>
      <c r="J153" s="70">
        <v>45839</v>
      </c>
      <c r="K153" s="70">
        <v>45870</v>
      </c>
      <c r="L153" s="70">
        <v>45901</v>
      </c>
      <c r="M153" s="70">
        <v>45931</v>
      </c>
      <c r="N153" s="70">
        <v>45962</v>
      </c>
      <c r="O153" s="70">
        <v>45992</v>
      </c>
      <c r="P153" s="60" t="s">
        <v>206</v>
      </c>
      <c r="Q153" s="71"/>
    </row>
    <row r="154" spans="1:18">
      <c r="A154" s="1" t="s">
        <v>207</v>
      </c>
      <c r="B154" s="12" t="s">
        <v>208</v>
      </c>
      <c r="D154" s="3"/>
      <c r="E154" s="3"/>
      <c r="F154" s="3"/>
      <c r="G154" s="3"/>
      <c r="H154" s="3"/>
      <c r="I154" s="3"/>
      <c r="J154" s="3"/>
      <c r="K154" s="3"/>
      <c r="L154" s="3"/>
      <c r="M154" s="3"/>
      <c r="N154" s="3"/>
      <c r="O154" s="3"/>
      <c r="P154" s="54">
        <f>SUM(D154:O154)</f>
        <v>0</v>
      </c>
      <c r="Q154" s="71"/>
    </row>
    <row r="155" spans="1:18">
      <c r="A155" s="1"/>
      <c r="B155" s="64" t="s">
        <v>169</v>
      </c>
      <c r="C155" s="65"/>
      <c r="D155" s="66">
        <f>'[5]Volume Summary'!L143</f>
        <v>0</v>
      </c>
      <c r="E155" s="66">
        <f>'[5]Volume Summary'!M143</f>
        <v>0</v>
      </c>
      <c r="F155" s="66">
        <f>'[5]Volume Summary'!N143</f>
        <v>3.1260000000000003E-3</v>
      </c>
      <c r="G155" s="66">
        <f>'[5]Volume Summary'!O143</f>
        <v>5.4244999999999995E-2</v>
      </c>
      <c r="H155" s="66">
        <f>'[5]Volume Summary'!P143</f>
        <v>7.2543999999999997E-2</v>
      </c>
      <c r="I155" s="66">
        <f>'[5]Volume Summary'!Q143</f>
        <v>0.12299900000000002</v>
      </c>
      <c r="J155" s="66">
        <f>'[5]Volume Summary'!R143</f>
        <v>3.8580000000000003E-2</v>
      </c>
      <c r="K155" s="66">
        <f>'[5]Volume Summary'!S143</f>
        <v>4.3484999999999996E-2</v>
      </c>
      <c r="L155" s="66">
        <f>'[5]Volume Summary'!T143</f>
        <v>5.0955E-2</v>
      </c>
      <c r="M155" s="66">
        <f>'[5]Volume Summary'!U143</f>
        <v>5.7305999999999996E-2</v>
      </c>
      <c r="N155" s="66">
        <f>'[5]Volume Summary'!V143</f>
        <v>3.9772000000000002E-2</v>
      </c>
      <c r="O155" s="66">
        <f>'[5]Volume Summary'!W143</f>
        <v>5.2272000000000006E-2</v>
      </c>
      <c r="P155" s="67">
        <f>SUM(D155:O155)</f>
        <v>0.53528399999999998</v>
      </c>
      <c r="Q155" s="71"/>
      <c r="R155" t="s">
        <v>188</v>
      </c>
    </row>
    <row r="156" spans="1:18">
      <c r="Q156" s="71"/>
    </row>
    <row r="157" spans="1:18">
      <c r="A157" s="36" t="s">
        <v>209</v>
      </c>
      <c r="B157" s="37"/>
      <c r="C157" s="38">
        <v>45505</v>
      </c>
      <c r="D157" s="39">
        <v>45536</v>
      </c>
      <c r="E157" s="39">
        <v>45566</v>
      </c>
      <c r="F157" s="39">
        <v>45597</v>
      </c>
      <c r="G157" s="39">
        <v>45627</v>
      </c>
      <c r="H157" s="39">
        <v>45658</v>
      </c>
      <c r="I157" s="39">
        <v>45689</v>
      </c>
      <c r="J157" s="39">
        <v>45717</v>
      </c>
      <c r="K157" s="39">
        <v>45748</v>
      </c>
      <c r="L157" s="39">
        <v>45778</v>
      </c>
      <c r="M157" s="39">
        <v>45809</v>
      </c>
      <c r="N157" s="39">
        <v>45839</v>
      </c>
      <c r="O157" s="39">
        <v>45870</v>
      </c>
      <c r="P157" s="37"/>
      <c r="Q157" s="71"/>
    </row>
    <row r="158" spans="1:18">
      <c r="A158" s="8" t="s">
        <v>210</v>
      </c>
      <c r="B158" s="12" t="s">
        <v>4</v>
      </c>
      <c r="Q158" s="71"/>
    </row>
    <row r="159" spans="1:18">
      <c r="A159" s="8" t="s">
        <v>210</v>
      </c>
      <c r="B159" s="13" t="s">
        <v>5</v>
      </c>
      <c r="D159" s="9">
        <f>SUMIFS('RCS Initiatives'!G:G,'RCS Initiatives'!$A:$A,RCS!$A$152,'RCS Initiatives'!$B:$B,RCS!$B159)</f>
        <v>0</v>
      </c>
      <c r="E159" s="9">
        <f>SUMIFS('RCS Initiatives'!H:H,'RCS Initiatives'!$A:$A,RCS!$A$152,'RCS Initiatives'!$B:$B,RCS!$B159)</f>
        <v>0</v>
      </c>
      <c r="F159" s="9">
        <f>SUMIFS('RCS Initiatives'!I:I,'RCS Initiatives'!$A:$A,RCS!$A$152,'RCS Initiatives'!$B:$B,RCS!$B159)</f>
        <v>0</v>
      </c>
      <c r="G159" s="9">
        <f>SUMIFS('RCS Initiatives'!J:J,'RCS Initiatives'!$A:$A,RCS!$A$152,'RCS Initiatives'!$B:$B,RCS!$B159)</f>
        <v>0</v>
      </c>
      <c r="H159" s="9">
        <f>SUMIFS('RCS Initiatives'!K:K,'RCS Initiatives'!$A:$A,RCS!$A$152,'RCS Initiatives'!$B:$B,RCS!$B159)</f>
        <v>0</v>
      </c>
      <c r="I159" s="9">
        <f>SUMIFS('RCS Initiatives'!L:L,'RCS Initiatives'!$A:$A,RCS!$A$152,'RCS Initiatives'!$B:$B,RCS!$B159)</f>
        <v>0</v>
      </c>
      <c r="J159" s="9">
        <f>SUMIFS('RCS Initiatives'!M:M,'RCS Initiatives'!$A:$A,RCS!$A$152,'RCS Initiatives'!$B:$B,RCS!$B159)</f>
        <v>0</v>
      </c>
      <c r="K159" s="9">
        <f>SUMIFS('RCS Initiatives'!N:N,'RCS Initiatives'!$A:$A,RCS!$A$152,'RCS Initiatives'!$B:$B,RCS!$B159)</f>
        <v>-0.76105652040609995</v>
      </c>
      <c r="L159" s="9">
        <f>SUMIFS('RCS Initiatives'!O:O,'RCS Initiatives'!$A:$A,RCS!$A$152,'RCS Initiatives'!$B:$B,RCS!$B159)</f>
        <v>0</v>
      </c>
      <c r="M159" s="9">
        <f>SUMIFS('RCS Initiatives'!P:P,'RCS Initiatives'!$A:$A,RCS!$A$152,'RCS Initiatives'!$B:$B,RCS!$B159)</f>
        <v>-1.6308354008702137E-2</v>
      </c>
      <c r="N159" s="9">
        <f>SUMIFS('RCS Initiatives'!Q:Q,'RCS Initiatives'!$A:$A,RCS!$A$152,'RCS Initiatives'!$B:$B,RCS!$B159)</f>
        <v>0</v>
      </c>
      <c r="O159" s="9">
        <f>SUMIFS('RCS Initiatives'!R:R,'RCS Initiatives'!$A:$A,RCS!$A$152,'RCS Initiatives'!$B:$B,RCS!$B159)</f>
        <v>0</v>
      </c>
      <c r="Q159" s="71"/>
    </row>
    <row r="160" spans="1:18">
      <c r="Q160" s="71"/>
    </row>
    <row r="161" spans="1:18">
      <c r="A161" s="36" t="s">
        <v>213</v>
      </c>
      <c r="B161" s="37"/>
      <c r="C161" s="37"/>
      <c r="D161" s="37"/>
      <c r="E161" s="37"/>
      <c r="F161" s="37"/>
      <c r="G161" s="37"/>
      <c r="H161" s="37"/>
      <c r="I161" s="37"/>
      <c r="J161" s="37"/>
      <c r="K161" s="37"/>
      <c r="L161" s="37"/>
      <c r="M161" s="37"/>
      <c r="N161" s="37"/>
      <c r="O161" s="37"/>
      <c r="P161" s="16" t="s">
        <v>214</v>
      </c>
      <c r="Q161" s="63" t="s">
        <v>215</v>
      </c>
    </row>
    <row r="162" spans="1:18">
      <c r="B162" s="12" t="s">
        <v>4</v>
      </c>
      <c r="C162" s="20">
        <f>20.89*V1/V2</f>
        <v>20.013971551707268</v>
      </c>
      <c r="D162" s="9">
        <f>20.18*V1/V2</f>
        <v>19.33374561577083</v>
      </c>
      <c r="E162" s="9">
        <f t="shared" ref="E162:O162" si="21">D162</f>
        <v>19.33374561577083</v>
      </c>
      <c r="F162" s="9">
        <f t="shared" si="21"/>
        <v>19.33374561577083</v>
      </c>
      <c r="G162" s="9">
        <f t="shared" si="21"/>
        <v>19.33374561577083</v>
      </c>
      <c r="H162" s="9">
        <f t="shared" si="21"/>
        <v>19.33374561577083</v>
      </c>
      <c r="I162" s="9">
        <f t="shared" si="21"/>
        <v>19.33374561577083</v>
      </c>
      <c r="J162" s="9">
        <f t="shared" si="21"/>
        <v>19.33374561577083</v>
      </c>
      <c r="K162" s="9">
        <f t="shared" si="21"/>
        <v>19.33374561577083</v>
      </c>
      <c r="L162" s="9">
        <f t="shared" si="21"/>
        <v>19.33374561577083</v>
      </c>
      <c r="M162" s="9">
        <f t="shared" si="21"/>
        <v>19.33374561577083</v>
      </c>
      <c r="N162" s="9">
        <f t="shared" si="21"/>
        <v>19.33374561577083</v>
      </c>
      <c r="O162" s="9">
        <f t="shared" si="21"/>
        <v>19.33374561577083</v>
      </c>
      <c r="P162" s="20">
        <f>SUMPRODUCT(D162:O162,D155:O155)/P155</f>
        <v>19.333745615770834</v>
      </c>
      <c r="Q162" s="72">
        <f>P162*$P$155</f>
        <v>10.349044688192274</v>
      </c>
      <c r="R162" t="s">
        <v>188</v>
      </c>
    </row>
    <row r="163" spans="1:18">
      <c r="B163" s="14"/>
      <c r="Q163" s="72"/>
    </row>
    <row r="164" spans="1:18">
      <c r="B164" s="13" t="s">
        <v>5</v>
      </c>
      <c r="C164" s="20">
        <f>'[5]CoGS Tracker Vap-D'!L562</f>
        <v>0</v>
      </c>
      <c r="D164" s="9">
        <f>'[5]CoGS Tracker Vap-D'!M562</f>
        <v>0</v>
      </c>
      <c r="E164" s="395">
        <f>'[5]CoGS Tracker Vap-D'!N562</f>
        <v>20.48</v>
      </c>
      <c r="F164" s="9">
        <f>E164+F159</f>
        <v>20.48</v>
      </c>
      <c r="G164" s="9">
        <f t="shared" ref="G164:O164" si="22">F164+G159</f>
        <v>20.48</v>
      </c>
      <c r="H164" s="9">
        <f t="shared" si="22"/>
        <v>20.48</v>
      </c>
      <c r="I164" s="9">
        <f t="shared" si="22"/>
        <v>20.48</v>
      </c>
      <c r="J164" s="9">
        <f t="shared" si="22"/>
        <v>20.48</v>
      </c>
      <c r="K164" s="9">
        <f t="shared" si="22"/>
        <v>19.7189434795939</v>
      </c>
      <c r="L164" s="9">
        <f t="shared" si="22"/>
        <v>19.7189434795939</v>
      </c>
      <c r="M164" s="9">
        <f t="shared" si="22"/>
        <v>19.702635125585196</v>
      </c>
      <c r="N164" s="9">
        <f t="shared" si="22"/>
        <v>19.702635125585196</v>
      </c>
      <c r="O164" s="9">
        <f t="shared" si="22"/>
        <v>19.702635125585196</v>
      </c>
      <c r="P164" s="20">
        <f>SUMPRODUCT(D164:O164,D155:O155)/P155</f>
        <v>20.128833849356599</v>
      </c>
      <c r="Q164" s="72">
        <f>P164*$P$155</f>
        <v>10.774642698218997</v>
      </c>
      <c r="R164" t="s">
        <v>188</v>
      </c>
    </row>
    <row r="165" spans="1:18">
      <c r="C165" s="87">
        <f>C164-'[5]CoGS Tracker Vap-D'!L562</f>
        <v>0</v>
      </c>
      <c r="D165" s="87">
        <f>D164-'[5]CoGS Tracker Vap-D'!M562</f>
        <v>0</v>
      </c>
      <c r="E165" s="87">
        <f>E164-'[5]CoGS Tracker Vap-D'!N562</f>
        <v>0</v>
      </c>
      <c r="F165" s="87">
        <f>F164-'[5]CoGS Tracker Vap-D'!O562</f>
        <v>0</v>
      </c>
      <c r="G165" s="87">
        <f>G164-'[5]CoGS Tracker Vap-D'!P562</f>
        <v>0</v>
      </c>
      <c r="H165" s="87">
        <f>H164-'[5]CoGS Tracker Vap-D'!Q562</f>
        <v>0</v>
      </c>
      <c r="I165" s="87">
        <f>I164-'[5]CoGS Tracker Vap-D'!R562</f>
        <v>0</v>
      </c>
      <c r="J165" s="87">
        <f>J164-'[5]CoGS Tracker Vap-D'!S562</f>
        <v>0</v>
      </c>
      <c r="K165" s="87">
        <f>K164-'[5]CoGS Tracker Vap-D'!T562</f>
        <v>-0.76105652040610039</v>
      </c>
      <c r="L165" s="87">
        <f>L164-'[5]CoGS Tracker Vap-D'!U562</f>
        <v>-0.76105652040610039</v>
      </c>
      <c r="M165" s="87">
        <f>M164-'[5]CoGS Tracker Vap-D'!V562</f>
        <v>-0.76105652040610039</v>
      </c>
      <c r="N165" s="87">
        <f>N164-'[5]CoGS Tracker Vap-D'!W562</f>
        <v>-0.76105652040610039</v>
      </c>
      <c r="O165" s="87">
        <f>O164-'[5]CoGS Tracker Vap-D'!X562</f>
        <v>-0.76105652040610039</v>
      </c>
      <c r="Q165" s="71"/>
    </row>
    <row r="166" spans="1:18">
      <c r="A166" s="49"/>
      <c r="B166" s="49" t="s">
        <v>221</v>
      </c>
      <c r="C166" s="50">
        <f>C164-C162</f>
        <v>-20.013971551707268</v>
      </c>
      <c r="D166" s="50">
        <f t="shared" ref="D166:P166" si="23">D164-D162</f>
        <v>-19.33374561577083</v>
      </c>
      <c r="E166" s="50">
        <f t="shared" si="23"/>
        <v>1.1462543842291701</v>
      </c>
      <c r="F166" s="50">
        <f t="shared" si="23"/>
        <v>1.1462543842291701</v>
      </c>
      <c r="G166" s="50">
        <f t="shared" si="23"/>
        <v>1.1462543842291701</v>
      </c>
      <c r="H166" s="50">
        <f t="shared" si="23"/>
        <v>1.1462543842291701</v>
      </c>
      <c r="I166" s="50">
        <f t="shared" si="23"/>
        <v>1.1462543842291701</v>
      </c>
      <c r="J166" s="50">
        <f t="shared" si="23"/>
        <v>1.1462543842291701</v>
      </c>
      <c r="K166" s="50">
        <f t="shared" si="23"/>
        <v>0.38519786382306975</v>
      </c>
      <c r="L166" s="50">
        <f t="shared" si="23"/>
        <v>0.38519786382306975</v>
      </c>
      <c r="M166" s="50">
        <f t="shared" si="23"/>
        <v>0.36888950981436608</v>
      </c>
      <c r="N166" s="50">
        <f t="shared" si="23"/>
        <v>0.36888950981436608</v>
      </c>
      <c r="O166" s="50">
        <f t="shared" si="23"/>
        <v>0.36888950981436608</v>
      </c>
      <c r="P166" s="50">
        <f t="shared" si="23"/>
        <v>0.79508823358576564</v>
      </c>
      <c r="Q166" s="73">
        <f>Q164-Q162</f>
        <v>0.42559801002672337</v>
      </c>
    </row>
    <row r="167" spans="1:18">
      <c r="A167" s="71"/>
      <c r="B167" s="71"/>
      <c r="C167" s="71"/>
      <c r="D167" s="71"/>
      <c r="E167" s="71"/>
      <c r="F167" s="71"/>
      <c r="G167" s="71"/>
      <c r="H167" s="71"/>
      <c r="I167" s="71"/>
      <c r="J167" s="71"/>
      <c r="K167" s="71"/>
      <c r="L167" s="71"/>
      <c r="M167" s="71"/>
      <c r="N167" s="71"/>
      <c r="O167" s="71"/>
      <c r="P167" s="71"/>
      <c r="Q167" s="71"/>
    </row>
    <row r="169" spans="1:18">
      <c r="J169" s="53"/>
    </row>
    <row r="170" spans="1:18">
      <c r="A170" s="71"/>
      <c r="B170" s="71"/>
      <c r="C170" s="71"/>
      <c r="D170" s="71"/>
      <c r="E170" s="71"/>
      <c r="F170" s="71"/>
      <c r="G170" s="71"/>
      <c r="H170" s="71"/>
      <c r="I170" s="71"/>
      <c r="J170" s="71"/>
      <c r="K170" s="71"/>
      <c r="L170" s="71"/>
      <c r="M170" s="71"/>
      <c r="N170" s="71"/>
      <c r="O170" s="71"/>
      <c r="P170" s="71"/>
      <c r="Q170" s="71"/>
    </row>
    <row r="171" spans="1:18">
      <c r="A171" s="228" t="s">
        <v>223</v>
      </c>
      <c r="B171" s="52"/>
      <c r="C171" s="52"/>
      <c r="D171" s="52"/>
      <c r="E171" s="52"/>
      <c r="F171" s="52"/>
      <c r="G171" s="52"/>
      <c r="H171" s="52"/>
      <c r="I171" s="52"/>
      <c r="J171" s="52"/>
      <c r="K171" s="52"/>
      <c r="L171" s="52"/>
      <c r="M171" s="52"/>
      <c r="N171" s="52"/>
      <c r="O171" s="52"/>
      <c r="P171" s="52"/>
      <c r="Q171" s="71"/>
    </row>
    <row r="172" spans="1:18">
      <c r="A172" s="59" t="s">
        <v>205</v>
      </c>
      <c r="B172" s="59"/>
      <c r="C172" s="59"/>
      <c r="D172" s="70">
        <v>45658</v>
      </c>
      <c r="E172" s="70">
        <v>45689</v>
      </c>
      <c r="F172" s="70">
        <v>45717</v>
      </c>
      <c r="G172" s="70">
        <v>45748</v>
      </c>
      <c r="H172" s="70">
        <v>45778</v>
      </c>
      <c r="I172" s="70">
        <v>45809</v>
      </c>
      <c r="J172" s="70">
        <v>45839</v>
      </c>
      <c r="K172" s="70">
        <v>45870</v>
      </c>
      <c r="L172" s="70">
        <v>45901</v>
      </c>
      <c r="M172" s="70">
        <v>45931</v>
      </c>
      <c r="N172" s="70">
        <v>45962</v>
      </c>
      <c r="O172" s="70">
        <v>45992</v>
      </c>
      <c r="P172" s="60" t="s">
        <v>206</v>
      </c>
      <c r="Q172" s="71"/>
    </row>
    <row r="173" spans="1:18">
      <c r="A173" s="1" t="s">
        <v>207</v>
      </c>
      <c r="B173" s="12" t="s">
        <v>208</v>
      </c>
      <c r="D173" s="3"/>
      <c r="E173" s="3"/>
      <c r="F173" s="3"/>
      <c r="G173" s="3"/>
      <c r="H173" s="3"/>
      <c r="I173" s="3"/>
      <c r="J173" s="3"/>
      <c r="K173" s="3"/>
      <c r="L173" s="3"/>
      <c r="M173" s="3"/>
      <c r="N173" s="3"/>
      <c r="O173" s="3"/>
      <c r="P173" s="54">
        <f>SUM(D173:O173)</f>
        <v>0</v>
      </c>
      <c r="Q173" s="71"/>
    </row>
    <row r="174" spans="1:18">
      <c r="A174" s="1"/>
      <c r="B174" s="64" t="s">
        <v>169</v>
      </c>
      <c r="C174" s="65"/>
      <c r="D174" s="66">
        <f>'[5]Volume Summary'!L138</f>
        <v>0</v>
      </c>
      <c r="E174" s="66">
        <f>'[5]Volume Summary'!M138</f>
        <v>0</v>
      </c>
      <c r="F174" s="66">
        <f>'[5]Volume Summary'!N138</f>
        <v>0</v>
      </c>
      <c r="G174" s="66">
        <f>'[5]Volume Summary'!O138</f>
        <v>0</v>
      </c>
      <c r="H174" s="66">
        <f>'[5]Volume Summary'!P138</f>
        <v>0</v>
      </c>
      <c r="I174" s="66">
        <f>'[5]Volume Summary'!Q138</f>
        <v>0.41865799999999992</v>
      </c>
      <c r="J174" s="66">
        <f>'[5]Volume Summary'!R138</f>
        <v>4.9902000000000002E-2</v>
      </c>
      <c r="K174" s="66">
        <f>'[5]Volume Summary'!S138</f>
        <v>0.11855900000000003</v>
      </c>
      <c r="L174" s="66">
        <f>'[5]Volume Summary'!T138</f>
        <v>0.12287400000000001</v>
      </c>
      <c r="M174" s="66">
        <f>'[5]Volume Summary'!U138</f>
        <v>0.22246800000000005</v>
      </c>
      <c r="N174" s="66">
        <f>'[5]Volume Summary'!V138</f>
        <v>0.25284499999999999</v>
      </c>
      <c r="O174" s="66">
        <f>'[5]Volume Summary'!W138</f>
        <v>0.15407700000000005</v>
      </c>
      <c r="P174" s="67">
        <f>SUM(D174:O174)</f>
        <v>1.339383</v>
      </c>
      <c r="Q174" s="71"/>
    </row>
    <row r="175" spans="1:18">
      <c r="Q175" s="71"/>
    </row>
    <row r="176" spans="1:18">
      <c r="A176" s="36" t="s">
        <v>209</v>
      </c>
      <c r="B176" s="37"/>
      <c r="C176" s="38">
        <v>45505</v>
      </c>
      <c r="D176" s="39">
        <v>45536</v>
      </c>
      <c r="E176" s="39">
        <v>45566</v>
      </c>
      <c r="F176" s="39">
        <v>45597</v>
      </c>
      <c r="G176" s="39">
        <v>45627</v>
      </c>
      <c r="H176" s="39">
        <v>45658</v>
      </c>
      <c r="I176" s="39">
        <v>45689</v>
      </c>
      <c r="J176" s="39">
        <v>45717</v>
      </c>
      <c r="K176" s="39">
        <v>45748</v>
      </c>
      <c r="L176" s="39">
        <v>45778</v>
      </c>
      <c r="M176" s="39">
        <v>45809</v>
      </c>
      <c r="N176" s="39">
        <v>45839</v>
      </c>
      <c r="O176" s="39">
        <v>45870</v>
      </c>
      <c r="P176" s="37"/>
      <c r="Q176" s="71"/>
    </row>
    <row r="177" spans="1:17">
      <c r="A177" s="8" t="s">
        <v>210</v>
      </c>
      <c r="B177" s="12" t="s">
        <v>4</v>
      </c>
      <c r="Q177" s="71"/>
    </row>
    <row r="178" spans="1:17">
      <c r="A178" s="8" t="s">
        <v>210</v>
      </c>
      <c r="B178" s="13" t="s">
        <v>5</v>
      </c>
      <c r="D178" s="9">
        <f>SUMIFS('RCS Initiatives'!G:G,'RCS Initiatives'!$A:$A,RCS!$A$171,'RCS Initiatives'!$B:$B,RCS!$B178)</f>
        <v>0</v>
      </c>
      <c r="E178" s="9">
        <f>SUMIFS('RCS Initiatives'!H:H,'RCS Initiatives'!$A:$A,RCS!$A$171,'RCS Initiatives'!$B:$B,RCS!$B178)</f>
        <v>0</v>
      </c>
      <c r="F178" s="9">
        <f>SUMIFS('RCS Initiatives'!I:I,'RCS Initiatives'!$A:$A,RCS!$A$171,'RCS Initiatives'!$B:$B,RCS!$B178)</f>
        <v>0</v>
      </c>
      <c r="G178" s="9">
        <f>SUMIFS('RCS Initiatives'!J:J,'RCS Initiatives'!$A:$A,RCS!$A$171,'RCS Initiatives'!$B:$B,RCS!$B178)</f>
        <v>0</v>
      </c>
      <c r="H178" s="9">
        <f>SUMIFS('RCS Initiatives'!K:K,'RCS Initiatives'!$A:$A,RCS!$A$171,'RCS Initiatives'!$B:$B,RCS!$B178)</f>
        <v>0</v>
      </c>
      <c r="I178" s="9">
        <f>SUMIFS('RCS Initiatives'!L:L,'RCS Initiatives'!$A:$A,RCS!$A$171,'RCS Initiatives'!$B:$B,RCS!$B178)</f>
        <v>0</v>
      </c>
      <c r="J178" s="9">
        <f>SUMIFS('RCS Initiatives'!M:M,'RCS Initiatives'!$A:$A,RCS!$A$171,'RCS Initiatives'!$B:$B,RCS!$B178)</f>
        <v>0</v>
      </c>
      <c r="K178" s="9">
        <f>SUMIFS('RCS Initiatives'!N:N,'RCS Initiatives'!$A:$A,RCS!$A$171,'RCS Initiatives'!$B:$B,RCS!$B178)</f>
        <v>-0.13559399999999999</v>
      </c>
      <c r="L178" s="9">
        <f>SUMIFS('RCS Initiatives'!O:O,'RCS Initiatives'!$A:$A,RCS!$A$171,'RCS Initiatives'!$B:$B,RCS!$B178)</f>
        <v>0</v>
      </c>
      <c r="M178" s="9">
        <f>SUMIFS('RCS Initiatives'!P:P,'RCS Initiatives'!$A:$A,RCS!$A$171,'RCS Initiatives'!$B:$B,RCS!$B178)</f>
        <v>0</v>
      </c>
      <c r="N178" s="9">
        <f>SUMIFS('RCS Initiatives'!Q:Q,'RCS Initiatives'!$A:$A,RCS!$A$171,'RCS Initiatives'!$B:$B,RCS!$B178)</f>
        <v>0</v>
      </c>
      <c r="O178" s="9">
        <f>SUMIFS('RCS Initiatives'!R:R,'RCS Initiatives'!$A:$A,RCS!$A$171,'RCS Initiatives'!$B:$B,RCS!$B178)</f>
        <v>0</v>
      </c>
      <c r="Q178" s="71"/>
    </row>
    <row r="179" spans="1:17">
      <c r="Q179" s="71"/>
    </row>
    <row r="180" spans="1:17">
      <c r="A180" s="36" t="s">
        <v>213</v>
      </c>
      <c r="B180" s="37"/>
      <c r="C180" s="37"/>
      <c r="D180" s="37"/>
      <c r="E180" s="37"/>
      <c r="F180" s="37"/>
      <c r="G180" s="37"/>
      <c r="H180" s="37"/>
      <c r="I180" s="37"/>
      <c r="J180" s="37"/>
      <c r="K180" s="37"/>
      <c r="L180" s="37"/>
      <c r="M180" s="37"/>
      <c r="N180" s="37"/>
      <c r="O180" s="37"/>
      <c r="P180" s="16" t="s">
        <v>214</v>
      </c>
      <c r="Q180" s="63" t="s">
        <v>215</v>
      </c>
    </row>
    <row r="181" spans="1:17">
      <c r="B181" s="12" t="s">
        <v>4</v>
      </c>
      <c r="C181" s="20">
        <v>0</v>
      </c>
      <c r="D181" s="9">
        <v>0</v>
      </c>
      <c r="E181" s="9">
        <v>0</v>
      </c>
      <c r="F181" s="9">
        <v>0</v>
      </c>
      <c r="G181" s="9">
        <v>0</v>
      </c>
      <c r="H181" s="9">
        <v>0</v>
      </c>
      <c r="I181" s="9">
        <v>5.22</v>
      </c>
      <c r="J181" s="9">
        <v>5.22</v>
      </c>
      <c r="K181" s="9">
        <v>5.22</v>
      </c>
      <c r="L181" s="9">
        <v>5.22</v>
      </c>
      <c r="M181" s="9">
        <v>5.22</v>
      </c>
      <c r="N181" s="9">
        <v>5.22</v>
      </c>
      <c r="O181" s="9">
        <v>5.22</v>
      </c>
      <c r="P181" s="20">
        <f>SUMPRODUCT(D181:O181,D174:O174)/P174</f>
        <v>5.22</v>
      </c>
      <c r="Q181" s="72">
        <f>P181*$P$155</f>
        <v>2.7941824799999999</v>
      </c>
    </row>
    <row r="182" spans="1:17">
      <c r="B182" s="14"/>
      <c r="Q182" s="72"/>
    </row>
    <row r="183" spans="1:17">
      <c r="B183" s="13" t="s">
        <v>5</v>
      </c>
      <c r="C183" s="20">
        <f>'[5]CoGS Tracker Vap-D'!$L$353</f>
        <v>0</v>
      </c>
      <c r="D183" s="9">
        <f>'[5]CoGS Tracker Vap-D'!M581</f>
        <v>0</v>
      </c>
      <c r="E183" s="9">
        <f>'[5]CoGS Tracker Vap-D'!N581</f>
        <v>0</v>
      </c>
      <c r="F183" s="9">
        <f>E183+F178</f>
        <v>0</v>
      </c>
      <c r="G183" s="9">
        <f t="shared" ref="G183" si="24">F183+G178</f>
        <v>0</v>
      </c>
      <c r="H183" s="9">
        <f t="shared" ref="H183" si="25">G183+H178</f>
        <v>0</v>
      </c>
      <c r="I183" s="9">
        <v>5.22</v>
      </c>
      <c r="J183" s="9">
        <f>I183+J178</f>
        <v>5.22</v>
      </c>
      <c r="K183" s="9">
        <f t="shared" ref="K183" si="26">J183+K178</f>
        <v>5.0844059999999995</v>
      </c>
      <c r="L183" s="9">
        <f t="shared" ref="L183" si="27">K183+L178</f>
        <v>5.0844059999999995</v>
      </c>
      <c r="M183" s="9">
        <f t="shared" ref="M183" si="28">L183+M178</f>
        <v>5.0844059999999995</v>
      </c>
      <c r="N183" s="9">
        <f t="shared" ref="N183" si="29">M183+N178</f>
        <v>5.0844059999999995</v>
      </c>
      <c r="O183" s="9">
        <f t="shared" ref="O183" si="30">N183+O178</f>
        <v>5.0844059999999995</v>
      </c>
      <c r="P183" s="20">
        <f>SUMPRODUCT(D183:O183,D174:O174)/P174</f>
        <v>5.1318412180369615</v>
      </c>
      <c r="Q183" s="72">
        <f>P183*$P$155</f>
        <v>2.7469924945556969</v>
      </c>
    </row>
    <row r="184" spans="1:17">
      <c r="C184" s="87">
        <f>C183-'[5]CoGS Tracker Vap-D'!L353</f>
        <v>0</v>
      </c>
      <c r="D184" s="87">
        <f>D183-'[5]CoGS Tracker Vap-D'!M353</f>
        <v>0</v>
      </c>
      <c r="E184" s="87">
        <f>E183-'[5]CoGS Tracker Vap-D'!N353</f>
        <v>0</v>
      </c>
      <c r="F184" s="87">
        <f>F183-'[5]CoGS Tracker Vap-D'!O353</f>
        <v>0</v>
      </c>
      <c r="G184" s="87">
        <f>G183-'[5]CoGS Tracker Vap-D'!P353</f>
        <v>0</v>
      </c>
      <c r="H184" s="87">
        <f>H183-'[5]CoGS Tracker Vap-D'!Q353</f>
        <v>0</v>
      </c>
      <c r="I184" s="87">
        <f>I183-'[5]CoGS Tracker Vap-D'!R353</f>
        <v>0</v>
      </c>
      <c r="J184" s="87">
        <f>J183-'[5]CoGS Tracker Vap-D'!S353</f>
        <v>-1.2999800304998033E-3</v>
      </c>
      <c r="K184" s="87">
        <f>K183-'[5]CoGS Tracker Vap-D'!T353</f>
        <v>-1.2999800305006914E-3</v>
      </c>
      <c r="L184" s="87">
        <f>L183-'[5]CoGS Tracker Vap-D'!U353</f>
        <v>-1.2999800305006914E-3</v>
      </c>
      <c r="M184" s="87">
        <f>M183-'[5]CoGS Tracker Vap-D'!V353</f>
        <v>-1.2999800305006914E-3</v>
      </c>
      <c r="N184" s="87">
        <f>N183-'[5]CoGS Tracker Vap-D'!W353</f>
        <v>-1.2999800305006914E-3</v>
      </c>
      <c r="O184" s="87">
        <f>O183-'[5]CoGS Tracker Vap-D'!X353</f>
        <v>-1.2999800305006914E-3</v>
      </c>
      <c r="Q184" s="71"/>
    </row>
    <row r="185" spans="1:17">
      <c r="A185" s="49"/>
      <c r="B185" s="49" t="s">
        <v>221</v>
      </c>
      <c r="C185" s="50">
        <f>C183-C181</f>
        <v>0</v>
      </c>
      <c r="D185" s="50">
        <f t="shared" ref="D185:P185" si="31">D183-D181</f>
        <v>0</v>
      </c>
      <c r="E185" s="50">
        <f t="shared" si="31"/>
        <v>0</v>
      </c>
      <c r="F185" s="50">
        <f t="shared" si="31"/>
        <v>0</v>
      </c>
      <c r="G185" s="50">
        <f t="shared" si="31"/>
        <v>0</v>
      </c>
      <c r="H185" s="50">
        <f t="shared" si="31"/>
        <v>0</v>
      </c>
      <c r="I185" s="50">
        <f t="shared" si="31"/>
        <v>0</v>
      </c>
      <c r="J185" s="50">
        <f t="shared" si="31"/>
        <v>0</v>
      </c>
      <c r="K185" s="50">
        <f t="shared" si="31"/>
        <v>-0.13559400000000021</v>
      </c>
      <c r="L185" s="50">
        <f t="shared" si="31"/>
        <v>-0.13559400000000021</v>
      </c>
      <c r="M185" s="50">
        <f t="shared" si="31"/>
        <v>-0.13559400000000021</v>
      </c>
      <c r="N185" s="50">
        <f t="shared" si="31"/>
        <v>-0.13559400000000021</v>
      </c>
      <c r="O185" s="50">
        <f t="shared" si="31"/>
        <v>-0.13559400000000021</v>
      </c>
      <c r="P185" s="50">
        <f t="shared" si="31"/>
        <v>-8.815878196303828E-2</v>
      </c>
      <c r="Q185" s="73">
        <f>Q183-Q181</f>
        <v>-4.7189985444302973E-2</v>
      </c>
    </row>
    <row r="186" spans="1:17">
      <c r="A186" s="71"/>
      <c r="B186" s="71"/>
      <c r="C186" s="71"/>
      <c r="D186" s="71"/>
      <c r="E186" s="71"/>
      <c r="F186" s="71"/>
      <c r="G186" s="71"/>
      <c r="H186" s="71"/>
      <c r="I186" s="71"/>
      <c r="J186" s="71"/>
      <c r="K186" s="71"/>
      <c r="L186" s="71"/>
      <c r="M186" s="71"/>
      <c r="N186" s="71"/>
      <c r="O186" s="71"/>
      <c r="P186" s="71"/>
      <c r="Q186" s="71"/>
    </row>
  </sheetData>
  <phoneticPr fontId="57"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82F-50B0-4F65-BA6E-C539A19D7382}">
  <sheetPr>
    <tabColor theme="5" tint="-0.249977111117893"/>
  </sheetPr>
  <dimension ref="A1:X381"/>
  <sheetViews>
    <sheetView tabSelected="1" zoomScale="80" zoomScaleNormal="80" workbookViewId="0">
      <pane xSplit="2" ySplit="3" topLeftCell="C130" activePane="bottomRight" state="frozen"/>
      <selection pane="topRight" activeCell="C1" sqref="C1"/>
      <selection pane="bottomLeft" activeCell="A3" sqref="A3"/>
      <selection pane="bottomRight" activeCell="T157" sqref="T157"/>
    </sheetView>
  </sheetViews>
  <sheetFormatPr defaultRowHeight="14"/>
  <cols>
    <col min="1" max="1" width="24.4140625" customWidth="1"/>
    <col min="2" max="2" width="10" bestFit="1" customWidth="1"/>
    <col min="3" max="3" width="13.4140625" customWidth="1"/>
    <col min="4" max="4" width="66.9140625" customWidth="1"/>
    <col min="5" max="5" width="18" style="24" bestFit="1" customWidth="1"/>
    <col min="6" max="6" width="18" style="24" customWidth="1"/>
    <col min="7" max="7" width="13.4140625" customWidth="1"/>
    <col min="8" max="9" width="8.5" customWidth="1"/>
    <col min="10" max="10" width="9.5" customWidth="1"/>
    <col min="11" max="11" width="10" customWidth="1"/>
    <col min="12" max="12" width="10.4140625" bestFit="1" customWidth="1"/>
    <col min="13" max="13" width="9.5" bestFit="1" customWidth="1"/>
    <col min="14" max="14" width="10.75" bestFit="1" customWidth="1"/>
    <col min="15" max="19" width="9.5" bestFit="1" customWidth="1"/>
    <col min="24" max="24" width="10.1640625" bestFit="1" customWidth="1"/>
    <col min="26" max="26" width="9.5" bestFit="1" customWidth="1"/>
  </cols>
  <sheetData>
    <row r="1" spans="1:22" ht="14.5">
      <c r="U1" s="112">
        <v>8.81203</v>
      </c>
      <c r="V1" t="s">
        <v>159</v>
      </c>
    </row>
    <row r="2" spans="1:22" ht="14.5">
      <c r="G2" s="154" t="s">
        <v>11</v>
      </c>
      <c r="H2" s="154" t="s">
        <v>11</v>
      </c>
      <c r="I2" s="154" t="s">
        <v>11</v>
      </c>
      <c r="J2" s="154" t="s">
        <v>11</v>
      </c>
      <c r="K2" s="154" t="s">
        <v>11</v>
      </c>
      <c r="L2" s="154" t="s">
        <v>11</v>
      </c>
      <c r="M2" s="154" t="s">
        <v>11</v>
      </c>
      <c r="N2" s="154" t="s">
        <v>11</v>
      </c>
      <c r="O2" s="155" t="s">
        <v>12</v>
      </c>
      <c r="P2" s="155" t="s">
        <v>12</v>
      </c>
      <c r="Q2" s="155" t="s">
        <v>12</v>
      </c>
      <c r="R2" s="155" t="s">
        <v>12</v>
      </c>
      <c r="U2" s="112">
        <v>9.1977399999999996</v>
      </c>
      <c r="V2" t="s">
        <v>165</v>
      </c>
    </row>
    <row r="3" spans="1:22" s="152" customFormat="1">
      <c r="A3" s="150" t="s">
        <v>13</v>
      </c>
      <c r="B3" s="150" t="s">
        <v>224</v>
      </c>
      <c r="C3" s="151" t="s">
        <v>210</v>
      </c>
      <c r="D3" s="148"/>
      <c r="E3" s="148" t="s">
        <v>770</v>
      </c>
      <c r="F3" s="148" t="s">
        <v>771</v>
      </c>
      <c r="G3" s="149">
        <v>45536</v>
      </c>
      <c r="H3" s="149">
        <v>45566</v>
      </c>
      <c r="I3" s="149">
        <v>45597</v>
      </c>
      <c r="J3" s="149">
        <v>45627</v>
      </c>
      <c r="K3" s="149">
        <v>45658</v>
      </c>
      <c r="L3" s="149">
        <v>45689</v>
      </c>
      <c r="M3" s="149">
        <v>45717</v>
      </c>
      <c r="N3" s="149">
        <v>45748</v>
      </c>
      <c r="O3" s="149">
        <v>45778</v>
      </c>
      <c r="P3" s="149">
        <v>45809</v>
      </c>
      <c r="Q3" s="149">
        <v>45839</v>
      </c>
      <c r="R3" s="149">
        <v>45870</v>
      </c>
      <c r="S3" s="149">
        <v>45901</v>
      </c>
      <c r="T3" s="149">
        <v>45931</v>
      </c>
    </row>
    <row r="4" spans="1:22" s="152" customFormat="1">
      <c r="A4" s="148" t="s">
        <v>136</v>
      </c>
      <c r="B4" s="148" t="s">
        <v>225</v>
      </c>
      <c r="C4" s="151"/>
      <c r="D4" s="148"/>
      <c r="E4" s="148"/>
      <c r="F4" s="148"/>
      <c r="G4" s="199">
        <f>RCS!D11</f>
        <v>0.55577611083126977</v>
      </c>
      <c r="H4" s="199">
        <f>RCS!E11</f>
        <v>0.55577611083126977</v>
      </c>
      <c r="I4" s="199">
        <f>RCS!F11</f>
        <v>0.55577611083126977</v>
      </c>
      <c r="J4" s="199">
        <f>RCS!G11</f>
        <v>0.52268752018197762</v>
      </c>
      <c r="K4" s="199">
        <f>RCS!H11</f>
        <v>0.51406493789545937</v>
      </c>
      <c r="L4" s="199">
        <f>RCS!I11</f>
        <v>0.51406493789545937</v>
      </c>
      <c r="M4" s="199">
        <f>RCS!J11</f>
        <v>0.51406493789545937</v>
      </c>
      <c r="N4" s="199">
        <f>RCS!K11</f>
        <v>0.51406493789545937</v>
      </c>
      <c r="O4" s="199">
        <f>RCS!L11</f>
        <v>0.50645437269139837</v>
      </c>
      <c r="P4" s="199">
        <f>RCS!M11</f>
        <v>0.50645437269139837</v>
      </c>
      <c r="Q4" s="199">
        <f>RCS!N11</f>
        <v>0.49232046588385653</v>
      </c>
      <c r="R4" s="199">
        <f>RCS!O11</f>
        <v>0.49232046588385653</v>
      </c>
      <c r="S4" s="198"/>
      <c r="T4" s="198"/>
    </row>
    <row r="5" spans="1:22">
      <c r="A5" s="15" t="s">
        <v>136</v>
      </c>
      <c r="B5" s="12" t="s">
        <v>4</v>
      </c>
      <c r="C5" s="22" t="s">
        <v>226</v>
      </c>
      <c r="D5" s="21" t="s">
        <v>227</v>
      </c>
      <c r="E5" s="84" t="s">
        <v>389</v>
      </c>
      <c r="F5" s="84" t="s">
        <v>773</v>
      </c>
      <c r="G5" s="117">
        <v>-3.4490329146072841E-2</v>
      </c>
      <c r="H5" s="117">
        <v>0</v>
      </c>
      <c r="I5" s="117">
        <v>0</v>
      </c>
      <c r="J5" s="117">
        <v>0</v>
      </c>
      <c r="K5" s="117">
        <v>0</v>
      </c>
      <c r="L5" s="117">
        <v>0</v>
      </c>
      <c r="M5" s="117">
        <v>0</v>
      </c>
      <c r="N5" s="117">
        <v>0</v>
      </c>
      <c r="O5" s="117">
        <v>0</v>
      </c>
      <c r="P5" s="117">
        <v>0</v>
      </c>
      <c r="Q5" s="117">
        <v>0</v>
      </c>
      <c r="R5" s="118">
        <v>0</v>
      </c>
    </row>
    <row r="6" spans="1:22">
      <c r="A6" s="15" t="s">
        <v>136</v>
      </c>
      <c r="B6" s="12" t="s">
        <v>4</v>
      </c>
      <c r="C6" s="22" t="s">
        <v>228</v>
      </c>
      <c r="D6" s="21" t="s">
        <v>229</v>
      </c>
      <c r="E6" s="23" t="s">
        <v>145</v>
      </c>
      <c r="F6" s="23" t="s">
        <v>776</v>
      </c>
      <c r="G6" s="117">
        <v>-7.664517588016187E-3</v>
      </c>
      <c r="H6" s="117">
        <v>0</v>
      </c>
      <c r="I6" s="117">
        <v>0</v>
      </c>
      <c r="J6" s="117">
        <v>0</v>
      </c>
      <c r="K6" s="117">
        <v>0</v>
      </c>
      <c r="L6" s="117">
        <v>0</v>
      </c>
      <c r="M6" s="117">
        <v>0</v>
      </c>
      <c r="N6" s="117">
        <v>0</v>
      </c>
      <c r="O6" s="117">
        <v>0</v>
      </c>
      <c r="P6" s="117">
        <v>0</v>
      </c>
      <c r="Q6" s="117">
        <v>0</v>
      </c>
      <c r="R6" s="118">
        <v>0</v>
      </c>
    </row>
    <row r="7" spans="1:22">
      <c r="A7" s="15" t="s">
        <v>136</v>
      </c>
      <c r="B7" s="12" t="s">
        <v>4</v>
      </c>
      <c r="C7" s="22" t="s">
        <v>230</v>
      </c>
      <c r="D7" s="21" t="s">
        <v>231</v>
      </c>
      <c r="E7" s="23" t="s">
        <v>58</v>
      </c>
      <c r="F7" s="23" t="s">
        <v>775</v>
      </c>
      <c r="G7" s="117">
        <v>0</v>
      </c>
      <c r="H7" s="117">
        <v>0</v>
      </c>
      <c r="I7" s="117">
        <v>0</v>
      </c>
      <c r="J7" s="117">
        <v>-1.0872236005801426E-2</v>
      </c>
      <c r="K7" s="117">
        <v>0</v>
      </c>
      <c r="L7" s="117">
        <v>0</v>
      </c>
      <c r="M7" s="117">
        <v>0</v>
      </c>
      <c r="N7" s="117">
        <v>0</v>
      </c>
      <c r="O7" s="117">
        <v>0</v>
      </c>
      <c r="P7" s="117">
        <v>0</v>
      </c>
      <c r="Q7" s="117">
        <v>0</v>
      </c>
      <c r="R7" s="118">
        <v>0</v>
      </c>
    </row>
    <row r="8" spans="1:22">
      <c r="A8" s="15" t="s">
        <v>136</v>
      </c>
      <c r="B8" s="12" t="s">
        <v>4</v>
      </c>
      <c r="C8" s="22" t="s">
        <v>232</v>
      </c>
      <c r="D8" s="21" t="s">
        <v>233</v>
      </c>
      <c r="E8" s="23" t="s">
        <v>58</v>
      </c>
      <c r="F8" s="23" t="s">
        <v>775</v>
      </c>
      <c r="G8" s="117">
        <v>0</v>
      </c>
      <c r="H8" s="117">
        <v>0</v>
      </c>
      <c r="I8" s="117">
        <v>0</v>
      </c>
      <c r="J8" s="117">
        <v>0</v>
      </c>
      <c r="K8" s="117">
        <v>0</v>
      </c>
      <c r="L8" s="117">
        <v>0</v>
      </c>
      <c r="M8" s="117">
        <v>0</v>
      </c>
      <c r="N8" s="117">
        <v>0</v>
      </c>
      <c r="O8" s="117">
        <v>0</v>
      </c>
      <c r="P8" s="117">
        <v>0</v>
      </c>
      <c r="Q8" s="117">
        <v>-1.4133906807541854E-2</v>
      </c>
      <c r="R8" s="118">
        <v>0</v>
      </c>
    </row>
    <row r="9" spans="1:22">
      <c r="A9" s="15" t="s">
        <v>136</v>
      </c>
      <c r="B9" s="12" t="s">
        <v>4</v>
      </c>
      <c r="C9" s="22" t="s">
        <v>234</v>
      </c>
      <c r="D9" s="21" t="s">
        <v>235</v>
      </c>
      <c r="E9" s="23" t="s">
        <v>145</v>
      </c>
      <c r="F9" s="23" t="s">
        <v>776</v>
      </c>
      <c r="G9" s="117">
        <v>0</v>
      </c>
      <c r="H9" s="117">
        <v>0</v>
      </c>
      <c r="I9" s="117">
        <v>0</v>
      </c>
      <c r="J9" s="117">
        <v>0</v>
      </c>
      <c r="K9" s="117">
        <v>0</v>
      </c>
      <c r="L9" s="117">
        <v>0</v>
      </c>
      <c r="M9" s="117">
        <v>0</v>
      </c>
      <c r="N9" s="117">
        <v>0</v>
      </c>
      <c r="O9" s="117">
        <v>-7.6105652040609987E-3</v>
      </c>
      <c r="P9" s="117">
        <v>0</v>
      </c>
      <c r="Q9" s="117">
        <v>0</v>
      </c>
      <c r="R9" s="118">
        <v>0</v>
      </c>
    </row>
    <row r="10" spans="1:22">
      <c r="A10" s="15" t="s">
        <v>136</v>
      </c>
      <c r="B10" s="12" t="s">
        <v>4</v>
      </c>
      <c r="C10" s="22" t="s">
        <v>236</v>
      </c>
      <c r="D10" s="21" t="s">
        <v>237</v>
      </c>
      <c r="E10" s="23" t="s">
        <v>142</v>
      </c>
      <c r="F10" s="23" t="s">
        <v>529</v>
      </c>
      <c r="G10" s="339">
        <v>-1.441658494369269E-2</v>
      </c>
      <c r="H10" s="117">
        <v>0</v>
      </c>
      <c r="I10" s="117">
        <v>0</v>
      </c>
      <c r="J10" s="117">
        <v>0</v>
      </c>
      <c r="K10" s="117">
        <v>0</v>
      </c>
      <c r="L10" s="117">
        <v>0</v>
      </c>
      <c r="M10" s="117">
        <v>0</v>
      </c>
      <c r="N10" s="117">
        <v>0</v>
      </c>
      <c r="O10" s="117">
        <v>0</v>
      </c>
      <c r="P10" s="117">
        <v>0</v>
      </c>
      <c r="Q10" s="117">
        <v>0</v>
      </c>
      <c r="R10" s="118">
        <v>0</v>
      </c>
    </row>
    <row r="11" spans="1:22">
      <c r="A11" s="15" t="s">
        <v>136</v>
      </c>
      <c r="B11" s="12" t="s">
        <v>4</v>
      </c>
      <c r="C11" s="22" t="s">
        <v>238</v>
      </c>
      <c r="D11" s="83" t="s">
        <v>239</v>
      </c>
      <c r="E11" s="23" t="s">
        <v>772</v>
      </c>
      <c r="F11" s="23" t="s">
        <v>777</v>
      </c>
      <c r="G11" s="117">
        <v>0</v>
      </c>
      <c r="H11" s="117">
        <v>0</v>
      </c>
      <c r="I11" s="117">
        <v>0</v>
      </c>
      <c r="J11" s="134">
        <v>-7.8035676558192895E-3</v>
      </c>
      <c r="K11" s="117">
        <v>0</v>
      </c>
      <c r="L11" s="117">
        <v>0</v>
      </c>
      <c r="M11" s="117">
        <v>0</v>
      </c>
      <c r="N11" s="117">
        <v>0</v>
      </c>
      <c r="O11" s="117">
        <v>0</v>
      </c>
      <c r="P11" s="117">
        <v>0</v>
      </c>
      <c r="Q11" s="117">
        <v>0</v>
      </c>
      <c r="R11" s="118">
        <v>0</v>
      </c>
    </row>
    <row r="12" spans="1:22">
      <c r="A12" s="15" t="s">
        <v>136</v>
      </c>
      <c r="B12" s="12" t="s">
        <v>4</v>
      </c>
      <c r="C12" s="22" t="s">
        <v>240</v>
      </c>
      <c r="D12" s="83" t="s">
        <v>241</v>
      </c>
      <c r="E12" s="23" t="s">
        <v>142</v>
      </c>
      <c r="F12" s="23" t="s">
        <v>529</v>
      </c>
      <c r="G12" s="117">
        <v>0</v>
      </c>
      <c r="H12" s="117">
        <v>0</v>
      </c>
      <c r="I12" s="117">
        <v>0</v>
      </c>
      <c r="J12" s="336">
        <v>-1.4412786987671428E-2</v>
      </c>
      <c r="K12" s="117">
        <v>0</v>
      </c>
      <c r="L12" s="117">
        <v>0</v>
      </c>
      <c r="M12" s="117">
        <v>0</v>
      </c>
      <c r="N12" s="117">
        <v>0</v>
      </c>
      <c r="O12" s="117">
        <v>0</v>
      </c>
      <c r="P12" s="117">
        <v>0</v>
      </c>
      <c r="Q12" s="117">
        <v>0</v>
      </c>
      <c r="R12" s="118">
        <v>0</v>
      </c>
    </row>
    <row r="13" spans="1:22">
      <c r="A13" s="15" t="s">
        <v>136</v>
      </c>
      <c r="B13" s="12" t="s">
        <v>4</v>
      </c>
      <c r="C13" s="22" t="s">
        <v>242</v>
      </c>
      <c r="D13" s="83" t="s">
        <v>243</v>
      </c>
      <c r="E13" s="23" t="s">
        <v>140</v>
      </c>
      <c r="F13" s="23" t="s">
        <v>778</v>
      </c>
      <c r="G13" s="119">
        <v>0</v>
      </c>
      <c r="H13" s="119">
        <v>0</v>
      </c>
      <c r="I13" s="119">
        <v>0</v>
      </c>
      <c r="J13" s="119">
        <v>0</v>
      </c>
      <c r="K13" s="336">
        <v>-5.7483881910121411E-3</v>
      </c>
      <c r="L13" s="119">
        <v>0</v>
      </c>
      <c r="M13" s="119">
        <v>0</v>
      </c>
      <c r="N13" s="119">
        <v>0</v>
      </c>
      <c r="O13" s="119">
        <v>0</v>
      </c>
      <c r="P13" s="119">
        <v>0</v>
      </c>
      <c r="Q13" s="119">
        <v>0</v>
      </c>
      <c r="R13" s="118">
        <v>0</v>
      </c>
    </row>
    <row r="14" spans="1:22">
      <c r="A14" s="15" t="s">
        <v>136</v>
      </c>
      <c r="B14" s="12" t="s">
        <v>4</v>
      </c>
      <c r="C14" s="28" t="s">
        <v>22</v>
      </c>
      <c r="D14" s="6" t="s">
        <v>244</v>
      </c>
      <c r="E14" s="7" t="s">
        <v>772</v>
      </c>
      <c r="F14" s="7" t="s">
        <v>777</v>
      </c>
      <c r="G14" s="45">
        <v>9.3313908131545961E-4</v>
      </c>
      <c r="H14" s="119">
        <v>0</v>
      </c>
      <c r="I14" s="119">
        <v>0</v>
      </c>
      <c r="J14" s="119">
        <v>0</v>
      </c>
      <c r="K14" s="119">
        <v>0</v>
      </c>
      <c r="L14" s="119">
        <v>0</v>
      </c>
      <c r="M14" s="119">
        <v>0</v>
      </c>
      <c r="N14" s="119">
        <v>0</v>
      </c>
      <c r="O14" s="119">
        <v>0</v>
      </c>
      <c r="P14" s="119">
        <v>0</v>
      </c>
      <c r="Q14" s="119">
        <v>0</v>
      </c>
      <c r="R14" s="118">
        <v>0</v>
      </c>
    </row>
    <row r="15" spans="1:22">
      <c r="A15" s="15" t="s">
        <v>136</v>
      </c>
      <c r="B15" s="12" t="s">
        <v>4</v>
      </c>
      <c r="C15" s="28" t="s">
        <v>22</v>
      </c>
      <c r="D15" s="6" t="s">
        <v>245</v>
      </c>
      <c r="E15" s="7" t="s">
        <v>145</v>
      </c>
      <c r="F15" s="7" t="s">
        <v>776</v>
      </c>
      <c r="G15" s="45">
        <v>0</v>
      </c>
      <c r="H15" s="119">
        <v>0</v>
      </c>
      <c r="I15" s="119">
        <v>0</v>
      </c>
      <c r="J15" s="119">
        <v>0</v>
      </c>
      <c r="K15" s="119">
        <v>0</v>
      </c>
      <c r="L15" s="119">
        <v>0</v>
      </c>
      <c r="M15" s="119">
        <v>0</v>
      </c>
      <c r="N15" s="119">
        <v>0</v>
      </c>
      <c r="O15" s="119">
        <v>0</v>
      </c>
      <c r="P15" s="119">
        <v>0</v>
      </c>
      <c r="Q15" s="119">
        <v>0</v>
      </c>
      <c r="R15" s="118">
        <v>0</v>
      </c>
    </row>
    <row r="16" spans="1:22">
      <c r="A16" s="15" t="s">
        <v>136</v>
      </c>
      <c r="B16" s="12" t="s">
        <v>4</v>
      </c>
      <c r="C16" s="28" t="s">
        <v>22</v>
      </c>
      <c r="D16" s="6" t="s">
        <v>246</v>
      </c>
      <c r="E16" s="7" t="s">
        <v>140</v>
      </c>
      <c r="F16" s="7" t="s">
        <v>778</v>
      </c>
      <c r="G16" s="45">
        <v>6.6821004829973609E-4</v>
      </c>
      <c r="H16" s="119">
        <v>0</v>
      </c>
      <c r="I16" s="119">
        <v>0</v>
      </c>
      <c r="J16" s="119">
        <v>0</v>
      </c>
      <c r="K16" s="119">
        <v>0</v>
      </c>
      <c r="L16" s="119">
        <v>0</v>
      </c>
      <c r="M16" s="119">
        <v>0</v>
      </c>
      <c r="N16" s="119">
        <v>0</v>
      </c>
      <c r="O16" s="119">
        <v>0</v>
      </c>
      <c r="P16" s="119">
        <v>0</v>
      </c>
      <c r="Q16" s="119">
        <v>0</v>
      </c>
      <c r="R16" s="118">
        <v>0</v>
      </c>
    </row>
    <row r="17" spans="1:22">
      <c r="A17" s="15" t="s">
        <v>136</v>
      </c>
      <c r="B17" s="12" t="s">
        <v>4</v>
      </c>
      <c r="C17" s="28" t="s">
        <v>22</v>
      </c>
      <c r="D17" s="6" t="s">
        <v>247</v>
      </c>
      <c r="E17" s="7" t="s">
        <v>142</v>
      </c>
      <c r="F17" s="7" t="s">
        <v>529</v>
      </c>
      <c r="G17" s="45">
        <v>1.1934616816435047E-3</v>
      </c>
      <c r="H17" s="119">
        <v>0</v>
      </c>
      <c r="I17" s="119">
        <v>0</v>
      </c>
      <c r="J17" s="119">
        <v>0</v>
      </c>
      <c r="K17" s="119">
        <v>0</v>
      </c>
      <c r="L17" s="119">
        <v>0</v>
      </c>
      <c r="M17" s="119">
        <v>0</v>
      </c>
      <c r="N17" s="119">
        <v>0</v>
      </c>
      <c r="O17" s="119">
        <v>0</v>
      </c>
      <c r="P17" s="119">
        <v>0</v>
      </c>
      <c r="Q17" s="119">
        <v>0</v>
      </c>
      <c r="R17" s="118">
        <v>0</v>
      </c>
    </row>
    <row r="18" spans="1:22">
      <c r="A18" s="15" t="s">
        <v>136</v>
      </c>
      <c r="B18" s="12" t="s">
        <v>4</v>
      </c>
      <c r="C18" s="28" t="s">
        <v>22</v>
      </c>
      <c r="D18" s="6" t="s">
        <v>248</v>
      </c>
      <c r="E18" s="7" t="s">
        <v>58</v>
      </c>
      <c r="F18" s="7" t="s">
        <v>775</v>
      </c>
      <c r="G18" s="45">
        <v>7.4661423654531376E-3</v>
      </c>
      <c r="H18" s="119">
        <v>0</v>
      </c>
      <c r="I18" s="119">
        <v>0</v>
      </c>
      <c r="J18" s="119">
        <v>0</v>
      </c>
      <c r="K18" s="119">
        <v>0</v>
      </c>
      <c r="L18" s="119">
        <v>0</v>
      </c>
      <c r="M18" s="119">
        <v>0</v>
      </c>
      <c r="N18" s="119">
        <v>0</v>
      </c>
      <c r="O18" s="119">
        <v>0</v>
      </c>
      <c r="P18" s="119">
        <v>0</v>
      </c>
      <c r="Q18" s="119">
        <v>0</v>
      </c>
      <c r="R18" s="118">
        <v>0</v>
      </c>
    </row>
    <row r="19" spans="1:22" s="10" customFormat="1">
      <c r="A19" s="19" t="s">
        <v>136</v>
      </c>
      <c r="B19" s="18" t="s">
        <v>4</v>
      </c>
      <c r="C19" s="25" t="s">
        <v>249</v>
      </c>
      <c r="D19" s="147" t="s">
        <v>250</v>
      </c>
      <c r="E19" s="27" t="s">
        <v>142</v>
      </c>
      <c r="F19" s="27" t="s">
        <v>529</v>
      </c>
      <c r="G19" s="120">
        <v>0</v>
      </c>
      <c r="H19" s="120">
        <v>0</v>
      </c>
      <c r="I19" s="120">
        <v>0</v>
      </c>
      <c r="J19" s="120">
        <v>0</v>
      </c>
      <c r="K19" s="337">
        <v>-2.8741940955060706E-3</v>
      </c>
      <c r="L19" s="120">
        <v>0</v>
      </c>
      <c r="M19" s="120">
        <v>0</v>
      </c>
      <c r="N19" s="120">
        <v>0</v>
      </c>
      <c r="O19" s="120">
        <v>0</v>
      </c>
      <c r="P19" s="120">
        <v>0</v>
      </c>
      <c r="Q19" s="120">
        <v>0</v>
      </c>
      <c r="R19" s="122">
        <v>0</v>
      </c>
    </row>
    <row r="20" spans="1:22">
      <c r="A20" s="200" t="s">
        <v>136</v>
      </c>
      <c r="B20" s="200" t="s">
        <v>251</v>
      </c>
      <c r="C20" s="200"/>
      <c r="D20" s="200"/>
      <c r="E20" s="200"/>
      <c r="F20" s="200"/>
      <c r="G20" s="210">
        <f>RCS!D13</f>
        <v>0.54099879454490885</v>
      </c>
      <c r="H20" s="210">
        <f>RCS!E13</f>
        <v>0.53844098746437141</v>
      </c>
      <c r="I20" s="210">
        <f>RCS!F13</f>
        <v>0.53844098746437141</v>
      </c>
      <c r="J20" s="210">
        <f>RCS!G13</f>
        <v>0.52756875145856963</v>
      </c>
      <c r="K20" s="210">
        <f>RCS!H13</f>
        <v>0.52525294305807435</v>
      </c>
      <c r="L20" s="210">
        <f>RCS!I13</f>
        <v>0.52342840162729509</v>
      </c>
      <c r="M20" s="433">
        <f>RCS!J13</f>
        <v>0.50845149215309959</v>
      </c>
      <c r="N20" s="210">
        <f>RCS!K13</f>
        <v>0.50718860559701084</v>
      </c>
      <c r="O20" s="210">
        <f>RCS!L13</f>
        <v>0.49557804039294984</v>
      </c>
      <c r="P20" s="210">
        <f>RCS!M13</f>
        <v>0.49757172507276798</v>
      </c>
      <c r="Q20" s="210">
        <f>RCS!N13</f>
        <v>0.49989331637929663</v>
      </c>
      <c r="R20" s="210">
        <f>RCS!O13</f>
        <v>0.49989331637929663</v>
      </c>
      <c r="T20" s="432"/>
    </row>
    <row r="21" spans="1:22">
      <c r="A21" s="15" t="s">
        <v>136</v>
      </c>
      <c r="B21" s="13" t="s">
        <v>5</v>
      </c>
      <c r="C21" s="29" t="s">
        <v>226</v>
      </c>
      <c r="D21" s="30" t="s">
        <v>227</v>
      </c>
      <c r="E21" s="320" t="s">
        <v>389</v>
      </c>
      <c r="F21" s="320" t="s">
        <v>773</v>
      </c>
      <c r="G21" s="43">
        <v>-3.4490329146072841E-2</v>
      </c>
      <c r="H21" s="43"/>
      <c r="I21" s="43"/>
      <c r="J21" s="43"/>
      <c r="K21" s="43"/>
      <c r="L21" s="43"/>
      <c r="M21" s="237"/>
      <c r="N21" s="43"/>
      <c r="O21" s="43"/>
      <c r="P21" s="43"/>
      <c r="Q21" s="43"/>
      <c r="R21" s="43"/>
    </row>
    <row r="22" spans="1:22">
      <c r="A22" s="15" t="s">
        <v>136</v>
      </c>
      <c r="B22" s="13" t="s">
        <v>5</v>
      </c>
      <c r="C22" s="29" t="s">
        <v>228</v>
      </c>
      <c r="D22" s="30" t="s">
        <v>229</v>
      </c>
      <c r="E22" s="29" t="s">
        <v>145</v>
      </c>
      <c r="F22" s="29" t="s">
        <v>776</v>
      </c>
      <c r="G22" s="43">
        <v>-7.6105652040609787E-3</v>
      </c>
      <c r="H22" s="43"/>
      <c r="I22" s="43"/>
      <c r="J22" s="43"/>
      <c r="K22" s="43"/>
      <c r="L22" s="43"/>
      <c r="M22" s="237"/>
      <c r="N22" s="43"/>
      <c r="O22" s="43"/>
      <c r="P22" s="43"/>
      <c r="Q22" s="43"/>
      <c r="R22" s="43"/>
    </row>
    <row r="23" spans="1:22">
      <c r="A23" s="15" t="s">
        <v>136</v>
      </c>
      <c r="B23" s="13" t="s">
        <v>5</v>
      </c>
      <c r="C23" s="29" t="s">
        <v>230</v>
      </c>
      <c r="D23" s="30" t="s">
        <v>231</v>
      </c>
      <c r="E23" s="34" t="s">
        <v>58</v>
      </c>
      <c r="F23" s="34" t="s">
        <v>775</v>
      </c>
      <c r="G23" s="32"/>
      <c r="H23" s="32"/>
      <c r="I23" s="43"/>
      <c r="J23" s="43">
        <v>-1.0872236005801821E-2</v>
      </c>
      <c r="K23" s="43"/>
      <c r="L23" s="43"/>
      <c r="M23" s="237"/>
      <c r="N23" s="43"/>
      <c r="O23" s="43"/>
      <c r="P23" s="43"/>
      <c r="Q23" s="43"/>
      <c r="R23" s="43"/>
    </row>
    <row r="24" spans="1:22">
      <c r="A24" s="15" t="s">
        <v>136</v>
      </c>
      <c r="B24" s="13" t="s">
        <v>5</v>
      </c>
      <c r="C24" s="436" t="s">
        <v>768</v>
      </c>
      <c r="D24" s="30" t="s">
        <v>233</v>
      </c>
      <c r="E24" s="34" t="s">
        <v>58</v>
      </c>
      <c r="F24" s="34" t="s">
        <v>774</v>
      </c>
      <c r="G24" s="43"/>
      <c r="H24" s="43"/>
      <c r="I24" s="43"/>
      <c r="J24" s="43"/>
      <c r="K24" s="43"/>
      <c r="L24" s="43"/>
      <c r="M24" s="438">
        <v>-1.4133906807541815E-2</v>
      </c>
      <c r="N24" s="43"/>
      <c r="O24" s="43"/>
      <c r="P24" s="437"/>
      <c r="Q24" s="43"/>
      <c r="R24" s="43"/>
    </row>
    <row r="25" spans="1:22">
      <c r="A25" s="15" t="s">
        <v>136</v>
      </c>
      <c r="B25" s="13" t="s">
        <v>5</v>
      </c>
      <c r="C25" s="29" t="s">
        <v>234</v>
      </c>
      <c r="D25" s="30" t="s">
        <v>235</v>
      </c>
      <c r="E25" s="34" t="s">
        <v>145</v>
      </c>
      <c r="F25" s="29" t="s">
        <v>776</v>
      </c>
      <c r="G25" s="43"/>
      <c r="H25" s="43"/>
      <c r="I25" s="43"/>
      <c r="J25" s="43"/>
      <c r="K25" s="43"/>
      <c r="L25" s="43"/>
      <c r="M25" s="237"/>
      <c r="N25" s="43"/>
      <c r="O25" s="43">
        <v>-7.6105652040609987E-3</v>
      </c>
      <c r="P25" s="43"/>
      <c r="Q25" s="43"/>
      <c r="R25" s="43"/>
    </row>
    <row r="26" spans="1:22">
      <c r="A26" s="15" t="s">
        <v>136</v>
      </c>
      <c r="B26" s="13" t="s">
        <v>5</v>
      </c>
      <c r="C26" s="31" t="s">
        <v>252</v>
      </c>
      <c r="D26" s="30" t="s">
        <v>253</v>
      </c>
      <c r="E26" s="34" t="s">
        <v>58</v>
      </c>
      <c r="F26" s="34" t="s">
        <v>416</v>
      </c>
      <c r="G26" s="43">
        <v>-1.5728016059814326E-5</v>
      </c>
      <c r="H26" s="43">
        <v>1.8452930381811057E-6</v>
      </c>
      <c r="I26" s="43"/>
      <c r="J26" s="43"/>
      <c r="K26" s="43">
        <v>-8.8817841970012523E-16</v>
      </c>
      <c r="L26" s="406">
        <v>-1.6569358058740531E-5</v>
      </c>
      <c r="M26" s="237"/>
      <c r="N26" s="43"/>
      <c r="O26" s="43"/>
      <c r="P26" s="43"/>
      <c r="Q26" s="43"/>
      <c r="R26" s="43"/>
    </row>
    <row r="27" spans="1:22">
      <c r="A27" s="15" t="s">
        <v>136</v>
      </c>
      <c r="B27" s="13" t="s">
        <v>5</v>
      </c>
      <c r="C27" s="29" t="s">
        <v>236</v>
      </c>
      <c r="D27" s="30" t="s">
        <v>237</v>
      </c>
      <c r="E27" s="34" t="s">
        <v>142</v>
      </c>
      <c r="F27" s="34" t="s">
        <v>529</v>
      </c>
      <c r="G27" s="43"/>
      <c r="H27" s="43"/>
      <c r="I27" s="43"/>
      <c r="J27" s="43"/>
      <c r="K27" s="43"/>
      <c r="L27" s="229"/>
      <c r="M27" s="237"/>
      <c r="N27" s="43"/>
      <c r="O27" s="43"/>
      <c r="P27" s="43"/>
      <c r="Q27" s="43"/>
      <c r="R27" s="43"/>
    </row>
    <row r="28" spans="1:22">
      <c r="A28" s="15" t="s">
        <v>136</v>
      </c>
      <c r="B28" s="13" t="s">
        <v>5</v>
      </c>
      <c r="C28" s="29" t="s">
        <v>254</v>
      </c>
      <c r="D28" s="30" t="s">
        <v>255</v>
      </c>
      <c r="E28" s="34" t="s">
        <v>772</v>
      </c>
      <c r="F28" s="34" t="s">
        <v>779</v>
      </c>
      <c r="G28" s="43"/>
      <c r="H28" s="43"/>
      <c r="I28" s="43"/>
      <c r="J28" s="43"/>
      <c r="K28" s="43">
        <v>-9.3055467973654179E-4</v>
      </c>
      <c r="L28" s="229"/>
      <c r="M28" s="237"/>
      <c r="N28" s="43"/>
      <c r="O28" s="43"/>
      <c r="P28" s="43"/>
      <c r="Q28" s="43"/>
      <c r="R28" s="43"/>
    </row>
    <row r="29" spans="1:22">
      <c r="A29" s="15" t="s">
        <v>136</v>
      </c>
      <c r="B29" s="13" t="s">
        <v>5</v>
      </c>
      <c r="C29" s="44" t="s">
        <v>22</v>
      </c>
      <c r="D29" s="44" t="s">
        <v>244</v>
      </c>
      <c r="E29" s="28" t="s">
        <v>772</v>
      </c>
      <c r="F29" s="28" t="s">
        <v>777</v>
      </c>
      <c r="G29" s="32"/>
      <c r="H29" s="32"/>
      <c r="I29" s="43"/>
      <c r="J29" s="43"/>
      <c r="K29" s="43"/>
      <c r="L29" s="229"/>
      <c r="M29" s="237"/>
      <c r="N29" s="423"/>
      <c r="O29" s="43"/>
      <c r="P29" s="43"/>
      <c r="Q29" s="425">
        <v>8.8346407176706011E-4</v>
      </c>
      <c r="R29" s="43"/>
    </row>
    <row r="30" spans="1:22">
      <c r="A30" s="15" t="s">
        <v>136</v>
      </c>
      <c r="B30" s="13" t="s">
        <v>5</v>
      </c>
      <c r="C30" s="44" t="s">
        <v>22</v>
      </c>
      <c r="D30" s="44" t="s">
        <v>245</v>
      </c>
      <c r="E30" s="28" t="s">
        <v>145</v>
      </c>
      <c r="F30" s="28" t="s">
        <v>776</v>
      </c>
      <c r="G30" s="32"/>
      <c r="H30" s="32"/>
      <c r="I30" s="43"/>
      <c r="J30" s="43"/>
      <c r="K30" s="43"/>
      <c r="L30" s="229"/>
      <c r="M30" s="237"/>
      <c r="N30" s="423"/>
      <c r="O30" s="43"/>
      <c r="P30" s="43"/>
      <c r="Q30" s="425">
        <v>0</v>
      </c>
      <c r="R30" s="43"/>
      <c r="T30">
        <v>0.05</v>
      </c>
      <c r="V30">
        <f>T30/9.124</f>
        <v>5.4800526085050415E-3</v>
      </c>
    </row>
    <row r="31" spans="1:22">
      <c r="A31" s="15" t="s">
        <v>136</v>
      </c>
      <c r="B31" s="13" t="s">
        <v>5</v>
      </c>
      <c r="C31" s="44" t="s">
        <v>22</v>
      </c>
      <c r="D31" s="44" t="s">
        <v>246</v>
      </c>
      <c r="E31" s="28" t="s">
        <v>140</v>
      </c>
      <c r="F31" s="7" t="s">
        <v>778</v>
      </c>
      <c r="G31" s="32"/>
      <c r="H31" s="32"/>
      <c r="I31" s="43"/>
      <c r="J31" s="43"/>
      <c r="K31" s="43"/>
      <c r="L31" s="229"/>
      <c r="M31" s="237"/>
      <c r="N31" s="423"/>
      <c r="O31" s="43"/>
      <c r="P31" s="43"/>
      <c r="Q31" s="424"/>
      <c r="R31" s="43"/>
    </row>
    <row r="32" spans="1:22">
      <c r="A32" s="15" t="s">
        <v>136</v>
      </c>
      <c r="B32" s="13" t="s">
        <v>5</v>
      </c>
      <c r="C32" s="44" t="s">
        <v>22</v>
      </c>
      <c r="D32" s="44" t="s">
        <v>247</v>
      </c>
      <c r="E32" s="28" t="s">
        <v>142</v>
      </c>
      <c r="F32" s="28" t="s">
        <v>529</v>
      </c>
      <c r="G32" s="32"/>
      <c r="H32" s="32"/>
      <c r="I32" s="43"/>
      <c r="J32" s="43"/>
      <c r="K32" s="43"/>
      <c r="L32" s="229"/>
      <c r="M32" s="237"/>
      <c r="N32" s="423"/>
      <c r="O32" s="43"/>
      <c r="P32" s="43"/>
      <c r="Q32" s="425">
        <v>1.4381272347616144E-3</v>
      </c>
      <c r="R32" s="43"/>
    </row>
    <row r="33" spans="1:18">
      <c r="A33" s="15" t="s">
        <v>136</v>
      </c>
      <c r="B33" s="13" t="s">
        <v>5</v>
      </c>
      <c r="C33" s="44" t="s">
        <v>22</v>
      </c>
      <c r="D33" s="44" t="s">
        <v>248</v>
      </c>
      <c r="E33" s="28" t="s">
        <v>58</v>
      </c>
      <c r="F33" s="28" t="s">
        <v>775</v>
      </c>
      <c r="G33" s="32"/>
      <c r="H33" s="32"/>
      <c r="I33" s="43"/>
      <c r="J33" s="43"/>
      <c r="K33" s="43"/>
      <c r="L33" s="229"/>
      <c r="M33" s="237"/>
      <c r="N33" s="43"/>
      <c r="O33" s="43"/>
      <c r="P33" s="45">
        <v>1.9936846798181483E-3</v>
      </c>
      <c r="Q33" s="43"/>
      <c r="R33" s="43"/>
    </row>
    <row r="34" spans="1:18">
      <c r="A34" s="15" t="s">
        <v>136</v>
      </c>
      <c r="B34" s="13" t="s">
        <v>5</v>
      </c>
      <c r="C34" s="31" t="s">
        <v>256</v>
      </c>
      <c r="D34" s="31" t="s">
        <v>257</v>
      </c>
      <c r="E34" s="29" t="s">
        <v>772</v>
      </c>
      <c r="F34" s="29" t="s">
        <v>777</v>
      </c>
      <c r="G34" s="32"/>
      <c r="H34" s="32"/>
      <c r="I34" s="43"/>
      <c r="J34" s="43"/>
      <c r="K34" s="43">
        <v>-1.0872236005800672E-3</v>
      </c>
      <c r="L34" s="229"/>
      <c r="M34" s="237"/>
      <c r="N34" s="43"/>
      <c r="O34" s="43"/>
      <c r="P34" s="43"/>
      <c r="Q34" s="43"/>
      <c r="R34" s="43"/>
    </row>
    <row r="35" spans="1:18">
      <c r="A35" s="15" t="s">
        <v>136</v>
      </c>
      <c r="B35" s="13" t="s">
        <v>5</v>
      </c>
      <c r="C35" s="31" t="s">
        <v>258</v>
      </c>
      <c r="D35" s="31" t="s">
        <v>259</v>
      </c>
      <c r="E35" s="29" t="s">
        <v>140</v>
      </c>
      <c r="F35" s="29" t="s">
        <v>778</v>
      </c>
      <c r="G35" s="32"/>
      <c r="H35" s="32"/>
      <c r="I35" s="43"/>
      <c r="J35" s="43"/>
      <c r="K35" s="43">
        <v>-2.9803012017773166E-4</v>
      </c>
      <c r="L35" s="229"/>
      <c r="M35" s="237"/>
      <c r="N35" s="43"/>
      <c r="O35" s="43"/>
      <c r="P35" s="43"/>
      <c r="Q35" s="43"/>
      <c r="R35" s="43"/>
    </row>
    <row r="36" spans="1:18">
      <c r="A36" s="15" t="s">
        <v>136</v>
      </c>
      <c r="B36" s="13" t="s">
        <v>5</v>
      </c>
      <c r="C36" s="31" t="s">
        <v>260</v>
      </c>
      <c r="D36" s="31" t="s">
        <v>261</v>
      </c>
      <c r="E36" s="29" t="s">
        <v>142</v>
      </c>
      <c r="F36" s="29" t="s">
        <v>529</v>
      </c>
      <c r="G36" s="32"/>
      <c r="H36" s="338">
        <v>-1.5911502152904044E-3</v>
      </c>
      <c r="I36" s="43"/>
      <c r="J36" s="43"/>
      <c r="K36" s="43"/>
      <c r="L36" s="229"/>
      <c r="M36" s="237"/>
      <c r="N36" s="43"/>
      <c r="O36" s="43"/>
      <c r="P36" s="43"/>
      <c r="Q36" s="43"/>
      <c r="R36" s="43"/>
    </row>
    <row r="37" spans="1:18">
      <c r="A37" s="15" t="s">
        <v>136</v>
      </c>
      <c r="B37" s="13" t="s">
        <v>5</v>
      </c>
      <c r="C37" s="31" t="s">
        <v>262</v>
      </c>
      <c r="D37" s="31" t="s">
        <v>263</v>
      </c>
      <c r="E37" s="29" t="s">
        <v>772</v>
      </c>
      <c r="F37" s="29" t="s">
        <v>777</v>
      </c>
      <c r="G37" s="32">
        <v>-7.8640080299076723E-4</v>
      </c>
      <c r="H37" s="32"/>
      <c r="I37" s="43"/>
      <c r="J37" s="43"/>
      <c r="K37" s="43"/>
      <c r="L37" s="229"/>
      <c r="M37" s="237"/>
      <c r="N37" s="43"/>
      <c r="O37" s="43"/>
      <c r="P37" s="43"/>
      <c r="Q37" s="43"/>
      <c r="R37" s="43"/>
    </row>
    <row r="38" spans="1:18">
      <c r="A38" s="15" t="s">
        <v>136</v>
      </c>
      <c r="B38" s="13" t="s">
        <v>5</v>
      </c>
      <c r="C38" s="31" t="s">
        <v>264</v>
      </c>
      <c r="D38" s="31" t="s">
        <v>265</v>
      </c>
      <c r="E38" s="29" t="s">
        <v>772</v>
      </c>
      <c r="F38" s="29" t="s">
        <v>777</v>
      </c>
      <c r="G38" s="32"/>
      <c r="H38" s="32">
        <v>9.2312092747229139E-4</v>
      </c>
      <c r="I38" s="43"/>
      <c r="J38" s="43"/>
      <c r="K38" s="43"/>
      <c r="L38" s="229"/>
      <c r="M38" s="237"/>
      <c r="N38" s="43"/>
      <c r="O38" s="43"/>
      <c r="P38" s="43"/>
      <c r="Q38" s="43"/>
      <c r="R38" s="43"/>
    </row>
    <row r="39" spans="1:18">
      <c r="A39" s="15" t="s">
        <v>136</v>
      </c>
      <c r="B39" s="13" t="s">
        <v>5</v>
      </c>
      <c r="C39" s="31" t="s">
        <v>266</v>
      </c>
      <c r="D39" s="31" t="s">
        <v>267</v>
      </c>
      <c r="E39" s="29" t="s">
        <v>772</v>
      </c>
      <c r="F39" s="29" t="s">
        <v>780</v>
      </c>
      <c r="G39" s="32"/>
      <c r="H39" s="32">
        <v>-8.3085627556334302E-4</v>
      </c>
      <c r="I39" s="43"/>
      <c r="J39" s="43"/>
      <c r="K39" s="43"/>
      <c r="L39" s="229"/>
      <c r="M39" s="237"/>
      <c r="N39" s="43"/>
      <c r="O39" s="43"/>
      <c r="P39" s="43"/>
      <c r="Q39" s="43"/>
      <c r="R39" s="43"/>
    </row>
    <row r="40" spans="1:18">
      <c r="A40" s="15" t="s">
        <v>136</v>
      </c>
      <c r="B40" s="13" t="s">
        <v>5</v>
      </c>
      <c r="C40" s="31" t="s">
        <v>268</v>
      </c>
      <c r="D40" s="31" t="s">
        <v>269</v>
      </c>
      <c r="E40" s="29" t="s">
        <v>142</v>
      </c>
      <c r="F40" s="29" t="s">
        <v>529</v>
      </c>
      <c r="G40" s="32"/>
      <c r="H40" s="338">
        <v>-1.0607668101941332E-3</v>
      </c>
      <c r="I40" s="43"/>
      <c r="J40" s="43"/>
      <c r="K40" s="43"/>
      <c r="L40" s="229"/>
      <c r="M40" s="237"/>
      <c r="N40" s="43"/>
      <c r="O40" s="43"/>
      <c r="P40" s="43"/>
      <c r="Q40" s="43"/>
      <c r="R40" s="43"/>
    </row>
    <row r="41" spans="1:18">
      <c r="A41" s="15" t="s">
        <v>136</v>
      </c>
      <c r="B41" s="13" t="s">
        <v>5</v>
      </c>
      <c r="C41" s="31" t="s">
        <v>270</v>
      </c>
      <c r="D41" s="31" t="s">
        <v>271</v>
      </c>
      <c r="E41" s="29" t="s">
        <v>772</v>
      </c>
      <c r="F41" s="29" t="s">
        <v>777</v>
      </c>
      <c r="G41" s="32"/>
      <c r="H41" s="32"/>
      <c r="I41" s="43"/>
      <c r="J41" s="43"/>
      <c r="K41" s="43"/>
      <c r="L41" s="409">
        <v>-1.6403664478160662E-3</v>
      </c>
      <c r="M41" s="237"/>
      <c r="N41" s="43"/>
      <c r="O41" s="43"/>
      <c r="P41" s="43"/>
      <c r="Q41" s="43"/>
      <c r="R41" s="43"/>
    </row>
    <row r="42" spans="1:18">
      <c r="A42" s="15" t="s">
        <v>136</v>
      </c>
      <c r="B42" s="13" t="s">
        <v>5</v>
      </c>
      <c r="C42" s="31" t="s">
        <v>272</v>
      </c>
      <c r="D42" s="31" t="s">
        <v>273</v>
      </c>
      <c r="E42" s="29" t="s">
        <v>142</v>
      </c>
      <c r="F42" s="29" t="s">
        <v>529</v>
      </c>
      <c r="G42" s="32"/>
      <c r="H42" s="32"/>
      <c r="I42" s="43"/>
      <c r="J42" s="43"/>
      <c r="K42" s="43"/>
      <c r="L42" s="409">
        <v>-1.6760562490447661E-4</v>
      </c>
      <c r="M42" s="237"/>
      <c r="N42" s="43"/>
      <c r="O42" s="43"/>
      <c r="P42" s="43"/>
      <c r="Q42" s="43"/>
      <c r="R42" s="43"/>
    </row>
    <row r="43" spans="1:18">
      <c r="A43" s="15" t="s">
        <v>136</v>
      </c>
      <c r="B43" s="13" t="s">
        <v>5</v>
      </c>
      <c r="C43" s="31" t="s">
        <v>274</v>
      </c>
      <c r="D43" s="31" t="s">
        <v>275</v>
      </c>
      <c r="E43" s="29" t="s">
        <v>389</v>
      </c>
      <c r="F43" s="29" t="s">
        <v>786</v>
      </c>
      <c r="G43" s="32"/>
      <c r="H43" s="32"/>
      <c r="I43" s="43"/>
      <c r="J43" s="43"/>
      <c r="K43" s="43"/>
      <c r="L43" s="407">
        <v>-1.0926859048931648E-2</v>
      </c>
      <c r="M43" s="237"/>
      <c r="N43" s="43"/>
      <c r="O43" s="43"/>
      <c r="P43" s="43"/>
      <c r="Q43" s="43"/>
      <c r="R43" s="43"/>
    </row>
    <row r="44" spans="1:18">
      <c r="A44" s="15" t="s">
        <v>136</v>
      </c>
      <c r="B44" s="13" t="s">
        <v>5</v>
      </c>
      <c r="C44" s="31" t="s">
        <v>274</v>
      </c>
      <c r="D44" s="31" t="s">
        <v>276</v>
      </c>
      <c r="E44" s="29" t="s">
        <v>389</v>
      </c>
      <c r="F44" s="29" t="s">
        <v>786</v>
      </c>
      <c r="G44" s="32"/>
      <c r="H44" s="32"/>
      <c r="I44" s="43"/>
      <c r="J44" s="43"/>
      <c r="K44" s="43"/>
      <c r="L44" s="407">
        <v>1.0926859048931648E-2</v>
      </c>
      <c r="M44" s="237"/>
      <c r="N44" s="43"/>
      <c r="O44" s="43"/>
      <c r="P44" s="43"/>
      <c r="Q44" s="43"/>
      <c r="R44" s="43"/>
    </row>
    <row r="45" spans="1:18">
      <c r="A45" s="15" t="s">
        <v>136</v>
      </c>
      <c r="B45" s="13" t="s">
        <v>5</v>
      </c>
      <c r="C45" s="31" t="s">
        <v>277</v>
      </c>
      <c r="D45" s="31" t="s">
        <v>278</v>
      </c>
      <c r="E45" s="29" t="s">
        <v>772</v>
      </c>
      <c r="F45" s="29" t="s">
        <v>777</v>
      </c>
      <c r="G45" s="32"/>
      <c r="H45" s="32"/>
      <c r="I45" s="43"/>
      <c r="J45" s="43"/>
      <c r="K45" s="43"/>
      <c r="L45" s="129"/>
      <c r="M45" s="237">
        <v>-2.609336641392342E-4</v>
      </c>
      <c r="N45" s="43"/>
      <c r="O45" s="43"/>
      <c r="P45" s="43"/>
      <c r="Q45" s="43"/>
      <c r="R45" s="43"/>
    </row>
    <row r="46" spans="1:18">
      <c r="A46" s="15" t="s">
        <v>136</v>
      </c>
      <c r="B46" s="13" t="s">
        <v>5</v>
      </c>
      <c r="C46" s="31" t="s">
        <v>279</v>
      </c>
      <c r="D46" s="31" t="s">
        <v>280</v>
      </c>
      <c r="E46" s="29" t="s">
        <v>772</v>
      </c>
      <c r="F46" s="29" t="s">
        <v>780</v>
      </c>
      <c r="G46" s="32"/>
      <c r="H46" s="32"/>
      <c r="I46" s="43"/>
      <c r="J46" s="43"/>
      <c r="K46" s="43"/>
      <c r="L46" s="129"/>
      <c r="M46" s="237">
        <v>-2.9355037215663852E-4</v>
      </c>
      <c r="N46" s="43"/>
      <c r="O46" s="43"/>
      <c r="P46" s="43"/>
      <c r="Q46" s="43"/>
      <c r="R46" s="43"/>
    </row>
    <row r="47" spans="1:18">
      <c r="A47" s="15" t="s">
        <v>136</v>
      </c>
      <c r="B47" s="13" t="s">
        <v>5</v>
      </c>
      <c r="C47" s="31" t="s">
        <v>281</v>
      </c>
      <c r="D47" s="31" t="s">
        <v>282</v>
      </c>
      <c r="E47" s="29" t="s">
        <v>142</v>
      </c>
      <c r="F47" s="29" t="s">
        <v>529</v>
      </c>
      <c r="G47" s="32"/>
      <c r="H47" s="32"/>
      <c r="I47" s="43"/>
      <c r="J47" s="43"/>
      <c r="K47" s="43"/>
      <c r="L47" s="129"/>
      <c r="M47" s="237">
        <v>-4.7837838425526276E-4</v>
      </c>
      <c r="N47" s="43"/>
      <c r="O47" s="43"/>
      <c r="P47" s="43"/>
      <c r="Q47" s="43"/>
      <c r="R47" s="43"/>
    </row>
    <row r="48" spans="1:18">
      <c r="A48" s="15" t="s">
        <v>136</v>
      </c>
      <c r="B48" s="13" t="s">
        <v>5</v>
      </c>
      <c r="C48" s="31" t="s">
        <v>283</v>
      </c>
      <c r="D48" s="31" t="s">
        <v>284</v>
      </c>
      <c r="E48" s="29" t="s">
        <v>140</v>
      </c>
      <c r="F48" s="29" t="s">
        <v>778</v>
      </c>
      <c r="G48" s="46"/>
      <c r="H48" s="46"/>
      <c r="I48" s="46"/>
      <c r="J48" s="46"/>
      <c r="K48" s="46"/>
      <c r="L48" s="129"/>
      <c r="M48" s="237">
        <v>-4.0405663123495701E-4</v>
      </c>
      <c r="N48" s="43"/>
      <c r="O48" s="43"/>
      <c r="P48" s="43"/>
      <c r="Q48" s="43"/>
      <c r="R48" s="43"/>
    </row>
    <row r="49" spans="1:20">
      <c r="A49" s="15" t="s">
        <v>136</v>
      </c>
      <c r="B49" s="13" t="s">
        <v>5</v>
      </c>
      <c r="C49" s="31"/>
      <c r="D49" s="31" t="s">
        <v>285</v>
      </c>
      <c r="E49" s="29" t="s">
        <v>140</v>
      </c>
      <c r="F49" s="29" t="s">
        <v>778</v>
      </c>
      <c r="G49" s="46"/>
      <c r="H49" s="46"/>
      <c r="I49" s="46"/>
      <c r="J49" s="46"/>
      <c r="K49" s="46"/>
      <c r="L49" s="129"/>
      <c r="M49" s="237">
        <v>5.9391638513237705E-4</v>
      </c>
      <c r="N49" s="229"/>
      <c r="O49" s="43"/>
      <c r="P49" s="43"/>
      <c r="Q49" s="43"/>
      <c r="R49" s="43"/>
    </row>
    <row r="50" spans="1:20">
      <c r="A50" s="15" t="s">
        <v>136</v>
      </c>
      <c r="B50" s="13" t="s">
        <v>5</v>
      </c>
      <c r="C50" s="31" t="s">
        <v>286</v>
      </c>
      <c r="D50" s="31" t="s">
        <v>287</v>
      </c>
      <c r="E50" s="29" t="s">
        <v>140</v>
      </c>
      <c r="F50" s="29" t="s">
        <v>778</v>
      </c>
      <c r="G50" s="46"/>
      <c r="H50" s="46"/>
      <c r="I50" s="46"/>
      <c r="J50" s="46"/>
      <c r="K50" s="46"/>
      <c r="L50" s="129"/>
      <c r="M50" s="237"/>
      <c r="N50" s="229">
        <v>-3.4791155218564563E-4</v>
      </c>
      <c r="O50" s="43"/>
      <c r="P50" s="43"/>
      <c r="Q50" s="43"/>
      <c r="R50" s="43"/>
    </row>
    <row r="51" spans="1:20">
      <c r="A51" s="15" t="s">
        <v>136</v>
      </c>
      <c r="B51" s="13" t="s">
        <v>5</v>
      </c>
      <c r="C51" s="31" t="s">
        <v>288</v>
      </c>
      <c r="D51" s="31" t="s">
        <v>289</v>
      </c>
      <c r="E51" s="29" t="s">
        <v>140</v>
      </c>
      <c r="F51" s="29" t="s">
        <v>778</v>
      </c>
      <c r="G51" s="46"/>
      <c r="H51" s="46"/>
      <c r="I51" s="46"/>
      <c r="J51" s="46"/>
      <c r="K51" s="46"/>
      <c r="L51" s="129"/>
      <c r="M51" s="237"/>
      <c r="N51" s="229">
        <v>-3.2616708017404275E-5</v>
      </c>
      <c r="O51" s="43"/>
      <c r="P51" s="43"/>
      <c r="Q51" s="43"/>
      <c r="R51" s="43"/>
    </row>
    <row r="52" spans="1:20">
      <c r="A52" s="15" t="s">
        <v>136</v>
      </c>
      <c r="B52" s="13" t="s">
        <v>5</v>
      </c>
      <c r="C52" s="31"/>
      <c r="D52" s="31" t="s">
        <v>290</v>
      </c>
      <c r="E52" s="428" t="s">
        <v>142</v>
      </c>
      <c r="F52" s="428" t="s">
        <v>529</v>
      </c>
      <c r="G52" s="46"/>
      <c r="H52" s="46"/>
      <c r="I52" s="46"/>
      <c r="J52" s="46"/>
      <c r="K52" s="46"/>
      <c r="L52" s="129"/>
      <c r="M52" s="237"/>
      <c r="N52" s="229">
        <v>-2.7523371732666578E-4</v>
      </c>
      <c r="O52" s="43"/>
      <c r="P52" s="43"/>
      <c r="Q52" s="43"/>
      <c r="R52" s="43"/>
    </row>
    <row r="53" spans="1:20" s="418" customFormat="1">
      <c r="A53" s="414" t="s">
        <v>136</v>
      </c>
      <c r="B53" s="415" t="s">
        <v>5</v>
      </c>
      <c r="C53" s="416" t="s">
        <v>291</v>
      </c>
      <c r="D53" s="416" t="s">
        <v>292</v>
      </c>
      <c r="E53" s="417" t="s">
        <v>389</v>
      </c>
      <c r="F53" s="417" t="s">
        <v>773</v>
      </c>
      <c r="L53" s="419"/>
      <c r="M53" s="420"/>
      <c r="N53" s="421"/>
      <c r="O53" s="421">
        <f>-0.009*0</f>
        <v>0</v>
      </c>
      <c r="P53" s="421"/>
      <c r="Q53" s="421"/>
      <c r="R53" s="421"/>
    </row>
    <row r="54" spans="1:20">
      <c r="A54" s="15" t="s">
        <v>136</v>
      </c>
      <c r="B54" s="13" t="s">
        <v>5</v>
      </c>
      <c r="C54" s="51" t="s">
        <v>750</v>
      </c>
      <c r="D54" s="217" t="s">
        <v>293</v>
      </c>
      <c r="E54" s="218" t="s">
        <v>142</v>
      </c>
      <c r="F54" s="218" t="s">
        <v>529</v>
      </c>
      <c r="G54" s="217"/>
      <c r="H54" s="217"/>
      <c r="I54" s="217"/>
      <c r="J54" s="217"/>
      <c r="K54" s="217"/>
      <c r="L54" s="217"/>
      <c r="M54" s="408"/>
      <c r="N54" s="219"/>
      <c r="O54" s="431">
        <f>-0.004</f>
        <v>-4.0000000000000001E-3</v>
      </c>
      <c r="P54" s="217"/>
      <c r="Q54" s="217"/>
      <c r="R54" s="405"/>
    </row>
    <row r="55" spans="1:20">
      <c r="A55" s="15" t="s">
        <v>136</v>
      </c>
      <c r="B55" s="13"/>
      <c r="C55" s="51" t="s">
        <v>291</v>
      </c>
      <c r="D55" s="217" t="s">
        <v>294</v>
      </c>
      <c r="E55" s="218" t="s">
        <v>772</v>
      </c>
      <c r="F55" s="218" t="s">
        <v>777</v>
      </c>
      <c r="G55" s="217"/>
      <c r="H55" s="217"/>
      <c r="I55" s="217"/>
      <c r="J55" s="217"/>
      <c r="K55" s="217"/>
      <c r="L55" s="217"/>
      <c r="M55" s="408"/>
      <c r="N55" s="219"/>
      <c r="O55" s="219"/>
      <c r="P55" s="217"/>
      <c r="Q55" s="217"/>
      <c r="R55" s="405">
        <f>-0.0507/9.19774</f>
        <v>-5.5122236549413227E-3</v>
      </c>
      <c r="T55">
        <f>R55*200</f>
        <v>-1.1024447309882646</v>
      </c>
    </row>
    <row r="56" spans="1:20">
      <c r="A56" s="15" t="s">
        <v>136</v>
      </c>
      <c r="B56" s="13"/>
      <c r="C56" s="51" t="s">
        <v>291</v>
      </c>
      <c r="D56" s="224" t="s">
        <v>295</v>
      </c>
      <c r="E56" s="218" t="s">
        <v>772</v>
      </c>
      <c r="F56" s="218" t="s">
        <v>779</v>
      </c>
      <c r="G56" s="217"/>
      <c r="H56" s="217"/>
      <c r="I56" s="217"/>
      <c r="J56" s="217"/>
      <c r="K56" s="217"/>
      <c r="L56" s="217"/>
      <c r="M56" s="408"/>
      <c r="N56" s="217"/>
      <c r="O56" s="217"/>
      <c r="P56" s="217"/>
      <c r="Q56" s="217">
        <v>-3.2616708017404279E-4</v>
      </c>
      <c r="R56" s="217"/>
      <c r="T56">
        <f>R56*200</f>
        <v>0</v>
      </c>
    </row>
    <row r="57" spans="1:20">
      <c r="A57" s="15" t="s">
        <v>136</v>
      </c>
      <c r="B57" s="13"/>
      <c r="C57" s="51" t="s">
        <v>291</v>
      </c>
      <c r="D57" s="224" t="s">
        <v>296</v>
      </c>
      <c r="E57" s="47" t="s">
        <v>772</v>
      </c>
      <c r="F57" s="218" t="s">
        <v>779</v>
      </c>
      <c r="G57" s="46"/>
      <c r="H57" s="46"/>
      <c r="I57" s="46"/>
      <c r="J57" s="46"/>
      <c r="K57" s="46"/>
      <c r="L57" s="46"/>
      <c r="M57" s="238"/>
      <c r="N57" s="46"/>
      <c r="O57" s="46"/>
      <c r="P57" s="46"/>
      <c r="Q57" s="46"/>
      <c r="R57" s="46">
        <v>-2.4000000000000001E-4</v>
      </c>
      <c r="T57">
        <f>R57*200</f>
        <v>-4.8000000000000001E-2</v>
      </c>
    </row>
    <row r="58" spans="1:20">
      <c r="A58" s="15" t="s">
        <v>136</v>
      </c>
      <c r="B58" s="13"/>
      <c r="C58" s="51" t="s">
        <v>291</v>
      </c>
      <c r="D58" s="224" t="s">
        <v>297</v>
      </c>
      <c r="E58" s="47" t="s">
        <v>772</v>
      </c>
      <c r="F58" s="218" t="s">
        <v>779</v>
      </c>
      <c r="G58" s="46"/>
      <c r="H58" s="46"/>
      <c r="I58" s="46"/>
      <c r="J58" s="46"/>
      <c r="K58" s="46"/>
      <c r="L58" s="46"/>
      <c r="M58" s="238"/>
      <c r="N58" s="46"/>
      <c r="O58" s="46"/>
      <c r="P58" s="46"/>
      <c r="Q58" s="46"/>
      <c r="R58" s="46"/>
      <c r="T58">
        <f>R58*200</f>
        <v>0</v>
      </c>
    </row>
    <row r="59" spans="1:20">
      <c r="A59" s="15" t="s">
        <v>136</v>
      </c>
      <c r="B59" s="13"/>
      <c r="C59" s="51" t="s">
        <v>291</v>
      </c>
      <c r="D59" s="46" t="s">
        <v>298</v>
      </c>
      <c r="E59" s="47" t="s">
        <v>772</v>
      </c>
      <c r="F59" s="218" t="s">
        <v>777</v>
      </c>
      <c r="G59" s="46"/>
      <c r="H59" s="46"/>
      <c r="I59" s="46"/>
      <c r="J59" s="46"/>
      <c r="K59" s="46"/>
      <c r="L59" s="46"/>
      <c r="M59" s="236"/>
      <c r="N59" s="216"/>
      <c r="O59" s="216"/>
      <c r="P59" s="216"/>
      <c r="Q59" s="46"/>
      <c r="R59" s="46">
        <f>-0.0005*0</f>
        <v>0</v>
      </c>
      <c r="T59">
        <f>R59*200</f>
        <v>0</v>
      </c>
    </row>
    <row r="60" spans="1:20">
      <c r="A60" s="15" t="s">
        <v>136</v>
      </c>
      <c r="B60" s="13" t="s">
        <v>5</v>
      </c>
      <c r="C60" s="51" t="s">
        <v>750</v>
      </c>
      <c r="D60" s="46" t="s">
        <v>753</v>
      </c>
      <c r="E60" s="47" t="s">
        <v>142</v>
      </c>
      <c r="F60" s="47" t="s">
        <v>529</v>
      </c>
      <c r="G60" s="46"/>
      <c r="H60" s="46"/>
      <c r="I60" s="46"/>
      <c r="J60" s="46"/>
      <c r="K60" s="46"/>
      <c r="L60" s="46"/>
      <c r="M60" s="236"/>
      <c r="N60" s="429">
        <v>-6.0712457855908303E-4</v>
      </c>
      <c r="O60" s="216"/>
      <c r="P60" s="216"/>
      <c r="Q60" s="46"/>
      <c r="R60" s="46"/>
    </row>
    <row r="61" spans="1:20">
      <c r="A61" s="15" t="s">
        <v>136</v>
      </c>
      <c r="B61" s="13"/>
      <c r="C61" s="51" t="s">
        <v>291</v>
      </c>
      <c r="D61" s="46" t="s">
        <v>299</v>
      </c>
      <c r="E61" s="47" t="s">
        <v>140</v>
      </c>
      <c r="F61" s="47" t="s">
        <v>778</v>
      </c>
      <c r="G61" s="46"/>
      <c r="H61" s="46"/>
      <c r="I61" s="46"/>
      <c r="J61" s="46"/>
      <c r="K61" s="46"/>
      <c r="L61" s="46"/>
      <c r="M61" s="236"/>
      <c r="N61" s="216"/>
      <c r="O61" s="216">
        <v>-3.1222669108197201E-4</v>
      </c>
      <c r="P61" s="216"/>
      <c r="Q61" s="46"/>
      <c r="R61" s="46"/>
    </row>
    <row r="62" spans="1:20">
      <c r="A62" s="200" t="s">
        <v>175</v>
      </c>
      <c r="B62" s="200" t="s">
        <v>251</v>
      </c>
      <c r="C62" s="200"/>
      <c r="D62" s="200"/>
      <c r="E62" s="200"/>
      <c r="F62" s="200"/>
      <c r="G62" s="201">
        <f>RCS!D31</f>
        <v>0.88487248063111124</v>
      </c>
      <c r="H62" s="201">
        <f>RCS!E31</f>
        <v>0.88487248063111124</v>
      </c>
      <c r="I62" s="201">
        <f>RCS!F31</f>
        <v>0.88487248063111124</v>
      </c>
      <c r="J62" s="201">
        <f>RCS!G31</f>
        <v>0.88487248063111124</v>
      </c>
      <c r="K62" s="201">
        <f>RCS!H31</f>
        <v>0.88487248063111124</v>
      </c>
      <c r="L62" s="201">
        <f>RCS!I31</f>
        <v>0.88487248063111124</v>
      </c>
      <c r="M62" s="201">
        <f>RCS!J31</f>
        <v>0.87045252513252147</v>
      </c>
      <c r="N62" s="201">
        <f>RCS!K31</f>
        <v>0.86984540055396242</v>
      </c>
      <c r="O62" s="201">
        <f>RCS!L31</f>
        <v>0.85792260865881942</v>
      </c>
      <c r="P62" s="201">
        <f>RCS!M31</f>
        <v>0.86435683627969828</v>
      </c>
      <c r="Q62" s="201">
        <f>RCS!N31</f>
        <v>0.86435683627969828</v>
      </c>
      <c r="R62" s="201">
        <f>RCS!O31</f>
        <v>0.86435683627969828</v>
      </c>
    </row>
    <row r="63" spans="1:20">
      <c r="A63" s="1" t="s">
        <v>175</v>
      </c>
      <c r="B63" s="13" t="s">
        <v>5</v>
      </c>
      <c r="C63" s="29" t="s">
        <v>300</v>
      </c>
      <c r="D63" s="30" t="s">
        <v>301</v>
      </c>
      <c r="E63" s="34" t="s">
        <v>145</v>
      </c>
      <c r="F63" s="29" t="s">
        <v>776</v>
      </c>
      <c r="G63" s="31"/>
      <c r="H63" s="31"/>
      <c r="I63" s="31"/>
      <c r="J63" s="31"/>
      <c r="K63" s="33"/>
      <c r="L63" s="31"/>
      <c r="M63" s="43"/>
      <c r="N63" s="43"/>
      <c r="O63" s="43">
        <v>-7.610565204060997E-3</v>
      </c>
      <c r="P63" s="43"/>
      <c r="Q63" s="43"/>
      <c r="R63" s="43"/>
    </row>
    <row r="64" spans="1:20">
      <c r="A64" s="1" t="s">
        <v>175</v>
      </c>
      <c r="B64" s="13" t="s">
        <v>5</v>
      </c>
      <c r="C64" s="436" t="s">
        <v>769</v>
      </c>
      <c r="D64" s="30" t="s">
        <v>302</v>
      </c>
      <c r="E64" s="34" t="s">
        <v>58</v>
      </c>
      <c r="F64" s="34" t="s">
        <v>774</v>
      </c>
      <c r="G64" s="31"/>
      <c r="H64" s="31"/>
      <c r="I64" s="31"/>
      <c r="J64" s="31"/>
      <c r="K64" s="33"/>
      <c r="L64" s="31"/>
      <c r="M64" s="438">
        <v>-1.4133906807541815E-2</v>
      </c>
      <c r="N64" s="43"/>
      <c r="O64" s="43"/>
      <c r="P64" s="437"/>
      <c r="Q64" s="43"/>
      <c r="R64" s="43"/>
    </row>
    <row r="65" spans="1:21">
      <c r="A65" s="1" t="s">
        <v>175</v>
      </c>
      <c r="B65" s="13" t="s">
        <v>5</v>
      </c>
      <c r="C65" s="44" t="s">
        <v>22</v>
      </c>
      <c r="D65" s="44" t="s">
        <v>248</v>
      </c>
      <c r="E65" s="28" t="s">
        <v>58</v>
      </c>
      <c r="F65" s="28" t="s">
        <v>775</v>
      </c>
      <c r="G65" s="31"/>
      <c r="H65" s="31"/>
      <c r="I65" s="31"/>
      <c r="J65" s="31"/>
      <c r="K65" s="33"/>
      <c r="L65" s="31"/>
      <c r="M65" s="43"/>
      <c r="N65" s="43"/>
      <c r="O65" s="43"/>
      <c r="P65" s="220">
        <v>6.4342276208788568E-3</v>
      </c>
      <c r="Q65" s="43"/>
      <c r="R65" s="43"/>
    </row>
    <row r="66" spans="1:21">
      <c r="A66" s="1" t="s">
        <v>175</v>
      </c>
      <c r="B66" s="13" t="s">
        <v>5</v>
      </c>
      <c r="C66" s="29"/>
      <c r="D66" s="30"/>
      <c r="E66" s="34"/>
      <c r="F66" s="34"/>
      <c r="G66" s="31"/>
      <c r="H66" s="31"/>
      <c r="I66" s="31"/>
      <c r="J66" s="31"/>
      <c r="K66" s="33"/>
      <c r="L66" s="31"/>
      <c r="M66" s="43"/>
      <c r="N66" s="43"/>
      <c r="O66" s="43"/>
      <c r="P66" s="43"/>
      <c r="Q66" s="43"/>
      <c r="R66" s="43"/>
    </row>
    <row r="67" spans="1:21">
      <c r="A67" s="1" t="s">
        <v>175</v>
      </c>
      <c r="B67" s="13" t="s">
        <v>5</v>
      </c>
      <c r="C67" s="51" t="s">
        <v>750</v>
      </c>
      <c r="D67" s="217" t="s">
        <v>293</v>
      </c>
      <c r="E67" s="218" t="s">
        <v>142</v>
      </c>
      <c r="F67" s="218" t="s">
        <v>529</v>
      </c>
      <c r="G67" s="31"/>
      <c r="H67" s="31"/>
      <c r="I67" s="31"/>
      <c r="J67" s="31"/>
      <c r="K67" s="33"/>
      <c r="L67" s="31"/>
      <c r="M67" s="43"/>
      <c r="N67" s="43"/>
      <c r="O67" s="431">
        <f>-0.004</f>
        <v>-4.0000000000000001E-3</v>
      </c>
      <c r="P67" s="43"/>
      <c r="Q67" s="43"/>
      <c r="R67" s="43"/>
      <c r="U67" s="179"/>
    </row>
    <row r="68" spans="1:21">
      <c r="A68" s="1" t="s">
        <v>175</v>
      </c>
      <c r="B68" s="13" t="s">
        <v>5</v>
      </c>
      <c r="C68" s="51" t="s">
        <v>291</v>
      </c>
      <c r="D68" s="132" t="s">
        <v>303</v>
      </c>
      <c r="E68" s="133" t="s">
        <v>772</v>
      </c>
      <c r="F68" s="218" t="s">
        <v>777</v>
      </c>
      <c r="G68" s="46"/>
      <c r="H68" s="46"/>
      <c r="I68" s="46"/>
      <c r="J68" s="46"/>
      <c r="K68" s="46"/>
      <c r="L68" s="46"/>
      <c r="M68" s="46"/>
      <c r="N68" s="46"/>
      <c r="O68" s="46"/>
      <c r="P68" s="233">
        <f>-0.15/8.81203*0</f>
        <v>0</v>
      </c>
      <c r="Q68" s="46"/>
      <c r="R68" s="46"/>
    </row>
    <row r="69" spans="1:21">
      <c r="A69" s="1" t="s">
        <v>175</v>
      </c>
      <c r="B69" s="13" t="s">
        <v>5</v>
      </c>
      <c r="C69" s="51" t="s">
        <v>291</v>
      </c>
      <c r="D69" s="46" t="s">
        <v>304</v>
      </c>
      <c r="E69" s="46" t="s">
        <v>142</v>
      </c>
      <c r="F69" s="46" t="s">
        <v>529</v>
      </c>
      <c r="G69" s="46"/>
      <c r="H69" s="46"/>
      <c r="I69" s="46"/>
      <c r="J69" s="46"/>
      <c r="K69" s="46"/>
      <c r="L69" s="46"/>
      <c r="M69" s="216">
        <v>-4.7590844494534027E-4</v>
      </c>
      <c r="N69" s="46"/>
      <c r="O69" s="46"/>
      <c r="P69" s="98"/>
      <c r="Q69" s="46"/>
      <c r="R69" s="46"/>
      <c r="U69" s="88">
        <f>N69*U2/U1</f>
        <v>0</v>
      </c>
    </row>
    <row r="70" spans="1:21">
      <c r="A70" s="1" t="s">
        <v>175</v>
      </c>
      <c r="B70" s="13" t="s">
        <v>5</v>
      </c>
      <c r="C70" s="51" t="s">
        <v>291</v>
      </c>
      <c r="D70" s="46" t="s">
        <v>284</v>
      </c>
      <c r="E70" s="46" t="s">
        <v>140</v>
      </c>
      <c r="F70" s="46" t="s">
        <v>778</v>
      </c>
      <c r="G70" s="46"/>
      <c r="H70" s="46"/>
      <c r="I70" s="46"/>
      <c r="J70" s="46"/>
      <c r="K70" s="46"/>
      <c r="L70" s="46"/>
      <c r="M70" s="216">
        <v>-4.0405663123495701E-4</v>
      </c>
      <c r="N70" s="46"/>
      <c r="O70" s="46"/>
      <c r="P70" s="98"/>
      <c r="Q70" s="46"/>
      <c r="R70" s="46"/>
      <c r="U70" s="88"/>
    </row>
    <row r="71" spans="1:21">
      <c r="A71" s="1" t="s">
        <v>175</v>
      </c>
      <c r="B71" s="13" t="s">
        <v>5</v>
      </c>
      <c r="C71" s="51" t="s">
        <v>291</v>
      </c>
      <c r="D71" s="46" t="s">
        <v>305</v>
      </c>
      <c r="E71" s="46" t="s">
        <v>140</v>
      </c>
      <c r="F71" s="46" t="s">
        <v>778</v>
      </c>
      <c r="G71" s="46"/>
      <c r="H71" s="46"/>
      <c r="I71" s="46"/>
      <c r="J71" s="46"/>
      <c r="K71" s="46"/>
      <c r="L71" s="46"/>
      <c r="M71" s="216">
        <v>5.9391638513237705E-4</v>
      </c>
      <c r="N71" s="46"/>
      <c r="O71" s="46"/>
      <c r="P71" s="98"/>
      <c r="Q71" s="46"/>
      <c r="R71" s="46"/>
      <c r="U71" s="88"/>
    </row>
    <row r="72" spans="1:21">
      <c r="A72" s="1" t="s">
        <v>175</v>
      </c>
      <c r="B72" s="13" t="s">
        <v>5</v>
      </c>
      <c r="C72" s="51" t="s">
        <v>291</v>
      </c>
      <c r="D72" s="46" t="s">
        <v>299</v>
      </c>
      <c r="E72" s="47" t="s">
        <v>140</v>
      </c>
      <c r="F72" s="47" t="s">
        <v>778</v>
      </c>
      <c r="G72" s="46"/>
      <c r="H72" s="46"/>
      <c r="I72" s="46"/>
      <c r="J72" s="46"/>
      <c r="K72" s="46"/>
      <c r="L72" s="46"/>
      <c r="M72" s="216"/>
      <c r="N72" s="216"/>
      <c r="O72" s="216">
        <v>-3.1222669108197201E-4</v>
      </c>
      <c r="P72" s="98"/>
      <c r="Q72" s="46"/>
      <c r="R72" s="46"/>
      <c r="U72" s="88"/>
    </row>
    <row r="73" spans="1:21">
      <c r="A73" s="1" t="s">
        <v>175</v>
      </c>
      <c r="B73" s="13" t="s">
        <v>5</v>
      </c>
      <c r="C73" s="51" t="s">
        <v>750</v>
      </c>
      <c r="D73" s="46" t="s">
        <v>753</v>
      </c>
      <c r="E73" s="47" t="s">
        <v>142</v>
      </c>
      <c r="F73" s="47" t="s">
        <v>529</v>
      </c>
      <c r="G73" s="46"/>
      <c r="H73" s="46"/>
      <c r="I73" s="46"/>
      <c r="J73" s="46"/>
      <c r="K73" s="46"/>
      <c r="L73" s="46"/>
      <c r="M73" s="216"/>
      <c r="N73" s="429">
        <v>-6.0712457855908303E-4</v>
      </c>
      <c r="O73" s="216"/>
      <c r="P73" s="98"/>
      <c r="Q73" s="46"/>
      <c r="R73" s="46"/>
      <c r="U73" s="88"/>
    </row>
    <row r="74" spans="1:21">
      <c r="A74" s="1" t="s">
        <v>175</v>
      </c>
      <c r="B74" s="13" t="s">
        <v>5</v>
      </c>
      <c r="C74" s="51" t="s">
        <v>291</v>
      </c>
      <c r="D74" s="225" t="s">
        <v>306</v>
      </c>
      <c r="E74" s="133" t="s">
        <v>772</v>
      </c>
      <c r="F74" s="218" t="s">
        <v>777</v>
      </c>
      <c r="G74" s="46"/>
      <c r="H74" s="46"/>
      <c r="I74" s="46"/>
      <c r="J74" s="46"/>
      <c r="K74" s="46"/>
      <c r="L74" s="46"/>
      <c r="M74" s="98"/>
      <c r="N74" s="46"/>
      <c r="O74" s="46"/>
      <c r="P74" s="46"/>
      <c r="Q74" s="46"/>
      <c r="R74" s="46"/>
      <c r="S74" s="46">
        <v>-0.01</v>
      </c>
    </row>
    <row r="75" spans="1:21" s="152" customFormat="1">
      <c r="A75" s="148" t="s">
        <v>176</v>
      </c>
      <c r="B75" s="148" t="s">
        <v>225</v>
      </c>
      <c r="C75" s="151"/>
      <c r="D75" s="148"/>
      <c r="E75" s="148"/>
      <c r="F75" s="148"/>
      <c r="G75" s="199">
        <f>RCS!D48</f>
        <v>4.5303661366740231</v>
      </c>
      <c r="H75" s="199">
        <f>RCS!E48</f>
        <v>4.5303661366740231</v>
      </c>
      <c r="I75" s="199">
        <f>RCS!F48</f>
        <v>4.5303661366740231</v>
      </c>
      <c r="J75" s="199">
        <f>RCS!G48</f>
        <v>4.5303661366740231</v>
      </c>
      <c r="K75" s="199">
        <f>RCS!H48</f>
        <v>4.2262019773309811</v>
      </c>
      <c r="L75" s="199">
        <f>RCS!I48</f>
        <v>4.2262019773309811</v>
      </c>
      <c r="M75" s="199">
        <f>RCS!J48</f>
        <v>4.2262019773309811</v>
      </c>
      <c r="N75" s="199">
        <f>RCS!K48</f>
        <v>4.1438273940094259</v>
      </c>
      <c r="O75" s="199">
        <f>RCS!L48</f>
        <v>4.1438273940094259</v>
      </c>
      <c r="P75" s="199">
        <f>RCS!M48</f>
        <v>4.1438273940094259</v>
      </c>
      <c r="Q75" s="199">
        <f>RCS!N48</f>
        <v>4.124670514167204</v>
      </c>
      <c r="R75" s="199">
        <f>RCS!O48</f>
        <v>4.124670514167204</v>
      </c>
      <c r="S75" s="198"/>
      <c r="T75" s="198"/>
    </row>
    <row r="76" spans="1:21">
      <c r="A76" s="1" t="s">
        <v>176</v>
      </c>
      <c r="B76" s="12" t="s">
        <v>4</v>
      </c>
      <c r="C76" s="22" t="s">
        <v>307</v>
      </c>
      <c r="D76" s="21" t="s">
        <v>308</v>
      </c>
      <c r="E76" s="23" t="s">
        <v>33</v>
      </c>
      <c r="F76" s="23" t="s">
        <v>781</v>
      </c>
      <c r="G76" s="117">
        <v>-5.6596081836305843E-2</v>
      </c>
      <c r="H76" s="117">
        <v>0</v>
      </c>
      <c r="I76" s="117">
        <v>0</v>
      </c>
      <c r="J76" s="117">
        <v>0</v>
      </c>
      <c r="K76" s="117">
        <v>0</v>
      </c>
      <c r="L76" s="117">
        <v>0</v>
      </c>
      <c r="M76" s="117">
        <v>0</v>
      </c>
      <c r="N76" s="117">
        <v>0</v>
      </c>
      <c r="O76" s="117">
        <v>0</v>
      </c>
      <c r="P76" s="117">
        <v>0</v>
      </c>
      <c r="Q76" s="117">
        <v>0</v>
      </c>
      <c r="R76" s="118">
        <v>0</v>
      </c>
    </row>
    <row r="77" spans="1:21">
      <c r="A77" s="1" t="s">
        <v>176</v>
      </c>
      <c r="B77" s="12" t="s">
        <v>4</v>
      </c>
      <c r="C77" s="28" t="s">
        <v>22</v>
      </c>
      <c r="D77" s="6" t="s">
        <v>309</v>
      </c>
      <c r="E77" s="7" t="s">
        <v>33</v>
      </c>
      <c r="F77" s="7" t="s">
        <v>781</v>
      </c>
      <c r="G77" s="117">
        <v>0</v>
      </c>
      <c r="H77" s="117">
        <v>0</v>
      </c>
      <c r="I77" s="117">
        <v>0</v>
      </c>
      <c r="J77" s="117">
        <v>0</v>
      </c>
      <c r="K77" s="95">
        <v>4.7189050143434871E-2</v>
      </c>
      <c r="L77" s="117">
        <v>0</v>
      </c>
      <c r="M77" s="117">
        <v>0</v>
      </c>
      <c r="N77" s="117">
        <v>0</v>
      </c>
      <c r="O77" s="117">
        <v>0</v>
      </c>
      <c r="P77" s="117">
        <v>0</v>
      </c>
      <c r="Q77" s="117">
        <v>0</v>
      </c>
      <c r="R77" s="118">
        <v>0</v>
      </c>
    </row>
    <row r="78" spans="1:21">
      <c r="A78" s="1" t="s">
        <v>176</v>
      </c>
      <c r="B78" s="12" t="s">
        <v>4</v>
      </c>
      <c r="C78" s="28" t="s">
        <v>22</v>
      </c>
      <c r="D78" s="6" t="s">
        <v>310</v>
      </c>
      <c r="E78" s="7" t="s">
        <v>772</v>
      </c>
      <c r="F78" s="7" t="s">
        <v>777</v>
      </c>
      <c r="G78" s="117">
        <v>0</v>
      </c>
      <c r="H78" s="117">
        <v>0</v>
      </c>
      <c r="I78" s="117">
        <v>0</v>
      </c>
      <c r="J78" s="117">
        <v>0</v>
      </c>
      <c r="K78" s="95">
        <v>4.2610583729357438E-3</v>
      </c>
      <c r="L78" s="117">
        <v>0</v>
      </c>
      <c r="M78" s="117">
        <v>0</v>
      </c>
      <c r="N78" s="117">
        <v>0</v>
      </c>
      <c r="O78" s="117">
        <v>0</v>
      </c>
      <c r="P78" s="117">
        <v>0</v>
      </c>
      <c r="Q78" s="117">
        <v>0</v>
      </c>
      <c r="R78" s="118">
        <v>0</v>
      </c>
    </row>
    <row r="79" spans="1:21">
      <c r="A79" s="1" t="s">
        <v>176</v>
      </c>
      <c r="B79" s="12" t="s">
        <v>4</v>
      </c>
      <c r="C79" s="28" t="s">
        <v>22</v>
      </c>
      <c r="D79" s="6" t="s">
        <v>311</v>
      </c>
      <c r="E79" s="7" t="s">
        <v>140</v>
      </c>
      <c r="F79" s="7" t="s">
        <v>778</v>
      </c>
      <c r="G79" s="117">
        <v>0</v>
      </c>
      <c r="H79" s="117">
        <v>0</v>
      </c>
      <c r="I79" s="117">
        <v>0</v>
      </c>
      <c r="J79" s="117">
        <v>0</v>
      </c>
      <c r="K79" s="95">
        <v>3.645829494209058E-3</v>
      </c>
      <c r="L79" s="117">
        <v>0</v>
      </c>
      <c r="M79" s="117">
        <v>0</v>
      </c>
      <c r="N79" s="117">
        <v>0</v>
      </c>
      <c r="O79" s="117">
        <v>0</v>
      </c>
      <c r="P79" s="117">
        <v>0</v>
      </c>
      <c r="Q79" s="117">
        <v>0</v>
      </c>
      <c r="R79" s="118">
        <v>0</v>
      </c>
    </row>
    <row r="80" spans="1:21">
      <c r="A80" s="1" t="s">
        <v>176</v>
      </c>
      <c r="B80" s="12" t="s">
        <v>4</v>
      </c>
      <c r="C80" s="28" t="s">
        <v>22</v>
      </c>
      <c r="D80" s="6" t="s">
        <v>248</v>
      </c>
      <c r="E80" s="7" t="s">
        <v>58</v>
      </c>
      <c r="F80" s="7" t="s">
        <v>775</v>
      </c>
      <c r="G80" s="117">
        <v>0</v>
      </c>
      <c r="H80" s="117">
        <v>0</v>
      </c>
      <c r="I80" s="117">
        <v>0</v>
      </c>
      <c r="J80" s="117">
        <v>0</v>
      </c>
      <c r="K80" s="95">
        <v>3.3846188634224013E-2</v>
      </c>
      <c r="L80" s="117">
        <v>0</v>
      </c>
      <c r="M80" s="117">
        <v>0</v>
      </c>
      <c r="N80" s="117">
        <v>0</v>
      </c>
      <c r="O80" s="117">
        <v>0</v>
      </c>
      <c r="P80" s="117">
        <v>0</v>
      </c>
      <c r="Q80" s="117">
        <v>0</v>
      </c>
      <c r="R80" s="118">
        <v>0</v>
      </c>
    </row>
    <row r="81" spans="1:24">
      <c r="A81" s="1" t="s">
        <v>176</v>
      </c>
      <c r="B81" s="12" t="s">
        <v>4</v>
      </c>
      <c r="C81" s="22" t="s">
        <v>312</v>
      </c>
      <c r="D81" s="21" t="s">
        <v>313</v>
      </c>
      <c r="E81" s="23" t="s">
        <v>33</v>
      </c>
      <c r="F81" s="23" t="s">
        <v>782</v>
      </c>
      <c r="G81" s="117">
        <v>0</v>
      </c>
      <c r="H81" s="117">
        <v>0</v>
      </c>
      <c r="I81" s="117">
        <v>0</v>
      </c>
      <c r="J81" s="117">
        <v>0</v>
      </c>
      <c r="K81" s="117">
        <v>-0.39310628598784553</v>
      </c>
      <c r="L81" s="117">
        <v>0</v>
      </c>
      <c r="M81" s="117">
        <v>0</v>
      </c>
      <c r="N81" s="117">
        <v>0</v>
      </c>
      <c r="O81" s="117">
        <v>0</v>
      </c>
      <c r="P81" s="117">
        <v>0</v>
      </c>
      <c r="Q81" s="117">
        <v>0</v>
      </c>
      <c r="R81" s="118">
        <v>0</v>
      </c>
    </row>
    <row r="82" spans="1:24">
      <c r="A82" s="1" t="s">
        <v>176</v>
      </c>
      <c r="B82" s="12" t="s">
        <v>4</v>
      </c>
      <c r="C82" s="22" t="s">
        <v>314</v>
      </c>
      <c r="D82" s="21" t="s">
        <v>315</v>
      </c>
      <c r="E82" s="23" t="s">
        <v>33</v>
      </c>
      <c r="F82" s="23" t="s">
        <v>781</v>
      </c>
      <c r="G82" s="117">
        <v>0</v>
      </c>
      <c r="H82" s="117">
        <v>0</v>
      </c>
      <c r="I82" s="117">
        <v>0</v>
      </c>
      <c r="J82" s="117">
        <v>0</v>
      </c>
      <c r="K82" s="117">
        <v>0</v>
      </c>
      <c r="L82" s="117">
        <v>0</v>
      </c>
      <c r="M82" s="117">
        <v>0</v>
      </c>
      <c r="N82" s="117">
        <v>-4.1187291660777538E-2</v>
      </c>
      <c r="O82" s="117">
        <v>0</v>
      </c>
      <c r="P82" s="117">
        <v>0</v>
      </c>
      <c r="Q82" s="117">
        <v>0</v>
      </c>
      <c r="R82" s="118">
        <v>0</v>
      </c>
    </row>
    <row r="83" spans="1:24">
      <c r="A83" s="1" t="s">
        <v>176</v>
      </c>
      <c r="B83" s="12" t="s">
        <v>4</v>
      </c>
      <c r="C83" s="22" t="s">
        <v>316</v>
      </c>
      <c r="D83" s="21" t="s">
        <v>317</v>
      </c>
      <c r="E83" s="23" t="s">
        <v>33</v>
      </c>
      <c r="F83" s="23" t="s">
        <v>784</v>
      </c>
      <c r="G83" s="117">
        <v>0</v>
      </c>
      <c r="H83" s="117">
        <v>0</v>
      </c>
      <c r="I83" s="117">
        <v>0</v>
      </c>
      <c r="J83" s="117">
        <v>0</v>
      </c>
      <c r="K83" s="117">
        <v>0</v>
      </c>
      <c r="L83" s="117">
        <v>0</v>
      </c>
      <c r="M83" s="117">
        <v>0</v>
      </c>
      <c r="N83" s="117">
        <v>-4.1187291660777538E-2</v>
      </c>
      <c r="O83" s="117">
        <v>0</v>
      </c>
      <c r="P83" s="117">
        <v>0</v>
      </c>
      <c r="Q83" s="117">
        <v>0</v>
      </c>
      <c r="R83" s="118">
        <v>0</v>
      </c>
    </row>
    <row r="84" spans="1:24">
      <c r="A84" s="1" t="s">
        <v>176</v>
      </c>
      <c r="B84" s="12" t="s">
        <v>4</v>
      </c>
      <c r="C84" s="22" t="s">
        <v>318</v>
      </c>
      <c r="D84" s="21" t="s">
        <v>319</v>
      </c>
      <c r="E84" s="23" t="s">
        <v>33</v>
      </c>
      <c r="F84" s="23" t="s">
        <v>784</v>
      </c>
      <c r="G84" s="117">
        <v>0</v>
      </c>
      <c r="H84" s="117">
        <v>0</v>
      </c>
      <c r="I84" s="117">
        <v>0</v>
      </c>
      <c r="J84" s="117">
        <v>0</v>
      </c>
      <c r="K84" s="117">
        <v>0</v>
      </c>
      <c r="L84" s="117">
        <v>0</v>
      </c>
      <c r="M84" s="117">
        <v>0</v>
      </c>
      <c r="N84" s="117">
        <v>0</v>
      </c>
      <c r="O84" s="117">
        <v>0</v>
      </c>
      <c r="P84" s="117">
        <v>0</v>
      </c>
      <c r="Q84" s="117">
        <v>-9.5784399211110566E-3</v>
      </c>
      <c r="R84" s="118">
        <v>0</v>
      </c>
    </row>
    <row r="85" spans="1:24" s="10" customFormat="1">
      <c r="A85" s="96" t="s">
        <v>176</v>
      </c>
      <c r="B85" s="18" t="s">
        <v>4</v>
      </c>
      <c r="C85" s="25" t="s">
        <v>320</v>
      </c>
      <c r="D85" s="26" t="s">
        <v>321</v>
      </c>
      <c r="E85" s="27" t="s">
        <v>33</v>
      </c>
      <c r="F85" s="27" t="s">
        <v>781</v>
      </c>
      <c r="G85" s="121">
        <v>0</v>
      </c>
      <c r="H85" s="121">
        <v>0</v>
      </c>
      <c r="I85" s="121">
        <v>0</v>
      </c>
      <c r="J85" s="121">
        <v>0</v>
      </c>
      <c r="K85" s="121">
        <v>0</v>
      </c>
      <c r="L85" s="121">
        <v>0</v>
      </c>
      <c r="M85" s="121">
        <v>0</v>
      </c>
      <c r="N85" s="121">
        <v>0</v>
      </c>
      <c r="O85" s="121">
        <v>0</v>
      </c>
      <c r="P85" s="121">
        <v>0</v>
      </c>
      <c r="Q85" s="121">
        <v>-9.5784399211110566E-3</v>
      </c>
      <c r="R85" s="122">
        <v>0</v>
      </c>
    </row>
    <row r="86" spans="1:24">
      <c r="A86" s="200" t="s">
        <v>176</v>
      </c>
      <c r="B86" s="200" t="s">
        <v>251</v>
      </c>
      <c r="C86" s="200"/>
      <c r="D86" s="200"/>
      <c r="E86" s="200"/>
      <c r="F86" s="200"/>
      <c r="G86" s="201">
        <f>RCS!D50</f>
        <v>4.4655219929599719</v>
      </c>
      <c r="H86" s="201">
        <f>RCS!E50</f>
        <v>4.4458777720417961</v>
      </c>
      <c r="I86" s="201">
        <f>RCS!F50</f>
        <v>4.4458777720417961</v>
      </c>
      <c r="J86" s="201">
        <f>RCS!G50</f>
        <v>4.4458777720417961</v>
      </c>
      <c r="K86" s="201">
        <f>RCS!H50</f>
        <v>4.4070095283210557</v>
      </c>
      <c r="L86" s="201">
        <f>RCS!I50</f>
        <v>4.3191525087668543</v>
      </c>
      <c r="M86" s="201">
        <f>RCS!J50</f>
        <v>4.3191525087668543</v>
      </c>
      <c r="N86" s="201">
        <f>RCS!K50</f>
        <v>4.2582086222996969</v>
      </c>
      <c r="O86" s="201">
        <f>RCS!L50</f>
        <v>4.2582086222996969</v>
      </c>
      <c r="P86" s="201">
        <f>RCS!M50</f>
        <v>4.2475321954105025</v>
      </c>
      <c r="Q86" s="201">
        <f>RCS!N50</f>
        <v>4.2383554302553632</v>
      </c>
      <c r="R86" s="201">
        <f>RCS!O50</f>
        <v>4.2383554302553632</v>
      </c>
    </row>
    <row r="87" spans="1:24">
      <c r="A87" s="1" t="s">
        <v>176</v>
      </c>
      <c r="B87" s="13" t="s">
        <v>5</v>
      </c>
      <c r="C87" s="28" t="s">
        <v>22</v>
      </c>
      <c r="D87" s="6" t="s">
        <v>309</v>
      </c>
      <c r="E87" s="7" t="s">
        <v>33</v>
      </c>
      <c r="F87" s="7" t="s">
        <v>781</v>
      </c>
      <c r="G87" s="125">
        <v>0</v>
      </c>
      <c r="H87" s="43">
        <v>0</v>
      </c>
      <c r="I87" s="43">
        <v>0</v>
      </c>
      <c r="J87" s="43">
        <v>0</v>
      </c>
      <c r="K87" s="43"/>
      <c r="L87" s="43"/>
      <c r="M87" s="43"/>
      <c r="N87" s="43"/>
      <c r="O87" s="43"/>
      <c r="P87" s="43"/>
      <c r="Q87" s="43"/>
      <c r="R87" s="43"/>
      <c r="W87" s="68"/>
      <c r="X87" s="5"/>
    </row>
    <row r="88" spans="1:24">
      <c r="A88" s="1" t="s">
        <v>176</v>
      </c>
      <c r="B88" s="13" t="s">
        <v>5</v>
      </c>
      <c r="C88" s="28" t="s">
        <v>22</v>
      </c>
      <c r="D88" s="6" t="s">
        <v>310</v>
      </c>
      <c r="E88" s="7" t="s">
        <v>772</v>
      </c>
      <c r="F88" s="7" t="s">
        <v>777</v>
      </c>
      <c r="G88" s="125">
        <v>0</v>
      </c>
      <c r="H88" s="43">
        <v>0</v>
      </c>
      <c r="I88" s="43">
        <v>0</v>
      </c>
      <c r="J88" s="43">
        <v>0</v>
      </c>
      <c r="K88" s="43"/>
      <c r="L88" s="43"/>
      <c r="M88" s="43"/>
      <c r="N88" s="43"/>
      <c r="O88" s="45"/>
      <c r="P88" s="43"/>
      <c r="Q88" s="43"/>
      <c r="R88" s="43"/>
      <c r="W88" s="68"/>
      <c r="X88" s="5"/>
    </row>
    <row r="89" spans="1:24">
      <c r="A89" s="1" t="s">
        <v>176</v>
      </c>
      <c r="B89" s="13" t="s">
        <v>5</v>
      </c>
      <c r="C89" s="28" t="s">
        <v>22</v>
      </c>
      <c r="D89" s="6" t="s">
        <v>311</v>
      </c>
      <c r="E89" s="7" t="s">
        <v>140</v>
      </c>
      <c r="F89" s="7" t="s">
        <v>778</v>
      </c>
      <c r="G89" s="125">
        <v>0</v>
      </c>
      <c r="H89" s="43">
        <v>0</v>
      </c>
      <c r="I89" s="43">
        <v>0</v>
      </c>
      <c r="J89" s="43">
        <v>0</v>
      </c>
      <c r="K89" s="43"/>
      <c r="L89" s="43"/>
      <c r="M89" s="43"/>
      <c r="N89" s="43"/>
      <c r="O89" s="43"/>
      <c r="P89" s="43"/>
      <c r="Q89" s="43"/>
      <c r="R89" s="43"/>
      <c r="W89" s="68"/>
      <c r="X89" s="5"/>
    </row>
    <row r="90" spans="1:24">
      <c r="A90" s="1" t="s">
        <v>176</v>
      </c>
      <c r="B90" s="13" t="s">
        <v>5</v>
      </c>
      <c r="C90" s="28" t="s">
        <v>22</v>
      </c>
      <c r="D90" s="6" t="s">
        <v>248</v>
      </c>
      <c r="E90" s="7" t="s">
        <v>58</v>
      </c>
      <c r="F90" s="7" t="s">
        <v>775</v>
      </c>
      <c r="G90" s="125">
        <v>0</v>
      </c>
      <c r="H90" s="43">
        <v>0</v>
      </c>
      <c r="I90" s="43">
        <v>0</v>
      </c>
      <c r="J90" s="43">
        <v>0</v>
      </c>
      <c r="K90" s="43"/>
      <c r="L90" s="43"/>
      <c r="M90" s="43"/>
      <c r="N90" s="43"/>
      <c r="O90" s="43"/>
      <c r="P90" s="45">
        <v>3.108466561729949E-2</v>
      </c>
      <c r="Q90" s="43"/>
      <c r="R90" s="43"/>
      <c r="W90" s="68"/>
      <c r="X90" s="5"/>
    </row>
    <row r="91" spans="1:24">
      <c r="A91" s="1" t="s">
        <v>176</v>
      </c>
      <c r="B91" s="13" t="s">
        <v>5</v>
      </c>
      <c r="C91" s="29" t="s">
        <v>322</v>
      </c>
      <c r="D91" s="30" t="s">
        <v>323</v>
      </c>
      <c r="E91" s="34" t="s">
        <v>58</v>
      </c>
      <c r="F91" s="34" t="s">
        <v>416</v>
      </c>
      <c r="G91" s="125">
        <v>0</v>
      </c>
      <c r="H91" s="43">
        <v>0</v>
      </c>
      <c r="I91" s="43">
        <v>0</v>
      </c>
      <c r="J91" s="43">
        <v>0</v>
      </c>
      <c r="K91" s="43"/>
      <c r="L91" s="43">
        <v>-1.7653228775561282E-3</v>
      </c>
      <c r="M91" s="43"/>
      <c r="N91" s="43"/>
      <c r="O91" s="43"/>
      <c r="P91" s="43"/>
      <c r="Q91" s="43"/>
      <c r="R91" s="43"/>
      <c r="W91" s="68"/>
      <c r="X91" s="5"/>
    </row>
    <row r="92" spans="1:24">
      <c r="A92" s="1" t="s">
        <v>176</v>
      </c>
      <c r="B92" s="13" t="s">
        <v>5</v>
      </c>
      <c r="C92" s="29" t="s">
        <v>312</v>
      </c>
      <c r="D92" s="30" t="s">
        <v>313</v>
      </c>
      <c r="E92" s="34" t="s">
        <v>33</v>
      </c>
      <c r="F92" s="34" t="s">
        <v>782</v>
      </c>
      <c r="G92" s="125">
        <v>0</v>
      </c>
      <c r="H92" s="43">
        <v>0</v>
      </c>
      <c r="I92" s="43">
        <v>0</v>
      </c>
      <c r="J92" s="43">
        <v>0</v>
      </c>
      <c r="K92" s="43"/>
      <c r="L92" s="43">
        <v>-7.1669779750242996E-2</v>
      </c>
      <c r="M92" s="43"/>
      <c r="N92" s="43"/>
      <c r="O92" s="43"/>
      <c r="P92" s="43"/>
      <c r="Q92" s="43"/>
      <c r="R92" s="43"/>
      <c r="W92" s="68"/>
      <c r="X92" s="5"/>
    </row>
    <row r="93" spans="1:24">
      <c r="A93" s="1" t="s">
        <v>176</v>
      </c>
      <c r="B93" s="13" t="s">
        <v>5</v>
      </c>
      <c r="C93" s="29" t="s">
        <v>314</v>
      </c>
      <c r="D93" s="30" t="s">
        <v>315</v>
      </c>
      <c r="E93" s="34" t="s">
        <v>33</v>
      </c>
      <c r="F93" s="34" t="s">
        <v>781</v>
      </c>
      <c r="G93" s="125">
        <v>0</v>
      </c>
      <c r="H93" s="43">
        <v>0</v>
      </c>
      <c r="I93" s="43">
        <v>0</v>
      </c>
      <c r="J93" s="43">
        <v>0</v>
      </c>
      <c r="K93" s="43"/>
      <c r="L93" s="43"/>
      <c r="M93" s="43"/>
      <c r="N93" s="43">
        <v>-9.7850124052212793E-3</v>
      </c>
      <c r="O93" s="43"/>
      <c r="P93" s="43"/>
      <c r="Q93" s="43"/>
      <c r="R93" s="43"/>
      <c r="W93" s="68"/>
      <c r="X93" s="5"/>
    </row>
    <row r="94" spans="1:24">
      <c r="A94" s="1" t="s">
        <v>176</v>
      </c>
      <c r="B94" s="13" t="s">
        <v>5</v>
      </c>
      <c r="C94" s="29" t="s">
        <v>324</v>
      </c>
      <c r="D94" s="30" t="s">
        <v>325</v>
      </c>
      <c r="E94" s="34" t="s">
        <v>772</v>
      </c>
      <c r="F94" s="34" t="s">
        <v>779</v>
      </c>
      <c r="G94" s="125"/>
      <c r="H94" s="43"/>
      <c r="I94" s="43"/>
      <c r="J94" s="43"/>
      <c r="K94" s="43"/>
      <c r="L94" s="43">
        <v>-1.442191692640241E-2</v>
      </c>
      <c r="M94" s="43"/>
      <c r="N94" s="43"/>
      <c r="O94" s="43"/>
      <c r="P94" s="43"/>
      <c r="Q94" s="43"/>
      <c r="R94" s="43"/>
      <c r="W94" s="68"/>
      <c r="X94" s="5"/>
    </row>
    <row r="95" spans="1:24">
      <c r="A95" s="1" t="s">
        <v>176</v>
      </c>
      <c r="B95" s="13" t="s">
        <v>5</v>
      </c>
      <c r="C95" s="29" t="s">
        <v>320</v>
      </c>
      <c r="D95" s="30" t="s">
        <v>321</v>
      </c>
      <c r="E95" s="34" t="s">
        <v>33</v>
      </c>
      <c r="F95" s="34" t="s">
        <v>781</v>
      </c>
      <c r="G95" s="125">
        <v>0</v>
      </c>
      <c r="H95" s="43">
        <v>0</v>
      </c>
      <c r="I95" s="43">
        <v>0</v>
      </c>
      <c r="J95" s="43">
        <v>0</v>
      </c>
      <c r="K95" s="43"/>
      <c r="L95" s="43"/>
      <c r="M95" s="43"/>
      <c r="N95" s="43"/>
      <c r="O95" s="43"/>
      <c r="P95" s="43"/>
      <c r="Q95" s="43">
        <v>-9.1767651551390092E-3</v>
      </c>
      <c r="R95" s="43"/>
      <c r="W95" s="68"/>
      <c r="X95" s="5"/>
    </row>
    <row r="96" spans="1:24">
      <c r="A96" s="1" t="s">
        <v>176</v>
      </c>
      <c r="B96" s="13" t="s">
        <v>5</v>
      </c>
      <c r="C96" s="29" t="s">
        <v>326</v>
      </c>
      <c r="D96" s="30" t="s">
        <v>327</v>
      </c>
      <c r="E96" s="34" t="s">
        <v>33</v>
      </c>
      <c r="F96" s="34" t="s">
        <v>782</v>
      </c>
      <c r="G96" s="125">
        <v>0</v>
      </c>
      <c r="H96" s="43">
        <v>0</v>
      </c>
      <c r="I96" s="43">
        <v>0</v>
      </c>
      <c r="J96" s="43">
        <v>0</v>
      </c>
      <c r="K96" s="43"/>
      <c r="L96" s="43"/>
      <c r="M96" s="43"/>
      <c r="N96" s="43"/>
      <c r="O96" s="43"/>
      <c r="P96" s="43"/>
      <c r="Q96" s="43"/>
      <c r="R96" s="43"/>
      <c r="W96" s="68"/>
      <c r="X96" s="5"/>
    </row>
    <row r="97" spans="1:24">
      <c r="A97" s="1" t="s">
        <v>176</v>
      </c>
      <c r="B97" s="13" t="s">
        <v>5</v>
      </c>
      <c r="C97" s="29" t="s">
        <v>274</v>
      </c>
      <c r="D97" s="30" t="s">
        <v>274</v>
      </c>
      <c r="E97" s="34" t="s">
        <v>772</v>
      </c>
      <c r="F97" s="34" t="s">
        <v>777</v>
      </c>
      <c r="G97" s="125">
        <v>0</v>
      </c>
      <c r="H97" s="43">
        <v>0</v>
      </c>
      <c r="I97" s="43">
        <v>0</v>
      </c>
      <c r="J97" s="43">
        <v>0</v>
      </c>
      <c r="K97" s="43">
        <v>-4.5935197124509886E-2</v>
      </c>
      <c r="L97" s="43"/>
      <c r="M97" s="43"/>
      <c r="N97" s="43"/>
      <c r="O97" s="43"/>
      <c r="P97" s="43"/>
      <c r="Q97" s="43"/>
      <c r="R97" s="43"/>
      <c r="W97" s="68"/>
      <c r="X97" s="5"/>
    </row>
    <row r="98" spans="1:24">
      <c r="A98" s="1" t="s">
        <v>176</v>
      </c>
      <c r="B98" s="13" t="s">
        <v>5</v>
      </c>
      <c r="C98" s="29" t="s">
        <v>274</v>
      </c>
      <c r="D98" s="30" t="s">
        <v>274</v>
      </c>
      <c r="E98" s="34" t="s">
        <v>33</v>
      </c>
      <c r="F98" s="34"/>
      <c r="G98" s="125">
        <v>0</v>
      </c>
      <c r="H98" s="43">
        <v>0</v>
      </c>
      <c r="I98" s="43">
        <v>0</v>
      </c>
      <c r="J98" s="43">
        <v>0</v>
      </c>
      <c r="K98" s="43">
        <v>4.593519712451144E-2</v>
      </c>
      <c r="L98" s="43"/>
      <c r="M98" s="43"/>
      <c r="N98" s="43"/>
      <c r="O98" s="43"/>
      <c r="P98" s="43"/>
      <c r="Q98" s="43"/>
      <c r="R98" s="43"/>
      <c r="W98" s="68"/>
      <c r="X98" s="5"/>
    </row>
    <row r="99" spans="1:24">
      <c r="A99" s="1" t="s">
        <v>176</v>
      </c>
      <c r="B99" s="13" t="s">
        <v>5</v>
      </c>
      <c r="C99" s="29" t="s">
        <v>264</v>
      </c>
      <c r="D99" s="30" t="s">
        <v>328</v>
      </c>
      <c r="E99" s="34" t="s">
        <v>58</v>
      </c>
      <c r="F99" s="34" t="s">
        <v>775</v>
      </c>
      <c r="G99" s="125">
        <v>0</v>
      </c>
      <c r="H99" s="43">
        <v>-1.9644220918175335E-2</v>
      </c>
      <c r="I99" s="43">
        <v>0</v>
      </c>
      <c r="J99" s="43">
        <v>0</v>
      </c>
      <c r="K99" s="43"/>
      <c r="L99" s="43"/>
      <c r="M99" s="43"/>
      <c r="N99" s="43"/>
      <c r="O99" s="43"/>
      <c r="P99" s="43"/>
      <c r="Q99" s="43"/>
      <c r="R99" s="43"/>
      <c r="W99" s="68"/>
      <c r="X99" s="5"/>
    </row>
    <row r="100" spans="1:24">
      <c r="A100" s="1" t="s">
        <v>176</v>
      </c>
      <c r="B100" s="13" t="s">
        <v>5</v>
      </c>
      <c r="C100" s="29" t="s">
        <v>329</v>
      </c>
      <c r="D100" s="30" t="s">
        <v>330</v>
      </c>
      <c r="E100" s="34" t="s">
        <v>33</v>
      </c>
      <c r="F100" s="34" t="s">
        <v>783</v>
      </c>
      <c r="G100" s="125">
        <v>0</v>
      </c>
      <c r="H100" s="43">
        <v>0</v>
      </c>
      <c r="I100" s="43">
        <v>0</v>
      </c>
      <c r="J100" s="43">
        <v>0</v>
      </c>
      <c r="K100" s="43">
        <v>-1.0872236005801401E-3</v>
      </c>
      <c r="L100" s="43"/>
      <c r="M100" s="43"/>
      <c r="N100" s="43"/>
      <c r="O100" s="43"/>
      <c r="P100" s="43"/>
      <c r="Q100" s="43"/>
      <c r="R100" s="43"/>
      <c r="W100" s="68"/>
      <c r="X100" s="5"/>
    </row>
    <row r="101" spans="1:24">
      <c r="A101" s="1" t="s">
        <v>176</v>
      </c>
      <c r="B101" s="13" t="s">
        <v>5</v>
      </c>
      <c r="C101" s="29" t="s">
        <v>324</v>
      </c>
      <c r="D101" s="30" t="s">
        <v>325</v>
      </c>
      <c r="E101" s="34" t="s">
        <v>772</v>
      </c>
      <c r="F101" s="34" t="s">
        <v>779</v>
      </c>
      <c r="G101" s="125"/>
      <c r="H101" s="43"/>
      <c r="I101" s="43"/>
      <c r="J101" s="43"/>
      <c r="K101" s="43">
        <v>-1.8210995309718925E-2</v>
      </c>
      <c r="L101" s="43"/>
      <c r="M101" s="43"/>
      <c r="N101" s="43"/>
      <c r="O101" s="43"/>
      <c r="P101" s="43"/>
      <c r="Q101" s="43"/>
      <c r="R101" s="43"/>
      <c r="W101" s="68"/>
      <c r="X101" s="5"/>
    </row>
    <row r="102" spans="1:24">
      <c r="A102" s="1" t="s">
        <v>176</v>
      </c>
      <c r="B102" s="13" t="s">
        <v>5</v>
      </c>
      <c r="C102" s="29" t="s">
        <v>331</v>
      </c>
      <c r="D102" s="30" t="s">
        <v>332</v>
      </c>
      <c r="E102" s="34" t="s">
        <v>33</v>
      </c>
      <c r="F102" s="34" t="s">
        <v>784</v>
      </c>
      <c r="G102" s="125">
        <v>0</v>
      </c>
      <c r="H102" s="43">
        <v>0</v>
      </c>
      <c r="I102" s="43">
        <v>0</v>
      </c>
      <c r="J102" s="43">
        <v>0</v>
      </c>
      <c r="K102" s="43">
        <v>-1.95700248104426E-2</v>
      </c>
      <c r="L102" s="43"/>
      <c r="M102" s="43"/>
      <c r="N102" s="43"/>
      <c r="O102" s="43"/>
      <c r="P102" s="43"/>
      <c r="Q102" s="43"/>
      <c r="R102" s="43"/>
      <c r="W102" s="68"/>
      <c r="X102" s="5"/>
    </row>
    <row r="103" spans="1:24">
      <c r="A103" s="1" t="s">
        <v>176</v>
      </c>
      <c r="B103" s="13" t="s">
        <v>5</v>
      </c>
      <c r="C103" s="29" t="s">
        <v>333</v>
      </c>
      <c r="D103" s="30" t="s">
        <v>334</v>
      </c>
      <c r="E103" s="34" t="s">
        <v>33</v>
      </c>
      <c r="F103" s="34" t="s">
        <v>785</v>
      </c>
      <c r="G103" s="125"/>
      <c r="H103" s="43"/>
      <c r="I103" s="43"/>
      <c r="J103" s="43"/>
      <c r="K103" s="43"/>
      <c r="L103" s="43"/>
      <c r="M103" s="43"/>
      <c r="N103" s="43"/>
      <c r="O103" s="43"/>
      <c r="P103" s="43">
        <v>-4.1761092506493999E-2</v>
      </c>
      <c r="Q103" s="43"/>
      <c r="R103" s="43"/>
      <c r="W103" s="68"/>
      <c r="X103" s="5"/>
    </row>
    <row r="104" spans="1:24">
      <c r="A104" s="1" t="s">
        <v>176</v>
      </c>
      <c r="B104" s="13" t="s">
        <v>5</v>
      </c>
      <c r="C104" s="29" t="s">
        <v>335</v>
      </c>
      <c r="D104" s="30" t="s">
        <v>336</v>
      </c>
      <c r="E104" s="34" t="s">
        <v>33</v>
      </c>
      <c r="F104" s="34" t="s">
        <v>782</v>
      </c>
      <c r="G104" s="125"/>
      <c r="H104" s="43"/>
      <c r="I104" s="43"/>
      <c r="J104" s="43"/>
      <c r="K104" s="43"/>
      <c r="L104" s="43"/>
      <c r="M104" s="43"/>
      <c r="N104" s="43">
        <v>-4.0058874061935798E-2</v>
      </c>
      <c r="O104" s="43"/>
      <c r="P104" s="43"/>
      <c r="Q104" s="43"/>
      <c r="R104" s="43"/>
      <c r="W104" s="68"/>
      <c r="X104" s="5"/>
    </row>
    <row r="105" spans="1:24">
      <c r="A105" s="1" t="s">
        <v>176</v>
      </c>
      <c r="B105" s="13" t="s">
        <v>5</v>
      </c>
      <c r="C105" s="51" t="s">
        <v>750</v>
      </c>
      <c r="D105" s="46" t="s">
        <v>752</v>
      </c>
      <c r="E105" s="47" t="s">
        <v>58</v>
      </c>
      <c r="F105" s="47" t="s">
        <v>775</v>
      </c>
      <c r="G105" s="46"/>
      <c r="H105" s="46"/>
      <c r="I105" s="46"/>
      <c r="J105" s="46"/>
      <c r="K105" s="46"/>
      <c r="L105" s="46"/>
      <c r="M105" s="46"/>
      <c r="N105" s="426">
        <v>-1.11E-2</v>
      </c>
      <c r="O105" s="46"/>
      <c r="P105" s="46"/>
      <c r="Q105" s="46"/>
      <c r="R105" s="46"/>
      <c r="W105" s="68"/>
      <c r="X105" s="5"/>
    </row>
    <row r="106" spans="1:24">
      <c r="A106" s="1" t="s">
        <v>176</v>
      </c>
      <c r="B106" s="13" t="s">
        <v>5</v>
      </c>
      <c r="C106" s="51" t="s">
        <v>291</v>
      </c>
      <c r="D106" s="46"/>
      <c r="E106" s="47"/>
      <c r="F106" s="47"/>
      <c r="G106" s="46"/>
      <c r="H106" s="46"/>
      <c r="I106" s="46"/>
      <c r="J106" s="46"/>
      <c r="K106" s="46"/>
      <c r="L106" s="46"/>
      <c r="M106" s="46"/>
      <c r="N106" s="46"/>
      <c r="O106" s="46"/>
      <c r="P106" s="46"/>
      <c r="Q106" s="46"/>
      <c r="R106" s="46"/>
      <c r="W106" s="68"/>
      <c r="X106" s="5"/>
    </row>
    <row r="107" spans="1:24" s="152" customFormat="1">
      <c r="A107" s="148" t="s">
        <v>178</v>
      </c>
      <c r="B107" s="148" t="s">
        <v>225</v>
      </c>
      <c r="C107" s="151"/>
      <c r="D107" s="148"/>
      <c r="E107" s="148"/>
      <c r="F107" s="148"/>
      <c r="G107" s="199">
        <f>RCS!D67</f>
        <v>9.0090917645673905</v>
      </c>
      <c r="H107" s="199">
        <f>RCS!E67</f>
        <v>9.0090917645673905</v>
      </c>
      <c r="I107" s="199">
        <f>RCS!F67</f>
        <v>9.0090917645673905</v>
      </c>
      <c r="J107" s="199">
        <f>RCS!G67</f>
        <v>9.0090917645673905</v>
      </c>
      <c r="K107" s="199">
        <f>RCS!H67</f>
        <v>9.1667522568874809</v>
      </c>
      <c r="L107" s="199">
        <f>RCS!I67</f>
        <v>9.1667522568874809</v>
      </c>
      <c r="M107" s="199">
        <f>RCS!J67</f>
        <v>9.1667522568874809</v>
      </c>
      <c r="N107" s="199">
        <f>RCS!K67</f>
        <v>8.4071819711433751</v>
      </c>
      <c r="O107" s="199">
        <f>RCS!L67</f>
        <v>8.4071819711433751</v>
      </c>
      <c r="P107" s="199">
        <f>RCS!M67</f>
        <v>8.4071819711433751</v>
      </c>
      <c r="Q107" s="199">
        <f>RCS!N67</f>
        <v>8.3880250913011523</v>
      </c>
      <c r="R107" s="199">
        <f>RCS!O67</f>
        <v>8.3880250913011523</v>
      </c>
      <c r="S107" s="198"/>
      <c r="T107" s="198"/>
    </row>
    <row r="108" spans="1:24">
      <c r="A108" s="1" t="s">
        <v>178</v>
      </c>
      <c r="B108" s="12" t="s">
        <v>4</v>
      </c>
      <c r="C108" s="22" t="s">
        <v>337</v>
      </c>
      <c r="D108" s="21" t="s">
        <v>338</v>
      </c>
      <c r="E108" s="23" t="s">
        <v>33</v>
      </c>
      <c r="F108" s="23" t="s">
        <v>781</v>
      </c>
      <c r="G108" s="117">
        <v>-0.10571720946781656</v>
      </c>
      <c r="H108" s="117">
        <v>0</v>
      </c>
      <c r="I108" s="117">
        <v>0</v>
      </c>
      <c r="J108" s="117">
        <v>0</v>
      </c>
      <c r="K108" s="117">
        <v>0</v>
      </c>
      <c r="L108" s="117">
        <v>0</v>
      </c>
      <c r="M108" s="117">
        <v>0</v>
      </c>
      <c r="N108" s="117">
        <v>0</v>
      </c>
      <c r="O108" s="117">
        <v>0</v>
      </c>
      <c r="P108" s="117">
        <v>0</v>
      </c>
      <c r="Q108" s="117">
        <v>0</v>
      </c>
      <c r="R108" s="118">
        <v>0</v>
      </c>
      <c r="W108" s="68"/>
      <c r="X108" s="5"/>
    </row>
    <row r="109" spans="1:24">
      <c r="A109" s="1" t="s">
        <v>178</v>
      </c>
      <c r="B109" s="12" t="s">
        <v>4</v>
      </c>
      <c r="C109" s="28" t="s">
        <v>22</v>
      </c>
      <c r="D109" s="6" t="s">
        <v>309</v>
      </c>
      <c r="E109" s="7" t="s">
        <v>33</v>
      </c>
      <c r="F109" s="7" t="s">
        <v>781</v>
      </c>
      <c r="G109" s="117">
        <v>0</v>
      </c>
      <c r="H109" s="117">
        <v>0</v>
      </c>
      <c r="I109" s="117">
        <v>0</v>
      </c>
      <c r="J109" s="117">
        <v>0</v>
      </c>
      <c r="K109" s="95">
        <v>0.17565637488128091</v>
      </c>
      <c r="L109" s="117">
        <v>0</v>
      </c>
      <c r="M109" s="117">
        <v>0</v>
      </c>
      <c r="N109" s="117">
        <v>0</v>
      </c>
      <c r="O109" s="117">
        <v>0</v>
      </c>
      <c r="P109" s="117">
        <v>0</v>
      </c>
      <c r="Q109" s="117">
        <v>0</v>
      </c>
      <c r="R109" s="118">
        <v>0</v>
      </c>
      <c r="W109" s="68"/>
      <c r="X109" s="5"/>
    </row>
    <row r="110" spans="1:24">
      <c r="A110" s="1" t="s">
        <v>178</v>
      </c>
      <c r="B110" s="12" t="s">
        <v>4</v>
      </c>
      <c r="C110" s="28" t="s">
        <v>22</v>
      </c>
      <c r="D110" s="6" t="s">
        <v>310</v>
      </c>
      <c r="E110" s="7" t="s">
        <v>772</v>
      </c>
      <c r="F110" s="7" t="s">
        <v>777</v>
      </c>
      <c r="G110" s="117">
        <v>0</v>
      </c>
      <c r="H110" s="117">
        <v>0</v>
      </c>
      <c r="I110" s="117">
        <v>0</v>
      </c>
      <c r="J110" s="117">
        <v>0</v>
      </c>
      <c r="K110" s="95">
        <v>7.3104230759459222E-3</v>
      </c>
      <c r="L110" s="117">
        <v>0</v>
      </c>
      <c r="M110" s="117">
        <v>0</v>
      </c>
      <c r="N110" s="117">
        <v>0</v>
      </c>
      <c r="O110" s="117">
        <v>0</v>
      </c>
      <c r="P110" s="117">
        <v>0</v>
      </c>
      <c r="Q110" s="117">
        <v>0</v>
      </c>
      <c r="R110" s="118">
        <v>0</v>
      </c>
      <c r="W110" s="68"/>
      <c r="X110" s="5"/>
    </row>
    <row r="111" spans="1:24">
      <c r="A111" s="1" t="s">
        <v>178</v>
      </c>
      <c r="B111" s="12" t="s">
        <v>4</v>
      </c>
      <c r="C111" s="28" t="s">
        <v>22</v>
      </c>
      <c r="D111" s="6" t="s">
        <v>311</v>
      </c>
      <c r="E111" s="7" t="s">
        <v>140</v>
      </c>
      <c r="F111" s="7" t="s">
        <v>778</v>
      </c>
      <c r="G111" s="117">
        <v>0</v>
      </c>
      <c r="H111" s="117">
        <v>0</v>
      </c>
      <c r="I111" s="117">
        <v>0</v>
      </c>
      <c r="J111" s="117">
        <v>0</v>
      </c>
      <c r="K111" s="95">
        <v>3.7988182492728023E-3</v>
      </c>
      <c r="L111" s="117">
        <v>0</v>
      </c>
      <c r="M111" s="117">
        <v>0</v>
      </c>
      <c r="N111" s="117">
        <v>0</v>
      </c>
      <c r="O111" s="117">
        <v>0</v>
      </c>
      <c r="P111" s="117">
        <v>0</v>
      </c>
      <c r="Q111" s="117">
        <v>0</v>
      </c>
      <c r="R111" s="118">
        <v>0</v>
      </c>
      <c r="W111" s="68"/>
      <c r="X111" s="5"/>
    </row>
    <row r="112" spans="1:24">
      <c r="A112" s="1" t="s">
        <v>178</v>
      </c>
      <c r="B112" s="12" t="s">
        <v>4</v>
      </c>
      <c r="C112" s="28" t="s">
        <v>22</v>
      </c>
      <c r="D112" s="6" t="s">
        <v>248</v>
      </c>
      <c r="E112" s="7" t="s">
        <v>58</v>
      </c>
      <c r="F112" s="7" t="s">
        <v>775</v>
      </c>
      <c r="G112" s="117">
        <v>0</v>
      </c>
      <c r="H112" s="117">
        <v>0</v>
      </c>
      <c r="I112" s="117">
        <v>0</v>
      </c>
      <c r="J112" s="117">
        <v>0</v>
      </c>
      <c r="K112" s="95">
        <v>3.965364642582387E-2</v>
      </c>
      <c r="L112" s="117">
        <v>0</v>
      </c>
      <c r="M112" s="117">
        <v>0</v>
      </c>
      <c r="N112" s="117">
        <v>0</v>
      </c>
      <c r="O112" s="117">
        <v>0</v>
      </c>
      <c r="P112" s="117">
        <v>0</v>
      </c>
      <c r="Q112" s="117">
        <v>0</v>
      </c>
      <c r="R112" s="118">
        <v>0</v>
      </c>
      <c r="W112" s="68"/>
      <c r="X112" s="5"/>
    </row>
    <row r="113" spans="1:24">
      <c r="A113" s="1" t="s">
        <v>178</v>
      </c>
      <c r="B113" s="12" t="s">
        <v>4</v>
      </c>
      <c r="C113" s="22" t="s">
        <v>339</v>
      </c>
      <c r="D113" s="21" t="s">
        <v>340</v>
      </c>
      <c r="E113" s="23" t="s">
        <v>33</v>
      </c>
      <c r="F113" s="23" t="s">
        <v>782</v>
      </c>
      <c r="G113" s="117">
        <v>0</v>
      </c>
      <c r="H113" s="117">
        <v>0</v>
      </c>
      <c r="I113" s="117">
        <v>0</v>
      </c>
      <c r="J113" s="117">
        <v>0</v>
      </c>
      <c r="K113" s="117">
        <v>-6.8758770312232723E-2</v>
      </c>
      <c r="L113" s="117">
        <v>0</v>
      </c>
      <c r="M113" s="117">
        <v>0</v>
      </c>
      <c r="N113" s="117">
        <v>0</v>
      </c>
      <c r="O113" s="117">
        <v>0</v>
      </c>
      <c r="P113" s="117">
        <v>0</v>
      </c>
      <c r="Q113" s="117">
        <v>0</v>
      </c>
      <c r="R113" s="118">
        <v>0</v>
      </c>
      <c r="W113" s="68"/>
      <c r="X113" s="5"/>
    </row>
    <row r="114" spans="1:24">
      <c r="A114" s="1" t="s">
        <v>178</v>
      </c>
      <c r="B114" s="12" t="s">
        <v>4</v>
      </c>
      <c r="C114" s="135" t="s">
        <v>341</v>
      </c>
      <c r="D114" s="21" t="s">
        <v>342</v>
      </c>
      <c r="E114" s="23" t="s">
        <v>33</v>
      </c>
      <c r="F114" s="23" t="s">
        <v>781</v>
      </c>
      <c r="G114" s="117">
        <v>0</v>
      </c>
      <c r="H114" s="117">
        <v>0</v>
      </c>
      <c r="I114" s="117">
        <v>0</v>
      </c>
      <c r="J114" s="117">
        <v>0</v>
      </c>
      <c r="K114" s="117">
        <v>0</v>
      </c>
      <c r="L114" s="117">
        <v>0</v>
      </c>
      <c r="M114" s="117">
        <v>0</v>
      </c>
      <c r="N114" s="134">
        <v>-0.71838299408332895</v>
      </c>
      <c r="O114" s="117">
        <v>0</v>
      </c>
      <c r="P114" s="117">
        <v>0</v>
      </c>
      <c r="Q114" s="117">
        <v>0</v>
      </c>
      <c r="R114" s="118">
        <v>0</v>
      </c>
      <c r="W114" s="68"/>
      <c r="X114" s="5"/>
    </row>
    <row r="115" spans="1:24">
      <c r="A115" s="1" t="s">
        <v>178</v>
      </c>
      <c r="B115" s="12" t="s">
        <v>4</v>
      </c>
      <c r="C115" s="22" t="s">
        <v>343</v>
      </c>
      <c r="D115" s="21" t="s">
        <v>344</v>
      </c>
      <c r="E115" s="23" t="s">
        <v>33</v>
      </c>
      <c r="F115" s="23" t="s">
        <v>784</v>
      </c>
      <c r="G115" s="117">
        <v>0</v>
      </c>
      <c r="H115" s="117">
        <v>0</v>
      </c>
      <c r="I115" s="117">
        <v>0</v>
      </c>
      <c r="J115" s="117">
        <v>0</v>
      </c>
      <c r="K115" s="117">
        <v>0</v>
      </c>
      <c r="L115" s="117">
        <v>0</v>
      </c>
      <c r="M115" s="117">
        <v>0</v>
      </c>
      <c r="N115" s="117">
        <v>-4.1187291660777538E-2</v>
      </c>
      <c r="O115" s="117">
        <v>0</v>
      </c>
      <c r="P115" s="117">
        <v>0</v>
      </c>
      <c r="Q115" s="117">
        <v>0</v>
      </c>
      <c r="R115" s="118">
        <v>0</v>
      </c>
      <c r="W115" s="68"/>
      <c r="X115" s="5"/>
    </row>
    <row r="116" spans="1:24">
      <c r="A116" s="1" t="s">
        <v>178</v>
      </c>
      <c r="B116" s="12" t="s">
        <v>4</v>
      </c>
      <c r="C116" s="22" t="s">
        <v>345</v>
      </c>
      <c r="D116" s="21" t="s">
        <v>346</v>
      </c>
      <c r="E116" s="23" t="s">
        <v>33</v>
      </c>
      <c r="F116" s="23" t="s">
        <v>781</v>
      </c>
      <c r="G116" s="117">
        <v>0</v>
      </c>
      <c r="H116" s="117">
        <v>0</v>
      </c>
      <c r="I116" s="117">
        <v>0</v>
      </c>
      <c r="J116" s="117">
        <v>0</v>
      </c>
      <c r="K116" s="117">
        <v>0</v>
      </c>
      <c r="L116" s="117">
        <v>0</v>
      </c>
      <c r="M116" s="117">
        <v>0</v>
      </c>
      <c r="N116" s="117">
        <v>0</v>
      </c>
      <c r="O116" s="117">
        <v>0</v>
      </c>
      <c r="P116" s="117">
        <v>0</v>
      </c>
      <c r="Q116" s="117">
        <v>-9.5784399211110566E-3</v>
      </c>
      <c r="R116" s="118">
        <v>0</v>
      </c>
      <c r="W116" s="68"/>
      <c r="X116" s="5"/>
    </row>
    <row r="117" spans="1:24" s="10" customFormat="1">
      <c r="A117" s="96" t="s">
        <v>178</v>
      </c>
      <c r="B117" s="18" t="s">
        <v>4</v>
      </c>
      <c r="C117" s="25" t="s">
        <v>347</v>
      </c>
      <c r="D117" s="26" t="s">
        <v>348</v>
      </c>
      <c r="E117" s="27" t="s">
        <v>33</v>
      </c>
      <c r="F117" s="27" t="s">
        <v>784</v>
      </c>
      <c r="G117" s="121">
        <v>0</v>
      </c>
      <c r="H117" s="121">
        <v>0</v>
      </c>
      <c r="I117" s="121">
        <v>0</v>
      </c>
      <c r="J117" s="121">
        <v>0</v>
      </c>
      <c r="K117" s="121">
        <v>0</v>
      </c>
      <c r="L117" s="121">
        <v>0</v>
      </c>
      <c r="M117" s="121">
        <v>0</v>
      </c>
      <c r="N117" s="121">
        <v>0</v>
      </c>
      <c r="O117" s="121">
        <v>0</v>
      </c>
      <c r="P117" s="121">
        <v>0</v>
      </c>
      <c r="Q117" s="121">
        <v>-9.5784399211110566E-3</v>
      </c>
      <c r="R117" s="122">
        <v>0</v>
      </c>
    </row>
    <row r="118" spans="1:24">
      <c r="A118" s="200" t="s">
        <v>178</v>
      </c>
      <c r="B118" s="200" t="s">
        <v>251</v>
      </c>
      <c r="C118" s="200"/>
      <c r="D118" s="200"/>
      <c r="E118" s="200"/>
      <c r="F118" s="200"/>
      <c r="G118" s="201">
        <f>RCS!D69</f>
        <v>8.8883422570372481</v>
      </c>
      <c r="H118" s="201">
        <f>RCS!E69</f>
        <v>8.8646103297622663</v>
      </c>
      <c r="I118" s="201">
        <f>RCS!F69</f>
        <v>8.8646103297622663</v>
      </c>
      <c r="J118" s="201">
        <f>RCS!G69</f>
        <v>8.8646103297622663</v>
      </c>
      <c r="K118" s="201">
        <f>RCS!H69</f>
        <v>8.7719136455768005</v>
      </c>
      <c r="L118" s="201">
        <f>RCS!I69</f>
        <v>8.6544676232800626</v>
      </c>
      <c r="M118" s="201">
        <f>RCS!J69</f>
        <v>8.6544676232800626</v>
      </c>
      <c r="N118" s="201">
        <f>RCS!K69</f>
        <v>8.4336437866765586</v>
      </c>
      <c r="O118" s="201">
        <f>RCS!L69</f>
        <v>8.4336437866765586</v>
      </c>
      <c r="P118" s="201">
        <f>RCS!M69</f>
        <v>8.4563276388978199</v>
      </c>
      <c r="Q118" s="201">
        <f>RCS!N69</f>
        <v>8.4471508737426806</v>
      </c>
      <c r="R118" s="201">
        <f>RCS!O69</f>
        <v>8.4471508737426806</v>
      </c>
    </row>
    <row r="119" spans="1:24">
      <c r="A119" s="1" t="s">
        <v>178</v>
      </c>
      <c r="B119" s="13" t="s">
        <v>5</v>
      </c>
      <c r="C119" s="29" t="s">
        <v>349</v>
      </c>
      <c r="D119" s="30" t="s">
        <v>350</v>
      </c>
      <c r="E119" s="34" t="s">
        <v>58</v>
      </c>
      <c r="F119" s="34" t="s">
        <v>416</v>
      </c>
      <c r="G119" s="43">
        <v>-5.2711925287287752E-4</v>
      </c>
      <c r="H119" s="43">
        <v>0</v>
      </c>
      <c r="I119" s="43">
        <v>0</v>
      </c>
      <c r="J119" s="43"/>
      <c r="K119" s="43"/>
      <c r="L119" s="43"/>
      <c r="M119" s="43"/>
      <c r="N119" s="43"/>
      <c r="O119" s="43"/>
      <c r="P119" s="43"/>
      <c r="Q119" s="43"/>
      <c r="R119" s="43"/>
    </row>
    <row r="120" spans="1:24">
      <c r="A120" s="1" t="s">
        <v>178</v>
      </c>
      <c r="B120" s="13" t="s">
        <v>5</v>
      </c>
      <c r="C120" s="28" t="s">
        <v>22</v>
      </c>
      <c r="D120" s="6" t="s">
        <v>309</v>
      </c>
      <c r="E120" s="7" t="s">
        <v>33</v>
      </c>
      <c r="F120" s="7" t="s">
        <v>781</v>
      </c>
      <c r="G120" s="43">
        <v>0</v>
      </c>
      <c r="H120" s="43">
        <v>0</v>
      </c>
      <c r="I120" s="43">
        <v>0</v>
      </c>
      <c r="J120" s="43"/>
      <c r="K120" s="43"/>
      <c r="L120" s="43"/>
      <c r="M120" s="43"/>
      <c r="N120" s="43"/>
      <c r="O120" s="43"/>
      <c r="P120" s="43"/>
      <c r="Q120" s="43"/>
      <c r="R120" s="43"/>
    </row>
    <row r="121" spans="1:24">
      <c r="A121" s="1" t="s">
        <v>178</v>
      </c>
      <c r="B121" s="13" t="s">
        <v>5</v>
      </c>
      <c r="C121" s="28" t="s">
        <v>22</v>
      </c>
      <c r="D121" s="6" t="s">
        <v>310</v>
      </c>
      <c r="E121" s="7" t="s">
        <v>772</v>
      </c>
      <c r="F121" s="7" t="s">
        <v>777</v>
      </c>
      <c r="G121" s="43">
        <v>0</v>
      </c>
      <c r="H121" s="43">
        <v>0</v>
      </c>
      <c r="I121" s="43">
        <v>0</v>
      </c>
      <c r="J121" s="43"/>
      <c r="K121" s="43"/>
      <c r="L121" s="43"/>
      <c r="M121" s="43"/>
      <c r="N121" s="43"/>
      <c r="O121" s="45"/>
      <c r="P121" s="43"/>
      <c r="Q121" s="43"/>
      <c r="R121" s="43"/>
    </row>
    <row r="122" spans="1:24">
      <c r="A122" s="1" t="s">
        <v>178</v>
      </c>
      <c r="B122" s="13" t="s">
        <v>5</v>
      </c>
      <c r="C122" s="28" t="s">
        <v>22</v>
      </c>
      <c r="D122" s="6" t="s">
        <v>311</v>
      </c>
      <c r="E122" s="7" t="s">
        <v>140</v>
      </c>
      <c r="F122" s="7" t="s">
        <v>778</v>
      </c>
      <c r="G122" s="43">
        <v>0</v>
      </c>
      <c r="H122" s="43">
        <v>0</v>
      </c>
      <c r="I122" s="43">
        <v>0</v>
      </c>
      <c r="J122" s="43"/>
      <c r="K122" s="43"/>
      <c r="L122" s="43"/>
      <c r="M122" s="43"/>
      <c r="N122" s="43"/>
      <c r="O122" s="43"/>
      <c r="P122" s="43"/>
      <c r="Q122" s="43"/>
      <c r="R122" s="43"/>
    </row>
    <row r="123" spans="1:24">
      <c r="A123" s="1" t="s">
        <v>178</v>
      </c>
      <c r="B123" s="13" t="s">
        <v>5</v>
      </c>
      <c r="C123" s="28" t="s">
        <v>22</v>
      </c>
      <c r="D123" s="6" t="s">
        <v>248</v>
      </c>
      <c r="E123" s="7" t="s">
        <v>58</v>
      </c>
      <c r="F123" s="7" t="s">
        <v>775</v>
      </c>
      <c r="G123" s="43">
        <v>0</v>
      </c>
      <c r="H123" s="43">
        <v>0</v>
      </c>
      <c r="I123" s="43">
        <v>0</v>
      </c>
      <c r="J123" s="43"/>
      <c r="K123" s="43"/>
      <c r="L123" s="43"/>
      <c r="M123" s="43"/>
      <c r="N123" s="43"/>
      <c r="O123" s="43"/>
      <c r="P123" s="45">
        <v>2.2683852221261139E-2</v>
      </c>
      <c r="Q123" s="43"/>
      <c r="R123" s="43"/>
    </row>
    <row r="124" spans="1:24">
      <c r="A124" s="1" t="s">
        <v>178</v>
      </c>
      <c r="B124" s="13" t="s">
        <v>5</v>
      </c>
      <c r="C124" s="29" t="s">
        <v>322</v>
      </c>
      <c r="D124" s="30" t="s">
        <v>323</v>
      </c>
      <c r="E124" s="34" t="s">
        <v>58</v>
      </c>
      <c r="F124" s="34" t="s">
        <v>416</v>
      </c>
      <c r="G124" s="43">
        <v>0</v>
      </c>
      <c r="H124" s="43">
        <v>0</v>
      </c>
      <c r="I124" s="43">
        <v>0</v>
      </c>
      <c r="J124" s="43"/>
      <c r="K124" s="43">
        <v>-5.5448403629587163E-4</v>
      </c>
      <c r="L124" s="43">
        <v>-1.1628319039281498E-3</v>
      </c>
      <c r="M124" s="43"/>
      <c r="N124" s="43"/>
      <c r="O124" s="43"/>
      <c r="P124" s="43"/>
      <c r="Q124" s="43"/>
      <c r="R124" s="43"/>
    </row>
    <row r="125" spans="1:24">
      <c r="A125" s="1" t="s">
        <v>178</v>
      </c>
      <c r="B125" s="13" t="s">
        <v>5</v>
      </c>
      <c r="C125" s="29" t="s">
        <v>339</v>
      </c>
      <c r="D125" s="30" t="s">
        <v>340</v>
      </c>
      <c r="E125" s="34" t="s">
        <v>33</v>
      </c>
      <c r="F125" s="34" t="s">
        <v>782</v>
      </c>
      <c r="G125" s="43">
        <v>0</v>
      </c>
      <c r="H125" s="43">
        <v>0</v>
      </c>
      <c r="I125" s="43">
        <v>0</v>
      </c>
      <c r="J125" s="43"/>
      <c r="K125" s="43">
        <v>-7.2572175338727618E-2</v>
      </c>
      <c r="L125" s="43">
        <v>-0.10165540665424355</v>
      </c>
      <c r="M125" s="43"/>
      <c r="N125" s="43"/>
      <c r="O125" s="43"/>
      <c r="P125" s="43"/>
      <c r="Q125" s="43"/>
      <c r="R125" s="43"/>
    </row>
    <row r="126" spans="1:24">
      <c r="A126" s="1" t="s">
        <v>178</v>
      </c>
      <c r="B126" s="13" t="s">
        <v>5</v>
      </c>
      <c r="C126" s="29" t="s">
        <v>341</v>
      </c>
      <c r="D126" s="30" t="s">
        <v>342</v>
      </c>
      <c r="E126" s="34" t="s">
        <v>33</v>
      </c>
      <c r="F126" s="34" t="s">
        <v>781</v>
      </c>
      <c r="G126" s="43">
        <v>0</v>
      </c>
      <c r="H126" s="43">
        <v>0</v>
      </c>
      <c r="I126" s="43">
        <v>0</v>
      </c>
      <c r="J126" s="43"/>
      <c r="K126" s="43"/>
      <c r="L126" s="43"/>
      <c r="M126" s="43"/>
      <c r="N126" s="43">
        <v>-9.7850124052212793E-3</v>
      </c>
      <c r="O126" s="43"/>
      <c r="P126" s="43"/>
      <c r="Q126" s="43"/>
      <c r="R126" s="43"/>
    </row>
    <row r="127" spans="1:24">
      <c r="A127" s="1" t="s">
        <v>178</v>
      </c>
      <c r="B127" s="13" t="s">
        <v>5</v>
      </c>
      <c r="C127" s="29" t="s">
        <v>351</v>
      </c>
      <c r="D127" s="30" t="s">
        <v>352</v>
      </c>
      <c r="E127" s="34" t="s">
        <v>772</v>
      </c>
      <c r="F127" s="34" t="s">
        <v>779</v>
      </c>
      <c r="G127" s="43"/>
      <c r="H127" s="43"/>
      <c r="I127" s="43"/>
      <c r="J127" s="43"/>
      <c r="K127" s="43"/>
      <c r="L127" s="43">
        <v>-1.4627783738566429E-2</v>
      </c>
      <c r="M127" s="43"/>
      <c r="N127" s="43"/>
      <c r="O127" s="43"/>
      <c r="P127" s="43"/>
      <c r="Q127" s="43"/>
      <c r="R127" s="43"/>
    </row>
    <row r="128" spans="1:24">
      <c r="A128" s="1" t="s">
        <v>178</v>
      </c>
      <c r="B128" s="13" t="s">
        <v>5</v>
      </c>
      <c r="C128" s="29" t="s">
        <v>345</v>
      </c>
      <c r="D128" s="30" t="s">
        <v>346</v>
      </c>
      <c r="E128" s="34" t="s">
        <v>33</v>
      </c>
      <c r="F128" s="34" t="s">
        <v>781</v>
      </c>
      <c r="G128" s="43">
        <v>0</v>
      </c>
      <c r="H128" s="43">
        <v>0</v>
      </c>
      <c r="I128" s="43">
        <v>0</v>
      </c>
      <c r="J128" s="43"/>
      <c r="K128" s="43"/>
      <c r="L128" s="43"/>
      <c r="M128" s="43"/>
      <c r="N128" s="43"/>
      <c r="O128" s="43"/>
      <c r="P128" s="43"/>
      <c r="Q128" s="43">
        <v>-9.1767651551390092E-3</v>
      </c>
      <c r="R128" s="43"/>
    </row>
    <row r="129" spans="1:21">
      <c r="A129" s="1" t="s">
        <v>178</v>
      </c>
      <c r="B129" s="13" t="s">
        <v>5</v>
      </c>
      <c r="C129" s="29" t="s">
        <v>264</v>
      </c>
      <c r="D129" s="30" t="s">
        <v>353</v>
      </c>
      <c r="E129" s="34" t="s">
        <v>58</v>
      </c>
      <c r="F129" s="34" t="s">
        <v>775</v>
      </c>
      <c r="G129" s="43">
        <v>0</v>
      </c>
      <c r="H129" s="43">
        <v>-2.3731927274982332E-2</v>
      </c>
      <c r="I129" s="43">
        <v>0</v>
      </c>
      <c r="J129" s="43"/>
      <c r="K129" s="43"/>
      <c r="L129" s="43"/>
      <c r="M129" s="43"/>
      <c r="N129" s="43"/>
      <c r="O129" s="43"/>
      <c r="P129" s="43"/>
      <c r="Q129" s="43"/>
      <c r="R129" s="43"/>
    </row>
    <row r="130" spans="1:21">
      <c r="A130" s="1" t="s">
        <v>178</v>
      </c>
      <c r="B130" s="13" t="s">
        <v>5</v>
      </c>
      <c r="C130" s="29" t="s">
        <v>354</v>
      </c>
      <c r="D130" s="30" t="s">
        <v>355</v>
      </c>
      <c r="E130" s="34" t="s">
        <v>33</v>
      </c>
      <c r="F130" s="34" t="s">
        <v>782</v>
      </c>
      <c r="G130" s="43">
        <v>-5.2711925287288186E-2</v>
      </c>
      <c r="H130" s="43">
        <v>0</v>
      </c>
      <c r="I130" s="43">
        <v>0</v>
      </c>
      <c r="J130" s="43"/>
      <c r="K130" s="43"/>
      <c r="L130" s="43"/>
      <c r="M130" s="43"/>
      <c r="N130" s="43"/>
      <c r="O130" s="43"/>
      <c r="P130" s="43"/>
      <c r="Q130" s="43"/>
      <c r="R130" s="43"/>
    </row>
    <row r="131" spans="1:21">
      <c r="A131" s="1" t="s">
        <v>178</v>
      </c>
      <c r="B131" s="13" t="s">
        <v>5</v>
      </c>
      <c r="C131" s="29" t="s">
        <v>356</v>
      </c>
      <c r="D131" s="30" t="s">
        <v>357</v>
      </c>
      <c r="E131" s="34" t="s">
        <v>33</v>
      </c>
      <c r="F131" s="34" t="s">
        <v>784</v>
      </c>
      <c r="G131" s="43"/>
      <c r="H131" s="43"/>
      <c r="I131" s="43"/>
      <c r="J131" s="43"/>
      <c r="K131" s="43">
        <v>-1.9570024810442566E-2</v>
      </c>
      <c r="L131" s="43"/>
      <c r="M131" s="43"/>
      <c r="N131" s="43"/>
      <c r="O131" s="43"/>
      <c r="P131" s="43"/>
      <c r="Q131" s="43"/>
      <c r="R131" s="43"/>
    </row>
    <row r="132" spans="1:21">
      <c r="A132" s="1" t="s">
        <v>178</v>
      </c>
      <c r="B132" s="13" t="s">
        <v>5</v>
      </c>
      <c r="C132" s="29" t="s">
        <v>358</v>
      </c>
      <c r="D132" s="30" t="s">
        <v>359</v>
      </c>
      <c r="E132" s="34" t="s">
        <v>33</v>
      </c>
      <c r="F132" s="34" t="s">
        <v>782</v>
      </c>
      <c r="G132" s="43"/>
      <c r="H132" s="43"/>
      <c r="I132" s="43"/>
      <c r="J132" s="43"/>
      <c r="K132" s="43"/>
      <c r="L132" s="43"/>
      <c r="M132" s="43"/>
      <c r="N132" s="43">
        <v>-0.196038824198283</v>
      </c>
      <c r="O132" s="43"/>
      <c r="P132" s="43"/>
      <c r="Q132" s="43"/>
      <c r="R132" s="43"/>
    </row>
    <row r="133" spans="1:21">
      <c r="A133" s="1" t="s">
        <v>178</v>
      </c>
      <c r="B133" s="13" t="s">
        <v>5</v>
      </c>
      <c r="C133" s="51" t="s">
        <v>750</v>
      </c>
      <c r="D133" s="46" t="s">
        <v>752</v>
      </c>
      <c r="E133" s="47" t="s">
        <v>58</v>
      </c>
      <c r="F133" s="47" t="s">
        <v>775</v>
      </c>
      <c r="G133" s="46"/>
      <c r="H133" s="46"/>
      <c r="I133" s="46"/>
      <c r="J133" s="46"/>
      <c r="K133" s="46"/>
      <c r="L133" s="46"/>
      <c r="M133" s="46"/>
      <c r="N133" s="426">
        <v>-1.4999999999999999E-2</v>
      </c>
      <c r="O133" s="46"/>
      <c r="P133" s="46"/>
      <c r="Q133" s="46"/>
      <c r="R133" s="46"/>
    </row>
    <row r="134" spans="1:21">
      <c r="A134" s="1" t="s">
        <v>178</v>
      </c>
      <c r="B134" s="13" t="s">
        <v>5</v>
      </c>
      <c r="C134" s="51" t="s">
        <v>291</v>
      </c>
      <c r="D134" s="46"/>
      <c r="E134" s="47"/>
      <c r="F134" s="47"/>
      <c r="G134" s="46"/>
      <c r="H134" s="46"/>
      <c r="I134" s="46"/>
      <c r="J134" s="46"/>
      <c r="K134" s="46"/>
      <c r="L134" s="46"/>
      <c r="M134" s="46"/>
      <c r="N134" s="46"/>
      <c r="O134" s="46"/>
      <c r="P134" s="46"/>
      <c r="Q134" s="46"/>
      <c r="R134" s="46"/>
    </row>
    <row r="135" spans="1:21">
      <c r="A135" s="1" t="s">
        <v>178</v>
      </c>
      <c r="B135" s="13" t="s">
        <v>5</v>
      </c>
      <c r="C135" s="51" t="s">
        <v>291</v>
      </c>
      <c r="D135" s="46"/>
      <c r="E135" s="47"/>
      <c r="F135" s="47"/>
      <c r="G135" s="46"/>
      <c r="H135" s="46"/>
      <c r="I135" s="46"/>
      <c r="J135" s="46"/>
      <c r="K135" s="46"/>
      <c r="L135" s="46"/>
      <c r="M135" s="46"/>
      <c r="N135" s="46"/>
      <c r="O135" s="46"/>
      <c r="P135" s="46"/>
      <c r="Q135" s="46"/>
      <c r="R135" s="46"/>
    </row>
    <row r="136" spans="1:21" s="152" customFormat="1">
      <c r="A136" s="148" t="s">
        <v>149</v>
      </c>
      <c r="B136" s="148" t="s">
        <v>225</v>
      </c>
      <c r="C136" s="151"/>
      <c r="D136" s="148"/>
      <c r="E136" s="148"/>
      <c r="F136" s="148"/>
      <c r="G136" s="199">
        <f>RCS!D86</f>
        <v>2.9673437847427744</v>
      </c>
      <c r="H136" s="199">
        <f>RCS!E86</f>
        <v>2.9673437847427744</v>
      </c>
      <c r="I136" s="199">
        <f>RCS!F86</f>
        <v>2.9325270380863833</v>
      </c>
      <c r="J136" s="199">
        <f>RCS!G86</f>
        <v>2.838590918996259</v>
      </c>
      <c r="K136" s="199">
        <f>RCS!H86</f>
        <v>2.6885218847038814</v>
      </c>
      <c r="L136" s="199">
        <f>RCS!I86</f>
        <v>2.6300292549926696</v>
      </c>
      <c r="M136" s="199">
        <f>RCS!J86</f>
        <v>2.6300292549926696</v>
      </c>
      <c r="N136" s="199">
        <f>RCS!K86</f>
        <v>2.6185351270873363</v>
      </c>
      <c r="O136" s="199">
        <f>RCS!L86</f>
        <v>2.6185351270873363</v>
      </c>
      <c r="P136" s="199">
        <f>RCS!M86</f>
        <v>2.6185351270873363</v>
      </c>
      <c r="Q136" s="199">
        <f>RCS!N86</f>
        <v>2.6070409991820029</v>
      </c>
      <c r="R136" s="234">
        <f>RCS!O86</f>
        <v>2.6070409991820029</v>
      </c>
      <c r="S136" s="198"/>
      <c r="T136" s="198"/>
    </row>
    <row r="137" spans="1:21">
      <c r="A137" s="1" t="s">
        <v>149</v>
      </c>
      <c r="B137" s="12" t="s">
        <v>4</v>
      </c>
      <c r="C137" s="22" t="s">
        <v>360</v>
      </c>
      <c r="D137" s="21" t="s">
        <v>361</v>
      </c>
      <c r="E137" s="23" t="s">
        <v>33</v>
      </c>
      <c r="F137" s="23" t="s">
        <v>782</v>
      </c>
      <c r="G137" s="117">
        <v>0</v>
      </c>
      <c r="H137" s="117">
        <v>0</v>
      </c>
      <c r="I137" s="117">
        <v>0</v>
      </c>
      <c r="J137" s="117">
        <v>0</v>
      </c>
      <c r="K137" s="117">
        <v>0</v>
      </c>
      <c r="L137" s="117">
        <v>0</v>
      </c>
      <c r="M137" s="117">
        <v>0</v>
      </c>
      <c r="N137" s="117">
        <v>0</v>
      </c>
      <c r="O137" s="117">
        <v>0</v>
      </c>
      <c r="P137" s="117">
        <v>0</v>
      </c>
      <c r="Q137" s="117">
        <v>0</v>
      </c>
      <c r="R137" s="118">
        <v>0</v>
      </c>
      <c r="U137" s="88">
        <f>SUM(G137:R137)</f>
        <v>0</v>
      </c>
    </row>
    <row r="138" spans="1:21">
      <c r="A138" s="1" t="s">
        <v>149</v>
      </c>
      <c r="B138" s="12" t="s">
        <v>4</v>
      </c>
      <c r="C138" s="22" t="s">
        <v>362</v>
      </c>
      <c r="D138" s="21" t="s">
        <v>363</v>
      </c>
      <c r="E138" s="23" t="s">
        <v>58</v>
      </c>
      <c r="F138" s="23" t="s">
        <v>775</v>
      </c>
      <c r="G138" s="117">
        <v>0</v>
      </c>
      <c r="H138" s="117">
        <v>0</v>
      </c>
      <c r="I138" s="117">
        <v>0</v>
      </c>
      <c r="J138" s="117">
        <v>0</v>
      </c>
      <c r="K138" s="117">
        <v>0</v>
      </c>
      <c r="L138" s="117">
        <v>0</v>
      </c>
      <c r="M138" s="117">
        <v>0</v>
      </c>
      <c r="N138" s="117">
        <v>0</v>
      </c>
      <c r="O138" s="117">
        <v>0</v>
      </c>
      <c r="P138" s="117">
        <v>0</v>
      </c>
      <c r="Q138" s="117">
        <v>0</v>
      </c>
      <c r="R138" s="118">
        <v>0</v>
      </c>
    </row>
    <row r="139" spans="1:21">
      <c r="A139" s="99" t="s">
        <v>149</v>
      </c>
      <c r="B139" s="100" t="s">
        <v>4</v>
      </c>
      <c r="C139" s="101" t="s">
        <v>364</v>
      </c>
      <c r="D139" s="102" t="s">
        <v>365</v>
      </c>
      <c r="E139" s="103" t="s">
        <v>772</v>
      </c>
      <c r="F139" s="103"/>
      <c r="G139" s="117">
        <v>-6.2297912313242165E-2</v>
      </c>
      <c r="H139" s="117">
        <v>0</v>
      </c>
      <c r="I139" s="117">
        <v>0</v>
      </c>
      <c r="J139" s="117">
        <v>0</v>
      </c>
      <c r="K139" s="117">
        <v>0</v>
      </c>
      <c r="L139" s="117">
        <v>0</v>
      </c>
      <c r="M139" s="117">
        <v>0</v>
      </c>
      <c r="N139" s="117">
        <v>0</v>
      </c>
      <c r="O139" s="117">
        <v>0</v>
      </c>
      <c r="P139" s="117">
        <v>0</v>
      </c>
      <c r="Q139" s="117">
        <v>0</v>
      </c>
      <c r="R139" s="118">
        <v>0</v>
      </c>
    </row>
    <row r="140" spans="1:21">
      <c r="A140" s="99" t="s">
        <v>149</v>
      </c>
      <c r="B140" s="100" t="s">
        <v>4</v>
      </c>
      <c r="C140" s="101" t="s">
        <v>366</v>
      </c>
      <c r="D140" s="102" t="s">
        <v>367</v>
      </c>
      <c r="E140" s="103" t="s">
        <v>772</v>
      </c>
      <c r="F140" s="103" t="s">
        <v>777</v>
      </c>
      <c r="G140" s="117">
        <v>0</v>
      </c>
      <c r="H140" s="117">
        <v>0</v>
      </c>
      <c r="I140" s="117">
        <v>0</v>
      </c>
      <c r="J140" s="117">
        <v>-9.3936119090124323E-2</v>
      </c>
      <c r="K140" s="117">
        <v>0</v>
      </c>
      <c r="L140" s="117">
        <v>0</v>
      </c>
      <c r="M140" s="117">
        <v>0</v>
      </c>
      <c r="N140" s="117">
        <v>0</v>
      </c>
      <c r="O140" s="117">
        <v>0</v>
      </c>
      <c r="P140" s="117">
        <v>0</v>
      </c>
      <c r="Q140" s="117">
        <v>0</v>
      </c>
      <c r="R140" s="118">
        <v>0</v>
      </c>
    </row>
    <row r="141" spans="1:21">
      <c r="A141" s="1" t="s">
        <v>149</v>
      </c>
      <c r="B141" s="12" t="s">
        <v>4</v>
      </c>
      <c r="C141" s="22" t="s">
        <v>368</v>
      </c>
      <c r="D141" s="21" t="s">
        <v>369</v>
      </c>
      <c r="E141" s="23" t="s">
        <v>33</v>
      </c>
      <c r="F141" s="23" t="s">
        <v>781</v>
      </c>
      <c r="G141" s="117">
        <v>0</v>
      </c>
      <c r="H141" s="117">
        <v>0</v>
      </c>
      <c r="I141" s="117">
        <v>-3.4816746656391201E-2</v>
      </c>
      <c r="J141" s="117">
        <v>0</v>
      </c>
      <c r="K141" s="117">
        <v>0</v>
      </c>
      <c r="L141" s="117">
        <v>0</v>
      </c>
      <c r="M141" s="117">
        <v>0</v>
      </c>
      <c r="N141" s="117">
        <v>0</v>
      </c>
      <c r="O141" s="117">
        <v>0</v>
      </c>
      <c r="P141" s="117">
        <v>0</v>
      </c>
      <c r="Q141" s="117">
        <v>0</v>
      </c>
      <c r="R141" s="118">
        <v>0</v>
      </c>
      <c r="U141" s="88">
        <f t="shared" ref="U141:U172" si="0">SUM(G141:R141)</f>
        <v>-3.4816746656391201E-2</v>
      </c>
    </row>
    <row r="142" spans="1:21">
      <c r="A142" s="1" t="s">
        <v>149</v>
      </c>
      <c r="B142" s="12" t="s">
        <v>4</v>
      </c>
      <c r="C142" s="22" t="s">
        <v>370</v>
      </c>
      <c r="D142" s="21" t="s">
        <v>371</v>
      </c>
      <c r="E142" s="23" t="s">
        <v>33</v>
      </c>
      <c r="F142" s="23" t="s">
        <v>782</v>
      </c>
      <c r="G142" s="117">
        <v>0</v>
      </c>
      <c r="H142" s="117">
        <v>0</v>
      </c>
      <c r="I142" s="117">
        <v>0</v>
      </c>
      <c r="J142" s="117">
        <v>0</v>
      </c>
      <c r="K142" s="117">
        <v>-5.6789337323339711E-2</v>
      </c>
      <c r="L142" s="117">
        <v>0</v>
      </c>
      <c r="M142" s="117">
        <v>0</v>
      </c>
      <c r="N142" s="117">
        <v>0</v>
      </c>
      <c r="O142" s="117">
        <v>0</v>
      </c>
      <c r="P142" s="117">
        <v>0</v>
      </c>
      <c r="Q142" s="117">
        <v>0</v>
      </c>
      <c r="R142" s="118">
        <v>0</v>
      </c>
      <c r="U142" s="88">
        <f t="shared" si="0"/>
        <v>-5.6789337323339711E-2</v>
      </c>
    </row>
    <row r="143" spans="1:21">
      <c r="A143" s="1" t="s">
        <v>149</v>
      </c>
      <c r="B143" s="12" t="s">
        <v>4</v>
      </c>
      <c r="C143" s="22" t="s">
        <v>372</v>
      </c>
      <c r="D143" s="21" t="s">
        <v>373</v>
      </c>
      <c r="E143" s="23" t="s">
        <v>33</v>
      </c>
      <c r="F143" s="23" t="s">
        <v>781</v>
      </c>
      <c r="G143" s="117">
        <v>0</v>
      </c>
      <c r="H143" s="117">
        <v>0</v>
      </c>
      <c r="I143" s="117">
        <v>0</v>
      </c>
      <c r="J143" s="117">
        <v>0</v>
      </c>
      <c r="K143" s="117">
        <v>-1.663452108887617E-2</v>
      </c>
      <c r="L143" s="117">
        <v>0</v>
      </c>
      <c r="M143" s="117">
        <v>0</v>
      </c>
      <c r="N143" s="117">
        <v>0</v>
      </c>
      <c r="O143" s="117">
        <v>0</v>
      </c>
      <c r="P143" s="117">
        <v>0</v>
      </c>
      <c r="Q143" s="117">
        <v>0</v>
      </c>
      <c r="R143" s="118">
        <v>0</v>
      </c>
      <c r="U143" s="88">
        <f t="shared" si="0"/>
        <v>-1.663452108887617E-2</v>
      </c>
    </row>
    <row r="144" spans="1:21">
      <c r="A144" s="1" t="s">
        <v>149</v>
      </c>
      <c r="B144" s="12" t="s">
        <v>4</v>
      </c>
      <c r="C144" s="22" t="s">
        <v>374</v>
      </c>
      <c r="D144" s="21" t="s">
        <v>375</v>
      </c>
      <c r="E144" s="23" t="s">
        <v>33</v>
      </c>
      <c r="F144" s="23" t="s">
        <v>784</v>
      </c>
      <c r="G144" s="117">
        <v>0</v>
      </c>
      <c r="H144" s="117">
        <v>0</v>
      </c>
      <c r="I144" s="117">
        <v>0</v>
      </c>
      <c r="J144" s="117">
        <v>0</v>
      </c>
      <c r="K144" s="117">
        <v>0</v>
      </c>
      <c r="L144" s="117">
        <v>0</v>
      </c>
      <c r="M144" s="117">
        <v>0</v>
      </c>
      <c r="N144" s="117">
        <v>-1.1494127905333267E-2</v>
      </c>
      <c r="O144" s="117">
        <v>0</v>
      </c>
      <c r="P144" s="117">
        <v>0</v>
      </c>
      <c r="Q144" s="117">
        <v>0</v>
      </c>
      <c r="R144" s="118">
        <v>0</v>
      </c>
      <c r="U144" s="88">
        <f t="shared" si="0"/>
        <v>-1.1494127905333267E-2</v>
      </c>
    </row>
    <row r="145" spans="1:24">
      <c r="A145" s="1" t="s">
        <v>149</v>
      </c>
      <c r="B145" s="12" t="s">
        <v>4</v>
      </c>
      <c r="C145" s="22" t="s">
        <v>376</v>
      </c>
      <c r="D145" s="21" t="s">
        <v>377</v>
      </c>
      <c r="E145" s="23" t="s">
        <v>33</v>
      </c>
      <c r="F145" s="23" t="s">
        <v>784</v>
      </c>
      <c r="G145" s="117">
        <v>0</v>
      </c>
      <c r="H145" s="117">
        <v>0</v>
      </c>
      <c r="I145" s="117">
        <v>0</v>
      </c>
      <c r="J145" s="117">
        <v>0</v>
      </c>
      <c r="K145" s="117">
        <v>0</v>
      </c>
      <c r="L145" s="117">
        <v>0</v>
      </c>
      <c r="M145" s="117">
        <v>0</v>
      </c>
      <c r="N145" s="117">
        <v>0</v>
      </c>
      <c r="O145" s="117">
        <v>0</v>
      </c>
      <c r="P145" s="117">
        <v>0</v>
      </c>
      <c r="Q145" s="117">
        <v>-4.7892199605555283E-3</v>
      </c>
      <c r="R145" s="118">
        <v>0</v>
      </c>
      <c r="U145" s="88">
        <f t="shared" si="0"/>
        <v>-4.7892199605555283E-3</v>
      </c>
    </row>
    <row r="146" spans="1:24">
      <c r="A146" s="1" t="s">
        <v>149</v>
      </c>
      <c r="B146" s="12" t="s">
        <v>4</v>
      </c>
      <c r="C146" s="22" t="s">
        <v>378</v>
      </c>
      <c r="D146" s="21" t="s">
        <v>379</v>
      </c>
      <c r="E146" s="23" t="s">
        <v>33</v>
      </c>
      <c r="F146" s="23" t="s">
        <v>781</v>
      </c>
      <c r="G146" s="117">
        <v>0</v>
      </c>
      <c r="H146" s="117">
        <v>0</v>
      </c>
      <c r="I146" s="117">
        <v>0</v>
      </c>
      <c r="J146" s="117">
        <v>0</v>
      </c>
      <c r="K146" s="117">
        <v>0</v>
      </c>
      <c r="L146" s="117">
        <v>0</v>
      </c>
      <c r="M146" s="117">
        <v>0</v>
      </c>
      <c r="N146" s="117">
        <v>0</v>
      </c>
      <c r="O146" s="117">
        <v>0</v>
      </c>
      <c r="P146" s="117">
        <v>0</v>
      </c>
      <c r="Q146" s="117">
        <v>-6.7049079447777391E-3</v>
      </c>
      <c r="R146" s="118">
        <v>0</v>
      </c>
      <c r="U146" s="88">
        <f t="shared" si="0"/>
        <v>-6.7049079447777391E-3</v>
      </c>
      <c r="W146">
        <f>SUBTOTAL(9,U137:U146)</f>
        <v>-0.13122886087927363</v>
      </c>
    </row>
    <row r="147" spans="1:24">
      <c r="A147" s="1" t="s">
        <v>149</v>
      </c>
      <c r="B147" s="12" t="s">
        <v>4</v>
      </c>
      <c r="C147" s="22" t="s">
        <v>380</v>
      </c>
      <c r="D147" s="21" t="s">
        <v>381</v>
      </c>
      <c r="E147" s="23" t="s">
        <v>58</v>
      </c>
      <c r="F147" s="23" t="s">
        <v>775</v>
      </c>
      <c r="G147" s="117">
        <v>0</v>
      </c>
      <c r="H147" s="117">
        <v>0</v>
      </c>
      <c r="I147" s="117">
        <v>0</v>
      </c>
      <c r="J147" s="117">
        <v>0</v>
      </c>
      <c r="K147" s="117">
        <v>0</v>
      </c>
      <c r="L147" s="117">
        <v>-5.849262971121167E-2</v>
      </c>
      <c r="M147" s="117">
        <v>0</v>
      </c>
      <c r="N147" s="117">
        <v>0</v>
      </c>
      <c r="O147" s="117">
        <v>0</v>
      </c>
      <c r="P147" s="117">
        <v>0</v>
      </c>
      <c r="Q147" s="117">
        <v>0</v>
      </c>
      <c r="R147" s="118">
        <v>0</v>
      </c>
      <c r="U147" s="88">
        <f t="shared" si="0"/>
        <v>-5.849262971121167E-2</v>
      </c>
    </row>
    <row r="148" spans="1:24">
      <c r="A148" s="1" t="s">
        <v>149</v>
      </c>
      <c r="B148" s="12" t="s">
        <v>4</v>
      </c>
      <c r="C148" s="22" t="s">
        <v>382</v>
      </c>
      <c r="D148" s="21" t="s">
        <v>383</v>
      </c>
      <c r="E148" s="23" t="s">
        <v>33</v>
      </c>
      <c r="F148" s="23" t="s">
        <v>781</v>
      </c>
      <c r="G148" s="117">
        <v>0</v>
      </c>
      <c r="H148" s="117">
        <v>0</v>
      </c>
      <c r="I148" s="117">
        <v>0</v>
      </c>
      <c r="J148" s="117">
        <v>0</v>
      </c>
      <c r="K148" s="134">
        <v>-7.664517588016187E-2</v>
      </c>
      <c r="L148" s="117">
        <v>0</v>
      </c>
      <c r="M148" s="117">
        <v>0</v>
      </c>
      <c r="N148" s="117">
        <v>0</v>
      </c>
      <c r="O148" s="117">
        <v>0</v>
      </c>
      <c r="P148" s="117">
        <v>0</v>
      </c>
      <c r="Q148" s="117">
        <v>0</v>
      </c>
      <c r="R148" s="118">
        <v>0</v>
      </c>
      <c r="U148" s="88">
        <f t="shared" si="0"/>
        <v>-7.664517588016187E-2</v>
      </c>
      <c r="X148">
        <f>SUBTOTAL(9,U137:U153)</f>
        <v>-0.16587034253139116</v>
      </c>
    </row>
    <row r="149" spans="1:24">
      <c r="A149" s="1" t="s">
        <v>149</v>
      </c>
      <c r="B149" s="12" t="s">
        <v>4</v>
      </c>
      <c r="C149" s="28" t="s">
        <v>22</v>
      </c>
      <c r="D149" s="6" t="s">
        <v>384</v>
      </c>
      <c r="E149" s="7" t="s">
        <v>33</v>
      </c>
      <c r="F149" s="7" t="s">
        <v>781</v>
      </c>
      <c r="G149" s="95">
        <v>5.0947732812625719E-2</v>
      </c>
      <c r="H149" s="117">
        <v>0</v>
      </c>
      <c r="I149" s="117">
        <v>0</v>
      </c>
      <c r="J149" s="117">
        <v>0</v>
      </c>
      <c r="K149" s="117">
        <v>0</v>
      </c>
      <c r="L149" s="117">
        <v>0</v>
      </c>
      <c r="M149" s="117">
        <v>0</v>
      </c>
      <c r="N149" s="117">
        <v>0</v>
      </c>
      <c r="O149" s="117">
        <v>0</v>
      </c>
      <c r="P149" s="117">
        <v>0</v>
      </c>
      <c r="Q149" s="117">
        <v>0</v>
      </c>
      <c r="R149" s="118">
        <v>0</v>
      </c>
      <c r="U149" s="88">
        <f t="shared" si="0"/>
        <v>5.0947732812625719E-2</v>
      </c>
    </row>
    <row r="150" spans="1:24">
      <c r="A150" s="1" t="s">
        <v>149</v>
      </c>
      <c r="B150" s="12" t="s">
        <v>4</v>
      </c>
      <c r="C150" s="28" t="s">
        <v>22</v>
      </c>
      <c r="D150" s="6" t="s">
        <v>385</v>
      </c>
      <c r="E150" s="7" t="s">
        <v>772</v>
      </c>
      <c r="F150" s="7" t="s">
        <v>777</v>
      </c>
      <c r="G150" s="124">
        <v>4.6955039083800311E-3</v>
      </c>
      <c r="H150" s="113">
        <v>0</v>
      </c>
      <c r="I150" s="113">
        <v>0</v>
      </c>
      <c r="J150" s="113">
        <v>0</v>
      </c>
      <c r="K150" s="113">
        <v>0</v>
      </c>
      <c r="L150" s="113">
        <v>0</v>
      </c>
      <c r="M150" s="113">
        <v>0</v>
      </c>
      <c r="N150" s="113">
        <v>0</v>
      </c>
      <c r="O150" s="113">
        <v>0</v>
      </c>
      <c r="P150" s="113">
        <v>0</v>
      </c>
      <c r="Q150" s="113">
        <v>0</v>
      </c>
      <c r="R150" s="114">
        <v>0</v>
      </c>
      <c r="U150" s="88">
        <f t="shared" si="0"/>
        <v>4.6955039083800311E-3</v>
      </c>
    </row>
    <row r="151" spans="1:24">
      <c r="A151" s="1" t="s">
        <v>149</v>
      </c>
      <c r="B151" s="12" t="s">
        <v>4</v>
      </c>
      <c r="C151" s="28" t="s">
        <v>22</v>
      </c>
      <c r="D151" s="6" t="s">
        <v>386</v>
      </c>
      <c r="E151" s="7" t="s">
        <v>140</v>
      </c>
      <c r="F151" s="7" t="s">
        <v>778</v>
      </c>
      <c r="G151" s="124">
        <v>1.0304540028311302E-3</v>
      </c>
      <c r="H151" s="113">
        <v>0</v>
      </c>
      <c r="I151" s="113">
        <v>0</v>
      </c>
      <c r="J151" s="113">
        <v>0</v>
      </c>
      <c r="K151" s="113">
        <v>0</v>
      </c>
      <c r="L151" s="113">
        <v>0</v>
      </c>
      <c r="M151" s="113">
        <v>0</v>
      </c>
      <c r="N151" s="113">
        <v>0</v>
      </c>
      <c r="O151" s="113">
        <v>0</v>
      </c>
      <c r="P151" s="113">
        <v>0</v>
      </c>
      <c r="Q151" s="113">
        <v>0</v>
      </c>
      <c r="R151" s="114">
        <v>0</v>
      </c>
      <c r="U151" s="88">
        <f t="shared" si="0"/>
        <v>1.0304540028311302E-3</v>
      </c>
    </row>
    <row r="152" spans="1:24">
      <c r="A152" s="1" t="s">
        <v>149</v>
      </c>
      <c r="B152" s="12" t="s">
        <v>4</v>
      </c>
      <c r="C152" s="28" t="s">
        <v>22</v>
      </c>
      <c r="D152" s="6" t="s">
        <v>248</v>
      </c>
      <c r="E152" s="7" t="s">
        <v>58</v>
      </c>
      <c r="F152" s="7" t="s">
        <v>775</v>
      </c>
      <c r="G152" s="124">
        <v>2.466133924537867E-2</v>
      </c>
      <c r="H152" s="113">
        <v>0</v>
      </c>
      <c r="I152" s="113">
        <v>0</v>
      </c>
      <c r="J152" s="113">
        <v>0</v>
      </c>
      <c r="K152" s="113">
        <v>0</v>
      </c>
      <c r="L152" s="113">
        <v>0</v>
      </c>
      <c r="M152" s="113">
        <v>0</v>
      </c>
      <c r="N152" s="113">
        <v>0</v>
      </c>
      <c r="O152" s="113">
        <v>0</v>
      </c>
      <c r="P152" s="113">
        <v>0</v>
      </c>
      <c r="Q152" s="113">
        <v>0</v>
      </c>
      <c r="R152" s="114">
        <v>0</v>
      </c>
      <c r="U152" s="88">
        <f t="shared" si="0"/>
        <v>2.466133924537867E-2</v>
      </c>
    </row>
    <row r="153" spans="1:24" s="10" customFormat="1">
      <c r="A153" s="96" t="s">
        <v>149</v>
      </c>
      <c r="B153" s="18" t="s">
        <v>4</v>
      </c>
      <c r="C153" s="25" t="s">
        <v>117</v>
      </c>
      <c r="D153" s="26" t="s">
        <v>117</v>
      </c>
      <c r="E153" s="27" t="s">
        <v>33</v>
      </c>
      <c r="F153" s="27" t="s">
        <v>784</v>
      </c>
      <c r="G153" s="121">
        <v>1.9161293970040467E-2</v>
      </c>
      <c r="H153" s="115">
        <v>0</v>
      </c>
      <c r="I153" s="115">
        <v>0</v>
      </c>
      <c r="J153" s="115">
        <v>0</v>
      </c>
      <c r="K153" s="115">
        <v>0</v>
      </c>
      <c r="L153" s="115">
        <v>0</v>
      </c>
      <c r="M153" s="115">
        <v>0</v>
      </c>
      <c r="N153" s="115">
        <v>0</v>
      </c>
      <c r="O153" s="115">
        <v>0</v>
      </c>
      <c r="P153" s="115">
        <v>0</v>
      </c>
      <c r="Q153" s="115">
        <v>0</v>
      </c>
      <c r="R153" s="116">
        <v>0</v>
      </c>
      <c r="U153" s="88">
        <f t="shared" si="0"/>
        <v>1.9161293970040467E-2</v>
      </c>
      <c r="V153"/>
    </row>
    <row r="154" spans="1:24">
      <c r="A154" s="200" t="s">
        <v>149</v>
      </c>
      <c r="B154" s="200" t="s">
        <v>251</v>
      </c>
      <c r="C154" s="200"/>
      <c r="D154" s="200"/>
      <c r="E154" s="200"/>
      <c r="F154" s="200"/>
      <c r="G154" s="201">
        <f>RCS!D88</f>
        <v>2.9089417098690498</v>
      </c>
      <c r="H154" s="201">
        <f>RCS!E88</f>
        <v>2.8039511291946599</v>
      </c>
      <c r="I154" s="201">
        <f>RCS!F88</f>
        <v>2.7992253249481815</v>
      </c>
      <c r="J154" s="201">
        <f>RCS!G88</f>
        <v>2.7908525248090168</v>
      </c>
      <c r="K154" s="201">
        <f>RCS!H88</f>
        <v>2.7650468377598054</v>
      </c>
      <c r="L154" s="210">
        <f>RCS!I88</f>
        <v>2.764376999299488</v>
      </c>
      <c r="M154" s="201">
        <f>RCS!J88</f>
        <v>2.7090941548008267</v>
      </c>
      <c r="N154" s="201">
        <f>RCS!K88</f>
        <v>2.7090941548008267</v>
      </c>
      <c r="O154" s="201">
        <f>RCS!L88</f>
        <v>2.7056094676255573</v>
      </c>
      <c r="P154" s="201">
        <f>RCS!M88</f>
        <v>2.7175531352242466</v>
      </c>
      <c r="Q154" s="201">
        <f>RCS!N88</f>
        <v>2.7107036265405915</v>
      </c>
      <c r="R154" s="211">
        <f>RCS!O88</f>
        <v>2.7107036265405915</v>
      </c>
      <c r="U154" s="88">
        <f t="shared" si="0"/>
        <v>33.095152691412842</v>
      </c>
    </row>
    <row r="155" spans="1:24">
      <c r="A155" s="1" t="s">
        <v>149</v>
      </c>
      <c r="B155" s="13" t="s">
        <v>5</v>
      </c>
      <c r="C155" s="89" t="s">
        <v>387</v>
      </c>
      <c r="D155" s="90" t="s">
        <v>365</v>
      </c>
      <c r="E155" s="91" t="s">
        <v>772</v>
      </c>
      <c r="F155" s="91" t="s">
        <v>777</v>
      </c>
      <c r="G155" s="86"/>
      <c r="H155" s="86">
        <v>0</v>
      </c>
      <c r="I155" s="86"/>
      <c r="J155" s="86"/>
      <c r="K155" s="86"/>
      <c r="L155" s="86"/>
      <c r="M155" s="86"/>
      <c r="N155" s="86"/>
      <c r="O155" s="106">
        <v>-3.2610620608975682E-2</v>
      </c>
      <c r="P155" s="86"/>
      <c r="Q155" s="86"/>
      <c r="R155" s="86"/>
      <c r="U155" s="88">
        <f t="shared" si="0"/>
        <v>-3.2610620608975682E-2</v>
      </c>
    </row>
    <row r="156" spans="1:24">
      <c r="A156" s="1" t="s">
        <v>149</v>
      </c>
      <c r="B156" s="13" t="s">
        <v>5</v>
      </c>
      <c r="C156" s="89" t="s">
        <v>370</v>
      </c>
      <c r="D156" s="90" t="s">
        <v>371</v>
      </c>
      <c r="E156" s="91" t="s">
        <v>33</v>
      </c>
      <c r="F156" s="91" t="s">
        <v>782</v>
      </c>
      <c r="G156" s="86"/>
      <c r="H156" s="86"/>
      <c r="I156" s="86"/>
      <c r="J156" s="86"/>
      <c r="K156" s="86"/>
      <c r="L156" s="86"/>
      <c r="M156" s="86">
        <v>-2.6361778654320878E-2</v>
      </c>
      <c r="N156" s="86"/>
      <c r="O156" s="86"/>
      <c r="P156" s="86"/>
      <c r="Q156" s="86"/>
      <c r="R156" s="86"/>
      <c r="U156" s="88">
        <f t="shared" si="0"/>
        <v>-2.6361778654320878E-2</v>
      </c>
    </row>
    <row r="157" spans="1:24">
      <c r="A157" s="1" t="s">
        <v>149</v>
      </c>
      <c r="B157" s="13" t="s">
        <v>5</v>
      </c>
      <c r="C157" s="89" t="s">
        <v>389</v>
      </c>
      <c r="D157" s="90" t="s">
        <v>390</v>
      </c>
      <c r="E157" s="397" t="s">
        <v>389</v>
      </c>
      <c r="F157" s="397" t="s">
        <v>791</v>
      </c>
      <c r="G157" s="86"/>
      <c r="H157" s="106">
        <v>-6.3200307901723693E-2</v>
      </c>
      <c r="I157" s="86"/>
      <c r="J157" s="86"/>
      <c r="K157" s="86"/>
      <c r="L157" s="86"/>
      <c r="M157" s="86"/>
      <c r="N157" s="86"/>
      <c r="O157" s="86"/>
      <c r="P157" s="86"/>
      <c r="Q157" s="86"/>
      <c r="R157" s="86"/>
      <c r="U157" s="88">
        <f t="shared" si="0"/>
        <v>-6.3200307901723693E-2</v>
      </c>
    </row>
    <row r="158" spans="1:24">
      <c r="A158" s="1" t="s">
        <v>149</v>
      </c>
      <c r="B158" s="13" t="s">
        <v>5</v>
      </c>
      <c r="C158" s="89" t="s">
        <v>389</v>
      </c>
      <c r="D158" s="90" t="s">
        <v>391</v>
      </c>
      <c r="E158" s="91" t="s">
        <v>140</v>
      </c>
      <c r="F158" s="91" t="s">
        <v>778</v>
      </c>
      <c r="G158" s="86"/>
      <c r="H158" s="86"/>
      <c r="I158" s="86"/>
      <c r="J158" s="223">
        <v>-1.6308354008702139E-4</v>
      </c>
      <c r="K158" s="86"/>
      <c r="L158" s="86"/>
      <c r="M158" s="86"/>
      <c r="N158" s="86"/>
      <c r="O158" s="86"/>
      <c r="P158" s="86"/>
      <c r="Q158" s="86"/>
      <c r="R158" s="86"/>
      <c r="U158" s="88">
        <f t="shared" si="0"/>
        <v>-1.6308354008702139E-4</v>
      </c>
    </row>
    <row r="159" spans="1:24">
      <c r="A159" s="1" t="s">
        <v>149</v>
      </c>
      <c r="B159" s="13" t="s">
        <v>5</v>
      </c>
      <c r="C159" s="89" t="s">
        <v>392</v>
      </c>
      <c r="D159" s="90" t="s">
        <v>393</v>
      </c>
      <c r="E159" s="91" t="s">
        <v>33</v>
      </c>
      <c r="F159" s="91" t="s">
        <v>781</v>
      </c>
      <c r="G159" s="86"/>
      <c r="H159" s="86"/>
      <c r="I159" s="86"/>
      <c r="J159" s="86"/>
      <c r="K159" s="86">
        <v>-1.9069901954175773E-2</v>
      </c>
      <c r="L159" s="86"/>
      <c r="M159" s="86"/>
      <c r="N159" s="86"/>
      <c r="O159" s="86"/>
      <c r="P159" s="86"/>
      <c r="Q159" s="86"/>
      <c r="R159" s="86"/>
      <c r="U159" s="88">
        <f t="shared" si="0"/>
        <v>-1.9069901954175773E-2</v>
      </c>
    </row>
    <row r="160" spans="1:24">
      <c r="A160" s="1" t="s">
        <v>149</v>
      </c>
      <c r="B160" s="13" t="s">
        <v>5</v>
      </c>
      <c r="C160" s="89" t="s">
        <v>394</v>
      </c>
      <c r="D160" s="90" t="s">
        <v>379</v>
      </c>
      <c r="E160" s="91" t="s">
        <v>33</v>
      </c>
      <c r="F160" s="91" t="s">
        <v>781</v>
      </c>
      <c r="G160" s="86"/>
      <c r="H160" s="86"/>
      <c r="I160" s="86"/>
      <c r="J160" s="86"/>
      <c r="K160" s="86"/>
      <c r="L160" s="86"/>
      <c r="M160" s="86"/>
      <c r="N160" s="86"/>
      <c r="O160" s="86"/>
      <c r="P160" s="86"/>
      <c r="Q160" s="86">
        <v>-6.8495086836548999E-3</v>
      </c>
      <c r="R160" s="86"/>
      <c r="U160" s="88">
        <f t="shared" si="0"/>
        <v>-6.8495086836548999E-3</v>
      </c>
    </row>
    <row r="161" spans="1:24">
      <c r="A161" s="1" t="s">
        <v>149</v>
      </c>
      <c r="B161" s="13" t="s">
        <v>5</v>
      </c>
      <c r="C161" s="89" t="s">
        <v>395</v>
      </c>
      <c r="D161" s="90" t="s">
        <v>396</v>
      </c>
      <c r="E161" s="91" t="s">
        <v>33</v>
      </c>
      <c r="F161" s="91" t="s">
        <v>784</v>
      </c>
      <c r="G161" s="86">
        <v>0</v>
      </c>
      <c r="H161" s="86">
        <v>0</v>
      </c>
      <c r="I161" s="86">
        <v>-2.1744620067477216E-3</v>
      </c>
      <c r="J161" s="86">
        <v>0</v>
      </c>
      <c r="K161" s="86">
        <v>0</v>
      </c>
      <c r="L161" s="86"/>
      <c r="M161" s="86"/>
      <c r="N161" s="86"/>
      <c r="O161" s="86"/>
      <c r="P161" s="86"/>
      <c r="Q161" s="86"/>
      <c r="R161" s="86"/>
      <c r="U161" s="88">
        <f t="shared" si="0"/>
        <v>-2.1744620067477216E-3</v>
      </c>
    </row>
    <row r="162" spans="1:24">
      <c r="A162" s="1" t="s">
        <v>149</v>
      </c>
      <c r="B162" s="13" t="s">
        <v>5</v>
      </c>
      <c r="C162" s="89" t="s">
        <v>397</v>
      </c>
      <c r="D162" s="90" t="s">
        <v>398</v>
      </c>
      <c r="E162" s="91" t="s">
        <v>772</v>
      </c>
      <c r="F162" s="91" t="s">
        <v>777</v>
      </c>
      <c r="G162" s="86">
        <v>0</v>
      </c>
      <c r="H162" s="86">
        <v>0</v>
      </c>
      <c r="I162" s="86">
        <v>-2.5261046844368982E-3</v>
      </c>
      <c r="J162" s="86">
        <v>0</v>
      </c>
      <c r="K162" s="86">
        <v>0</v>
      </c>
      <c r="L162" s="86"/>
      <c r="M162" s="86"/>
      <c r="N162" s="86"/>
      <c r="O162" s="86"/>
      <c r="P162" s="86"/>
      <c r="Q162" s="86"/>
      <c r="R162" s="86"/>
      <c r="U162" s="88">
        <f t="shared" si="0"/>
        <v>-2.5261046844368982E-3</v>
      </c>
    </row>
    <row r="163" spans="1:24">
      <c r="A163" s="1" t="s">
        <v>149</v>
      </c>
      <c r="B163" s="13" t="s">
        <v>5</v>
      </c>
      <c r="C163" s="89" t="s">
        <v>399</v>
      </c>
      <c r="D163" s="90" t="s">
        <v>400</v>
      </c>
      <c r="E163" s="91" t="s">
        <v>33</v>
      </c>
      <c r="F163" s="91" t="s">
        <v>782</v>
      </c>
      <c r="G163" s="86">
        <v>0</v>
      </c>
      <c r="H163" s="86">
        <v>-3.0116093736070274E-3</v>
      </c>
      <c r="I163" s="86">
        <v>0</v>
      </c>
      <c r="J163" s="86">
        <v>0</v>
      </c>
      <c r="K163" s="86">
        <v>0</v>
      </c>
      <c r="L163" s="86"/>
      <c r="M163" s="86"/>
      <c r="N163" s="86"/>
      <c r="O163" s="86"/>
      <c r="P163" s="86"/>
      <c r="Q163" s="86"/>
      <c r="R163" s="86"/>
      <c r="U163" s="88">
        <f t="shared" si="0"/>
        <v>-3.0116093736070274E-3</v>
      </c>
    </row>
    <row r="164" spans="1:24">
      <c r="A164" s="1" t="s">
        <v>149</v>
      </c>
      <c r="B164" s="13" t="s">
        <v>5</v>
      </c>
      <c r="C164" s="89" t="s">
        <v>401</v>
      </c>
      <c r="D164" s="90" t="s">
        <v>402</v>
      </c>
      <c r="E164" s="91" t="s">
        <v>772</v>
      </c>
      <c r="F164" s="91"/>
      <c r="G164" s="86">
        <v>-2.0003626977931524E-2</v>
      </c>
      <c r="H164" s="86">
        <v>0</v>
      </c>
      <c r="I164" s="86">
        <v>0</v>
      </c>
      <c r="J164" s="86">
        <v>0</v>
      </c>
      <c r="K164" s="86">
        <v>0</v>
      </c>
      <c r="L164" s="86"/>
      <c r="M164" s="86"/>
      <c r="N164" s="86"/>
      <c r="O164" s="86"/>
      <c r="P164" s="86"/>
      <c r="Q164" s="86"/>
      <c r="R164" s="86"/>
      <c r="U164" s="88">
        <f t="shared" si="0"/>
        <v>-2.0003626977931524E-2</v>
      </c>
    </row>
    <row r="165" spans="1:24">
      <c r="A165" s="1" t="s">
        <v>149</v>
      </c>
      <c r="B165" s="13" t="s">
        <v>5</v>
      </c>
      <c r="C165" s="89" t="s">
        <v>403</v>
      </c>
      <c r="D165" s="90" t="s">
        <v>404</v>
      </c>
      <c r="E165" s="91" t="s">
        <v>772</v>
      </c>
      <c r="F165" s="91" t="s">
        <v>777</v>
      </c>
      <c r="G165" s="86">
        <v>0</v>
      </c>
      <c r="H165" s="86">
        <v>0</v>
      </c>
      <c r="I165" s="86">
        <v>0</v>
      </c>
      <c r="J165" s="86">
        <v>-8.1268175877987434E-3</v>
      </c>
      <c r="K165" s="86">
        <v>0</v>
      </c>
      <c r="L165" s="86"/>
      <c r="M165" s="86"/>
      <c r="N165" s="86"/>
      <c r="O165" s="86"/>
      <c r="P165" s="86"/>
      <c r="Q165" s="86"/>
      <c r="R165" s="86"/>
      <c r="U165" s="88">
        <f t="shared" si="0"/>
        <v>-8.1268175877987434E-3</v>
      </c>
    </row>
    <row r="166" spans="1:24">
      <c r="A166" s="1" t="s">
        <v>149</v>
      </c>
      <c r="B166" s="13" t="s">
        <v>5</v>
      </c>
      <c r="C166" s="89" t="s">
        <v>322</v>
      </c>
      <c r="D166" s="90" t="s">
        <v>405</v>
      </c>
      <c r="E166" s="91" t="s">
        <v>58</v>
      </c>
      <c r="F166" s="91" t="s">
        <v>416</v>
      </c>
      <c r="G166" s="86">
        <v>-2.0003626977931646E-4</v>
      </c>
      <c r="H166" s="86">
        <v>-6.3200307901723797E-4</v>
      </c>
      <c r="I166" s="86">
        <v>-2.5246155257352163E-5</v>
      </c>
      <c r="J166" s="86">
        <v>-8.2899011278855678E-5</v>
      </c>
      <c r="K166" s="86">
        <v>-2.124434915533611E-4</v>
      </c>
      <c r="L166" s="86">
        <v>-6.6320639635394679E-6</v>
      </c>
      <c r="M166" s="86"/>
      <c r="N166" s="86"/>
      <c r="O166" s="86"/>
      <c r="P166" s="86"/>
      <c r="Q166" s="86"/>
      <c r="R166" s="86"/>
      <c r="U166" s="88">
        <f t="shared" si="0"/>
        <v>-1.1592600708496628E-3</v>
      </c>
    </row>
    <row r="167" spans="1:24">
      <c r="A167" s="1" t="s">
        <v>149</v>
      </c>
      <c r="B167" s="13" t="s">
        <v>5</v>
      </c>
      <c r="C167" s="92" t="s">
        <v>22</v>
      </c>
      <c r="D167" s="93" t="s">
        <v>244</v>
      </c>
      <c r="E167" s="94" t="s">
        <v>772</v>
      </c>
      <c r="F167" s="94" t="s">
        <v>777</v>
      </c>
      <c r="G167" s="86"/>
      <c r="H167" s="86"/>
      <c r="I167" s="86"/>
      <c r="J167" s="86"/>
      <c r="K167" s="86"/>
      <c r="L167" s="86"/>
      <c r="M167" s="86"/>
      <c r="N167" s="86"/>
      <c r="O167" s="95">
        <v>2.0016728769117519E-3</v>
      </c>
      <c r="P167" s="86"/>
      <c r="Q167" s="86"/>
      <c r="R167" s="86"/>
      <c r="U167" s="88">
        <f t="shared" si="0"/>
        <v>2.0016728769117519E-3</v>
      </c>
    </row>
    <row r="168" spans="1:24">
      <c r="A168" s="1" t="s">
        <v>149</v>
      </c>
      <c r="B168" s="13" t="s">
        <v>5</v>
      </c>
      <c r="C168" s="92" t="s">
        <v>22</v>
      </c>
      <c r="D168" s="93" t="s">
        <v>309</v>
      </c>
      <c r="E168" s="94" t="s">
        <v>33</v>
      </c>
      <c r="F168" s="7" t="s">
        <v>779</v>
      </c>
      <c r="G168" s="86"/>
      <c r="H168" s="86"/>
      <c r="I168" s="86"/>
      <c r="J168" s="86"/>
      <c r="K168" s="86"/>
      <c r="L168" s="86"/>
      <c r="M168" s="86"/>
      <c r="N168" s="86"/>
      <c r="O168" s="95">
        <v>2.610510336493347E-2</v>
      </c>
      <c r="P168" s="86"/>
      <c r="Q168" s="86"/>
      <c r="R168" s="86"/>
      <c r="U168" s="88">
        <f t="shared" si="0"/>
        <v>2.610510336493347E-2</v>
      </c>
    </row>
    <row r="169" spans="1:24">
      <c r="A169" s="1" t="s">
        <v>149</v>
      </c>
      <c r="B169" s="13" t="s">
        <v>5</v>
      </c>
      <c r="C169" s="92" t="s">
        <v>22</v>
      </c>
      <c r="D169" s="93" t="s">
        <v>246</v>
      </c>
      <c r="E169" s="94" t="s">
        <v>140</v>
      </c>
      <c r="F169" s="94" t="s">
        <v>778</v>
      </c>
      <c r="G169" s="86"/>
      <c r="H169" s="86"/>
      <c r="I169" s="86"/>
      <c r="J169" s="86"/>
      <c r="K169" s="86"/>
      <c r="L169" s="86"/>
      <c r="M169" s="86"/>
      <c r="N169" s="86"/>
      <c r="O169" s="95">
        <v>1.0191571918609999E-3</v>
      </c>
      <c r="P169" s="86"/>
      <c r="Q169" s="86"/>
      <c r="R169" s="86"/>
      <c r="U169" s="88">
        <f t="shared" si="0"/>
        <v>1.0191571918609999E-3</v>
      </c>
    </row>
    <row r="170" spans="1:24">
      <c r="A170" s="1" t="s">
        <v>149</v>
      </c>
      <c r="B170" s="13" t="s">
        <v>5</v>
      </c>
      <c r="C170" s="92" t="s">
        <v>22</v>
      </c>
      <c r="D170" s="93" t="s">
        <v>406</v>
      </c>
      <c r="E170" s="94"/>
      <c r="F170" s="94"/>
      <c r="G170" s="86"/>
      <c r="H170" s="86"/>
      <c r="I170" s="86"/>
      <c r="J170" s="86"/>
      <c r="K170" s="86"/>
      <c r="L170" s="86"/>
      <c r="M170" s="86"/>
      <c r="N170" s="86"/>
      <c r="O170" s="86"/>
      <c r="P170" s="95">
        <v>1.1943667598689348E-2</v>
      </c>
      <c r="Q170" s="86"/>
      <c r="R170" s="86"/>
      <c r="U170" s="88">
        <f t="shared" si="0"/>
        <v>1.1943667598689348E-2</v>
      </c>
    </row>
    <row r="171" spans="1:24">
      <c r="A171" s="1" t="s">
        <v>149</v>
      </c>
      <c r="B171" s="13" t="s">
        <v>5</v>
      </c>
      <c r="C171" s="89" t="s">
        <v>407</v>
      </c>
      <c r="D171" s="90" t="s">
        <v>408</v>
      </c>
      <c r="E171" s="91" t="s">
        <v>33</v>
      </c>
      <c r="F171" s="91" t="s">
        <v>784</v>
      </c>
      <c r="G171" s="86">
        <v>0</v>
      </c>
      <c r="H171" s="86">
        <v>0</v>
      </c>
      <c r="I171" s="86">
        <v>0</v>
      </c>
      <c r="J171" s="86">
        <v>0</v>
      </c>
      <c r="K171" s="86">
        <v>-2.1744472011602871E-3</v>
      </c>
      <c r="L171" s="86"/>
      <c r="M171" s="86"/>
      <c r="N171" s="86"/>
      <c r="O171" s="86"/>
      <c r="P171" s="86"/>
      <c r="Q171" s="86"/>
      <c r="R171" s="86"/>
      <c r="U171" s="88">
        <f t="shared" si="0"/>
        <v>-2.1744472011602871E-3</v>
      </c>
    </row>
    <row r="172" spans="1:24">
      <c r="A172" s="1" t="s">
        <v>149</v>
      </c>
      <c r="B172" s="13" t="s">
        <v>5</v>
      </c>
      <c r="C172" s="89" t="s">
        <v>409</v>
      </c>
      <c r="D172" s="90" t="s">
        <v>410</v>
      </c>
      <c r="E172" s="91" t="s">
        <v>33</v>
      </c>
      <c r="F172" s="91" t="s">
        <v>784</v>
      </c>
      <c r="G172" s="86">
        <v>0</v>
      </c>
      <c r="H172" s="86">
        <v>0</v>
      </c>
      <c r="I172" s="86">
        <v>0</v>
      </c>
      <c r="J172" s="86">
        <v>0</v>
      </c>
      <c r="K172" s="86">
        <v>-4.3488944023205743E-3</v>
      </c>
      <c r="L172" s="86"/>
      <c r="M172" s="86"/>
      <c r="N172" s="86"/>
      <c r="O172" s="86"/>
      <c r="P172" s="86"/>
      <c r="Q172" s="86"/>
      <c r="R172" s="86"/>
      <c r="U172" s="88">
        <f t="shared" si="0"/>
        <v>-4.3488944023205743E-3</v>
      </c>
      <c r="W172">
        <f>SUBTOTAL(9,U156:U172)</f>
        <v>-0.1181002020064191</v>
      </c>
      <c r="X172">
        <f>+W172-X148</f>
        <v>4.7770140524972055E-2</v>
      </c>
    </row>
    <row r="173" spans="1:24">
      <c r="A173" s="1" t="s">
        <v>149</v>
      </c>
      <c r="B173" s="13" t="s">
        <v>5</v>
      </c>
      <c r="C173" s="126" t="s">
        <v>274</v>
      </c>
      <c r="D173" s="127" t="s">
        <v>274</v>
      </c>
      <c r="E173" s="320" t="s">
        <v>772</v>
      </c>
      <c r="F173" s="320"/>
      <c r="G173" s="396">
        <v>-4.7903234925101169E-3</v>
      </c>
      <c r="H173" s="396">
        <v>0</v>
      </c>
      <c r="I173" s="396">
        <v>-2.0391803898486219E-5</v>
      </c>
      <c r="J173" s="396">
        <v>0</v>
      </c>
      <c r="K173" s="396">
        <v>-6.4146192434228227E-2</v>
      </c>
      <c r="L173" s="396">
        <v>-1.4451739944904621E-2</v>
      </c>
      <c r="M173" s="86"/>
      <c r="N173" s="86"/>
      <c r="O173" s="86"/>
      <c r="P173" s="86"/>
      <c r="Q173" s="86"/>
      <c r="R173" s="86"/>
      <c r="U173" s="88">
        <f t="shared" ref="U173:U210" si="1">SUM(G173:R173)</f>
        <v>-8.3408647675541445E-2</v>
      </c>
    </row>
    <row r="174" spans="1:24">
      <c r="A174" s="1" t="s">
        <v>149</v>
      </c>
      <c r="B174" s="13" t="s">
        <v>5</v>
      </c>
      <c r="C174" s="126" t="s">
        <v>274</v>
      </c>
      <c r="D174" s="127" t="s">
        <v>274</v>
      </c>
      <c r="E174" s="320" t="s">
        <v>43</v>
      </c>
      <c r="F174" s="320" t="s">
        <v>778</v>
      </c>
      <c r="G174" s="396">
        <v>4.7903234925101169E-3</v>
      </c>
      <c r="H174" s="396">
        <v>0</v>
      </c>
      <c r="I174" s="396">
        <v>2.0400403862280652E-5</v>
      </c>
      <c r="J174" s="396">
        <v>0</v>
      </c>
      <c r="K174" s="396">
        <v>0</v>
      </c>
      <c r="L174" s="396"/>
      <c r="M174" s="86"/>
      <c r="N174" s="86"/>
      <c r="O174" s="86"/>
      <c r="P174" s="86"/>
      <c r="Q174" s="86"/>
      <c r="R174" s="86"/>
      <c r="U174" s="88">
        <f t="shared" si="1"/>
        <v>4.8107238963723976E-3</v>
      </c>
    </row>
    <row r="175" spans="1:24">
      <c r="A175" s="1" t="s">
        <v>149</v>
      </c>
      <c r="B175" s="13" t="s">
        <v>5</v>
      </c>
      <c r="C175" s="126" t="s">
        <v>274</v>
      </c>
      <c r="D175" s="127" t="s">
        <v>274</v>
      </c>
      <c r="E175" s="320" t="s">
        <v>33</v>
      </c>
      <c r="F175" s="320"/>
      <c r="G175" s="396">
        <v>0</v>
      </c>
      <c r="H175" s="396">
        <v>0</v>
      </c>
      <c r="I175" s="396">
        <v>0</v>
      </c>
      <c r="J175" s="396">
        <v>0</v>
      </c>
      <c r="K175" s="396">
        <v>6.4146192434226951E-2</v>
      </c>
      <c r="L175" s="396"/>
      <c r="M175" s="86"/>
      <c r="N175" s="86"/>
      <c r="O175" s="86"/>
      <c r="P175" s="86"/>
      <c r="Q175" s="86"/>
      <c r="R175" s="86"/>
      <c r="U175" s="88">
        <f t="shared" si="1"/>
        <v>6.4146192434226951E-2</v>
      </c>
    </row>
    <row r="176" spans="1:24">
      <c r="A176" s="1" t="s">
        <v>149</v>
      </c>
      <c r="B176" s="13" t="s">
        <v>5</v>
      </c>
      <c r="C176" s="126" t="s">
        <v>274</v>
      </c>
      <c r="D176" s="127" t="s">
        <v>274</v>
      </c>
      <c r="E176" s="320" t="s">
        <v>772</v>
      </c>
      <c r="F176" s="320"/>
      <c r="G176" s="396"/>
      <c r="H176" s="396"/>
      <c r="I176" s="396"/>
      <c r="J176" s="396"/>
      <c r="K176" s="396"/>
      <c r="L176" s="396">
        <v>1.4451739944904621E-2</v>
      </c>
      <c r="M176" s="86"/>
      <c r="N176" s="86"/>
      <c r="O176" s="86"/>
      <c r="P176" s="86"/>
      <c r="Q176" s="86"/>
      <c r="R176" s="86"/>
      <c r="U176" s="88">
        <f t="shared" si="1"/>
        <v>1.4451739944904621E-2</v>
      </c>
    </row>
    <row r="177" spans="1:21">
      <c r="A177" s="1" t="s">
        <v>149</v>
      </c>
      <c r="B177" s="13" t="s">
        <v>5</v>
      </c>
      <c r="C177" s="89" t="s">
        <v>411</v>
      </c>
      <c r="D177" s="90" t="s">
        <v>412</v>
      </c>
      <c r="E177" s="91" t="s">
        <v>58</v>
      </c>
      <c r="F177" s="91" t="s">
        <v>775</v>
      </c>
      <c r="G177" s="86">
        <v>0</v>
      </c>
      <c r="H177" s="86">
        <v>-3.814666032004204E-2</v>
      </c>
      <c r="I177" s="86">
        <v>0</v>
      </c>
      <c r="J177" s="86">
        <v>0</v>
      </c>
      <c r="K177" s="86">
        <v>0</v>
      </c>
      <c r="L177" s="86"/>
      <c r="M177" s="86"/>
      <c r="N177" s="86"/>
      <c r="O177" s="86"/>
      <c r="P177" s="86"/>
      <c r="Q177" s="86"/>
      <c r="R177" s="86"/>
      <c r="U177" s="88">
        <f t="shared" si="1"/>
        <v>-3.814666032004204E-2</v>
      </c>
    </row>
    <row r="178" spans="1:21">
      <c r="A178" s="1" t="s">
        <v>149</v>
      </c>
      <c r="B178" s="13" t="s">
        <v>5</v>
      </c>
      <c r="C178" s="89" t="s">
        <v>413</v>
      </c>
      <c r="D178" s="90" t="s">
        <v>414</v>
      </c>
      <c r="E178" s="91" t="s">
        <v>772</v>
      </c>
      <c r="F178" s="91" t="s">
        <v>780</v>
      </c>
      <c r="G178" s="86"/>
      <c r="H178" s="86"/>
      <c r="I178" s="86"/>
      <c r="J178" s="86"/>
      <c r="K178" s="86"/>
      <c r="L178" s="86">
        <v>-6.6320639635388705E-4</v>
      </c>
      <c r="M178" s="86"/>
      <c r="N178" s="86"/>
      <c r="O178" s="86"/>
      <c r="P178" s="86"/>
      <c r="Q178" s="86"/>
      <c r="R178" s="86"/>
      <c r="U178" s="88">
        <f t="shared" si="1"/>
        <v>-6.6320639635388705E-4</v>
      </c>
    </row>
    <row r="179" spans="1:21">
      <c r="A179" s="1" t="s">
        <v>149</v>
      </c>
      <c r="B179" s="13" t="s">
        <v>5</v>
      </c>
      <c r="C179" s="89"/>
      <c r="D179" s="90" t="s">
        <v>763</v>
      </c>
      <c r="E179" s="91" t="s">
        <v>772</v>
      </c>
      <c r="F179" s="91"/>
      <c r="G179" s="86"/>
      <c r="H179" s="86"/>
      <c r="I179" s="86"/>
      <c r="J179" s="86"/>
      <c r="K179" s="86"/>
      <c r="L179" s="86"/>
      <c r="M179" s="86">
        <v>-3.2588633093035502E-2</v>
      </c>
      <c r="N179" s="86"/>
      <c r="O179" s="86"/>
      <c r="P179" s="86"/>
      <c r="Q179" s="86"/>
      <c r="R179" s="86"/>
      <c r="U179" s="88"/>
    </row>
    <row r="180" spans="1:21">
      <c r="A180" s="1" t="s">
        <v>149</v>
      </c>
      <c r="B180" s="13" t="s">
        <v>5</v>
      </c>
      <c r="C180" s="89"/>
      <c r="D180" s="90" t="s">
        <v>765</v>
      </c>
      <c r="E180" s="91" t="s">
        <v>58</v>
      </c>
      <c r="F180" s="91"/>
      <c r="G180" s="86"/>
      <c r="H180" s="86"/>
      <c r="I180" s="86"/>
      <c r="J180" s="86"/>
      <c r="K180" s="86"/>
      <c r="L180" s="86"/>
      <c r="M180" s="86">
        <v>-2.2595469901839915E-5</v>
      </c>
      <c r="N180" s="86"/>
      <c r="O180" s="86"/>
      <c r="P180" s="86"/>
      <c r="Q180" s="86"/>
      <c r="R180" s="86"/>
      <c r="U180" s="88"/>
    </row>
    <row r="181" spans="1:21">
      <c r="A181" s="1" t="s">
        <v>149</v>
      </c>
      <c r="B181" s="13" t="s">
        <v>5</v>
      </c>
      <c r="C181" s="89"/>
      <c r="D181" s="90" t="s">
        <v>766</v>
      </c>
      <c r="E181" s="91" t="s">
        <v>58</v>
      </c>
      <c r="F181" s="91"/>
      <c r="G181" s="86"/>
      <c r="H181" s="86"/>
      <c r="I181" s="86"/>
      <c r="J181" s="86"/>
      <c r="K181" s="86"/>
      <c r="L181" s="86"/>
      <c r="M181" s="86">
        <v>-5.1202052902155071E-4</v>
      </c>
      <c r="N181" s="86"/>
      <c r="O181" s="86"/>
      <c r="P181" s="86"/>
      <c r="Q181" s="86"/>
      <c r="R181" s="86"/>
      <c r="U181" s="88"/>
    </row>
    <row r="182" spans="1:21">
      <c r="A182" s="1" t="s">
        <v>149</v>
      </c>
      <c r="B182" s="13" t="s">
        <v>5</v>
      </c>
      <c r="C182" s="89" t="s">
        <v>11</v>
      </c>
      <c r="D182" s="90" t="s">
        <v>767</v>
      </c>
      <c r="E182" s="91" t="s">
        <v>767</v>
      </c>
      <c r="F182" s="91"/>
      <c r="G182" s="86"/>
      <c r="H182" s="86"/>
      <c r="I182" s="86"/>
      <c r="J182" s="86"/>
      <c r="K182" s="86"/>
      <c r="L182" s="86"/>
      <c r="M182" s="86">
        <v>3.7031923059038796E-5</v>
      </c>
      <c r="N182" s="86"/>
      <c r="O182" s="86"/>
      <c r="P182" s="86"/>
      <c r="Q182" s="86"/>
      <c r="R182" s="86"/>
      <c r="U182" s="88"/>
    </row>
    <row r="183" spans="1:21">
      <c r="A183" s="1" t="s">
        <v>149</v>
      </c>
      <c r="B183" s="13" t="s">
        <v>5</v>
      </c>
      <c r="C183" s="51" t="s">
        <v>291</v>
      </c>
      <c r="D183" s="46" t="s">
        <v>415</v>
      </c>
      <c r="E183" s="427" t="s">
        <v>140</v>
      </c>
      <c r="F183" s="427" t="s">
        <v>778</v>
      </c>
      <c r="G183" s="46"/>
      <c r="H183" s="46"/>
      <c r="I183" s="46"/>
      <c r="J183" s="46"/>
      <c r="K183" s="46"/>
      <c r="L183" s="46"/>
      <c r="M183" s="434">
        <v>4.1651513245594407E-3</v>
      </c>
      <c r="N183" s="46"/>
      <c r="O183" s="46"/>
      <c r="P183" s="46"/>
      <c r="Q183" s="46"/>
      <c r="R183" s="46"/>
      <c r="U183" s="88">
        <f t="shared" si="1"/>
        <v>4.1651513245594407E-3</v>
      </c>
    </row>
    <row r="184" spans="1:21">
      <c r="A184" s="1" t="s">
        <v>149</v>
      </c>
      <c r="B184" s="13"/>
      <c r="C184" s="51" t="s">
        <v>291</v>
      </c>
      <c r="D184" s="46" t="s">
        <v>416</v>
      </c>
      <c r="E184" s="427" t="s">
        <v>58</v>
      </c>
      <c r="F184" s="427"/>
      <c r="G184" s="46"/>
      <c r="H184" s="46"/>
      <c r="I184" s="46"/>
      <c r="J184" s="46"/>
      <c r="K184" s="46"/>
      <c r="L184" s="46"/>
      <c r="M184" s="46"/>
      <c r="N184" s="46"/>
      <c r="O184" s="46">
        <v>-5.4811726532822194E-4</v>
      </c>
      <c r="P184" s="46"/>
      <c r="Q184" s="46"/>
      <c r="R184" s="46"/>
      <c r="U184" s="88">
        <f t="shared" si="1"/>
        <v>-5.4811726532822194E-4</v>
      </c>
    </row>
    <row r="185" spans="1:21">
      <c r="A185" s="1" t="s">
        <v>149</v>
      </c>
      <c r="B185" s="13"/>
      <c r="C185" s="51" t="s">
        <v>750</v>
      </c>
      <c r="D185" s="46" t="s">
        <v>751</v>
      </c>
      <c r="E185" s="427" t="s">
        <v>58</v>
      </c>
      <c r="F185" s="427"/>
      <c r="G185" s="46"/>
      <c r="H185" s="46"/>
      <c r="I185" s="46"/>
      <c r="J185" s="46"/>
      <c r="K185" s="46"/>
      <c r="L185" s="46"/>
      <c r="M185" s="46"/>
      <c r="N185" s="46"/>
      <c r="O185" s="426">
        <f>-0.028976/9.19774</f>
        <v>-3.1503391050410209E-3</v>
      </c>
      <c r="P185" s="46"/>
      <c r="Q185" s="46"/>
      <c r="R185" s="46"/>
      <c r="U185" s="88">
        <f t="shared" si="1"/>
        <v>-3.1503391050410209E-3</v>
      </c>
    </row>
    <row r="186" spans="1:21">
      <c r="A186" s="1" t="s">
        <v>149</v>
      </c>
      <c r="B186" s="13"/>
      <c r="C186" s="51" t="s">
        <v>750</v>
      </c>
      <c r="D186" s="46" t="s">
        <v>752</v>
      </c>
      <c r="E186" s="427" t="s">
        <v>58</v>
      </c>
      <c r="F186" s="427"/>
      <c r="G186" s="46"/>
      <c r="H186" s="46"/>
      <c r="I186" s="46"/>
      <c r="J186" s="46"/>
      <c r="K186" s="46"/>
      <c r="L186" s="46"/>
      <c r="M186" s="46"/>
      <c r="N186" s="46"/>
      <c r="O186" s="426">
        <v>-9.7000000000000003E-3</v>
      </c>
      <c r="P186" s="46"/>
      <c r="Q186" s="46"/>
      <c r="R186" s="46"/>
      <c r="U186" s="88">
        <f t="shared" si="1"/>
        <v>-9.7000000000000003E-3</v>
      </c>
    </row>
    <row r="187" spans="1:21" s="152" customFormat="1">
      <c r="A187" s="148" t="s">
        <v>153</v>
      </c>
      <c r="B187" s="148" t="s">
        <v>225</v>
      </c>
      <c r="C187" s="151"/>
      <c r="D187" s="148"/>
      <c r="E187" s="148"/>
      <c r="F187" s="148"/>
      <c r="G187" s="199">
        <f>RCS!D105</f>
        <v>2.997417233435149</v>
      </c>
      <c r="H187" s="199">
        <f>RCS!E105</f>
        <v>2.997417233435149</v>
      </c>
      <c r="I187" s="199">
        <f>RCS!F105</f>
        <v>2.9626004867787579</v>
      </c>
      <c r="J187" s="202">
        <f>RCS!G105</f>
        <v>2.8687101463255598</v>
      </c>
      <c r="K187" s="199">
        <f>RCS!H105</f>
        <v>2.7186411120331822</v>
      </c>
      <c r="L187" s="199">
        <f>RCS!I105</f>
        <v>2.6601484823219703</v>
      </c>
      <c r="M187" s="199">
        <f>RCS!J105</f>
        <v>2.6601484823219703</v>
      </c>
      <c r="N187" s="199">
        <f>RCS!K105</f>
        <v>2.648654354416637</v>
      </c>
      <c r="O187" s="199">
        <f>RCS!L105</f>
        <v>2.648654354416637</v>
      </c>
      <c r="P187" s="199">
        <f>RCS!M105</f>
        <v>2.648654354416637</v>
      </c>
      <c r="Q187" s="199">
        <f>RCS!N105</f>
        <v>2.6371602265113037</v>
      </c>
      <c r="R187" s="199">
        <f>RCS!O105</f>
        <v>2.6371602265113037</v>
      </c>
      <c r="S187" s="198"/>
      <c r="T187" s="198"/>
      <c r="U187" s="88">
        <f t="shared" si="1"/>
        <v>33.085366692924254</v>
      </c>
    </row>
    <row r="188" spans="1:21">
      <c r="A188" s="1" t="s">
        <v>153</v>
      </c>
      <c r="B188" s="12" t="s">
        <v>4</v>
      </c>
      <c r="C188" s="22" t="s">
        <v>417</v>
      </c>
      <c r="D188" s="83" t="s">
        <v>418</v>
      </c>
      <c r="E188" s="84" t="s">
        <v>772</v>
      </c>
      <c r="F188" s="84" t="s">
        <v>777</v>
      </c>
      <c r="G188" s="134">
        <v>-6.2297912313242165E-2</v>
      </c>
      <c r="H188" s="117">
        <v>0</v>
      </c>
      <c r="I188" s="117">
        <v>0</v>
      </c>
      <c r="J188" s="117">
        <v>0</v>
      </c>
      <c r="K188" s="117">
        <v>0</v>
      </c>
      <c r="L188" s="117">
        <v>0</v>
      </c>
      <c r="M188" s="117">
        <v>0</v>
      </c>
      <c r="N188" s="117">
        <v>0</v>
      </c>
      <c r="O188" s="117">
        <v>0</v>
      </c>
      <c r="P188" s="117">
        <v>0</v>
      </c>
      <c r="Q188" s="117">
        <v>0</v>
      </c>
      <c r="R188" s="118">
        <v>0</v>
      </c>
      <c r="U188" s="88">
        <f t="shared" si="1"/>
        <v>-6.2297912313242165E-2</v>
      </c>
    </row>
    <row r="189" spans="1:21">
      <c r="A189" s="1" t="s">
        <v>153</v>
      </c>
      <c r="B189" s="12" t="s">
        <v>4</v>
      </c>
      <c r="C189" s="22" t="s">
        <v>419</v>
      </c>
      <c r="D189" s="83" t="s">
        <v>420</v>
      </c>
      <c r="E189" s="84" t="s">
        <v>772</v>
      </c>
      <c r="F189" s="84" t="s">
        <v>777</v>
      </c>
      <c r="G189" s="134">
        <v>0</v>
      </c>
      <c r="H189" s="134">
        <v>0</v>
      </c>
      <c r="I189" s="134">
        <v>0</v>
      </c>
      <c r="J189" s="134">
        <v>-9.3890340453198287E-2</v>
      </c>
      <c r="K189" s="117">
        <v>0</v>
      </c>
      <c r="L189" s="117">
        <v>0</v>
      </c>
      <c r="M189" s="117">
        <v>0</v>
      </c>
      <c r="N189" s="117">
        <v>0</v>
      </c>
      <c r="O189" s="117">
        <v>0</v>
      </c>
      <c r="P189" s="117">
        <v>0</v>
      </c>
      <c r="Q189" s="117">
        <v>0</v>
      </c>
      <c r="R189" s="118">
        <v>0</v>
      </c>
      <c r="U189" s="88">
        <f t="shared" si="1"/>
        <v>-9.3890340453198287E-2</v>
      </c>
    </row>
    <row r="190" spans="1:21">
      <c r="A190" s="1" t="s">
        <v>153</v>
      </c>
      <c r="B190" s="12" t="s">
        <v>4</v>
      </c>
      <c r="C190" s="22" t="s">
        <v>421</v>
      </c>
      <c r="D190" s="21" t="s">
        <v>422</v>
      </c>
      <c r="E190" s="23" t="s">
        <v>33</v>
      </c>
      <c r="F190" s="23" t="s">
        <v>782</v>
      </c>
      <c r="G190" s="117">
        <v>0</v>
      </c>
      <c r="H190" s="117">
        <v>0</v>
      </c>
      <c r="I190" s="117">
        <v>0</v>
      </c>
      <c r="J190" s="117">
        <v>0</v>
      </c>
      <c r="K190" s="117">
        <v>-5.6789337323339711E-2</v>
      </c>
      <c r="L190" s="117">
        <v>0</v>
      </c>
      <c r="M190" s="117">
        <v>0</v>
      </c>
      <c r="N190" s="117">
        <v>0</v>
      </c>
      <c r="O190" s="117">
        <v>0</v>
      </c>
      <c r="P190" s="117">
        <v>0</v>
      </c>
      <c r="Q190" s="117">
        <v>0</v>
      </c>
      <c r="R190" s="118">
        <v>0</v>
      </c>
      <c r="U190" s="88">
        <f t="shared" si="1"/>
        <v>-5.6789337323339711E-2</v>
      </c>
    </row>
    <row r="191" spans="1:21">
      <c r="A191" s="1" t="s">
        <v>153</v>
      </c>
      <c r="B191" s="12" t="s">
        <v>4</v>
      </c>
      <c r="C191" s="22" t="s">
        <v>423</v>
      </c>
      <c r="D191" s="21" t="s">
        <v>424</v>
      </c>
      <c r="E191" s="23" t="s">
        <v>33</v>
      </c>
      <c r="F191" s="23" t="s">
        <v>781</v>
      </c>
      <c r="G191" s="117">
        <v>0</v>
      </c>
      <c r="H191" s="117">
        <v>0</v>
      </c>
      <c r="I191" s="117">
        <v>0</v>
      </c>
      <c r="J191" s="117">
        <v>0</v>
      </c>
      <c r="K191" s="117">
        <v>-1.663452108887617E-2</v>
      </c>
      <c r="L191" s="117">
        <v>0</v>
      </c>
      <c r="M191" s="117">
        <v>0</v>
      </c>
      <c r="N191" s="117">
        <v>0</v>
      </c>
      <c r="O191" s="117">
        <v>0</v>
      </c>
      <c r="P191" s="117">
        <v>0</v>
      </c>
      <c r="Q191" s="117">
        <v>0</v>
      </c>
      <c r="R191" s="118">
        <v>0</v>
      </c>
      <c r="U191" s="88">
        <f t="shared" si="1"/>
        <v>-1.663452108887617E-2</v>
      </c>
    </row>
    <row r="192" spans="1:21">
      <c r="A192" s="1" t="s">
        <v>153</v>
      </c>
      <c r="B192" s="12" t="s">
        <v>4</v>
      </c>
      <c r="C192" s="22" t="s">
        <v>425</v>
      </c>
      <c r="D192" s="21" t="s">
        <v>426</v>
      </c>
      <c r="E192" s="23" t="s">
        <v>33</v>
      </c>
      <c r="F192" s="23" t="s">
        <v>784</v>
      </c>
      <c r="G192" s="117">
        <v>0</v>
      </c>
      <c r="H192" s="117">
        <v>0</v>
      </c>
      <c r="I192" s="117">
        <v>0</v>
      </c>
      <c r="J192" s="117">
        <v>0</v>
      </c>
      <c r="K192" s="117">
        <v>0</v>
      </c>
      <c r="L192" s="117">
        <v>0</v>
      </c>
      <c r="M192" s="117">
        <v>0</v>
      </c>
      <c r="N192" s="117">
        <v>-1.1494127905333267E-2</v>
      </c>
      <c r="O192" s="117">
        <v>0</v>
      </c>
      <c r="P192" s="117">
        <v>0</v>
      </c>
      <c r="Q192" s="117">
        <v>0</v>
      </c>
      <c r="R192" s="118">
        <v>0</v>
      </c>
      <c r="U192" s="88">
        <f t="shared" si="1"/>
        <v>-1.1494127905333267E-2</v>
      </c>
    </row>
    <row r="193" spans="1:24">
      <c r="A193" s="1" t="s">
        <v>153</v>
      </c>
      <c r="B193" s="12" t="s">
        <v>4</v>
      </c>
      <c r="C193" s="22" t="s">
        <v>427</v>
      </c>
      <c r="D193" s="21" t="s">
        <v>428</v>
      </c>
      <c r="E193" s="23" t="s">
        <v>33</v>
      </c>
      <c r="F193" s="23" t="s">
        <v>784</v>
      </c>
      <c r="G193" s="117">
        <v>0</v>
      </c>
      <c r="H193" s="117">
        <v>0</v>
      </c>
      <c r="I193" s="117">
        <v>0</v>
      </c>
      <c r="J193" s="117">
        <v>0</v>
      </c>
      <c r="K193" s="117">
        <v>0</v>
      </c>
      <c r="L193" s="117">
        <v>0</v>
      </c>
      <c r="M193" s="117">
        <v>0</v>
      </c>
      <c r="N193" s="117">
        <v>0</v>
      </c>
      <c r="O193" s="117">
        <v>0</v>
      </c>
      <c r="P193" s="117">
        <v>0</v>
      </c>
      <c r="Q193" s="117">
        <v>-4.7892199605555283E-3</v>
      </c>
      <c r="R193" s="118">
        <v>0</v>
      </c>
      <c r="U193" s="88">
        <f t="shared" si="1"/>
        <v>-4.7892199605555283E-3</v>
      </c>
    </row>
    <row r="194" spans="1:24">
      <c r="A194" s="1" t="s">
        <v>153</v>
      </c>
      <c r="B194" s="12" t="s">
        <v>4</v>
      </c>
      <c r="C194" s="22" t="s">
        <v>429</v>
      </c>
      <c r="D194" s="21" t="s">
        <v>430</v>
      </c>
      <c r="E194" s="23" t="s">
        <v>33</v>
      </c>
      <c r="F194" s="23" t="s">
        <v>781</v>
      </c>
      <c r="G194" s="117">
        <v>0</v>
      </c>
      <c r="H194" s="117">
        <v>0</v>
      </c>
      <c r="I194" s="117">
        <v>0</v>
      </c>
      <c r="J194" s="117">
        <v>0</v>
      </c>
      <c r="K194" s="117">
        <v>0</v>
      </c>
      <c r="L194" s="117">
        <v>0</v>
      </c>
      <c r="M194" s="117">
        <v>0</v>
      </c>
      <c r="N194" s="117">
        <v>0</v>
      </c>
      <c r="O194" s="117">
        <v>0</v>
      </c>
      <c r="P194" s="117">
        <v>0</v>
      </c>
      <c r="Q194" s="117">
        <v>-6.7049079447777391E-3</v>
      </c>
      <c r="R194" s="118">
        <v>0</v>
      </c>
      <c r="U194" s="88">
        <f t="shared" si="1"/>
        <v>-6.7049079447777391E-3</v>
      </c>
    </row>
    <row r="195" spans="1:24">
      <c r="A195" s="1" t="s">
        <v>153</v>
      </c>
      <c r="B195" s="12" t="s">
        <v>4</v>
      </c>
      <c r="C195" s="22" t="s">
        <v>431</v>
      </c>
      <c r="D195" s="21" t="s">
        <v>432</v>
      </c>
      <c r="E195" s="23" t="s">
        <v>33</v>
      </c>
      <c r="F195" s="23" t="s">
        <v>781</v>
      </c>
      <c r="G195" s="117">
        <v>0</v>
      </c>
      <c r="H195" s="117">
        <v>0</v>
      </c>
      <c r="I195" s="117">
        <v>-3.4816746656391201E-2</v>
      </c>
      <c r="J195" s="117">
        <v>0</v>
      </c>
      <c r="K195" s="117">
        <v>0</v>
      </c>
      <c r="L195" s="117">
        <v>0</v>
      </c>
      <c r="M195" s="117">
        <v>0</v>
      </c>
      <c r="N195" s="117">
        <v>0</v>
      </c>
      <c r="O195" s="117">
        <v>0</v>
      </c>
      <c r="P195" s="117">
        <v>0</v>
      </c>
      <c r="Q195" s="117">
        <v>0</v>
      </c>
      <c r="R195" s="118">
        <v>0</v>
      </c>
      <c r="U195" s="88">
        <f t="shared" si="1"/>
        <v>-3.4816746656391201E-2</v>
      </c>
    </row>
    <row r="196" spans="1:24">
      <c r="A196" s="1" t="s">
        <v>153</v>
      </c>
      <c r="B196" s="12" t="s">
        <v>4</v>
      </c>
      <c r="C196" s="22" t="s">
        <v>433</v>
      </c>
      <c r="D196" s="21" t="s">
        <v>434</v>
      </c>
      <c r="E196" s="23" t="s">
        <v>58</v>
      </c>
      <c r="F196" s="23"/>
      <c r="G196" s="117">
        <v>0</v>
      </c>
      <c r="H196" s="117">
        <v>0</v>
      </c>
      <c r="I196" s="117">
        <v>0</v>
      </c>
      <c r="J196" s="117">
        <v>0</v>
      </c>
      <c r="K196" s="117">
        <v>0</v>
      </c>
      <c r="L196" s="117">
        <v>-5.849262971121167E-2</v>
      </c>
      <c r="M196" s="117">
        <v>0</v>
      </c>
      <c r="N196" s="117">
        <v>0</v>
      </c>
      <c r="O196" s="117">
        <v>0</v>
      </c>
      <c r="P196" s="117">
        <v>0</v>
      </c>
      <c r="Q196" s="117">
        <v>0</v>
      </c>
      <c r="R196" s="118">
        <v>0</v>
      </c>
      <c r="U196" s="88">
        <f t="shared" si="1"/>
        <v>-5.849262971121167E-2</v>
      </c>
      <c r="W196" t="s">
        <v>435</v>
      </c>
      <c r="X196" t="s">
        <v>436</v>
      </c>
    </row>
    <row r="197" spans="1:24">
      <c r="A197" s="1" t="s">
        <v>153</v>
      </c>
      <c r="B197" s="12" t="s">
        <v>4</v>
      </c>
      <c r="C197" s="28" t="s">
        <v>22</v>
      </c>
      <c r="D197" s="6" t="s">
        <v>384</v>
      </c>
      <c r="E197" s="7" t="s">
        <v>33</v>
      </c>
      <c r="F197" s="7" t="s">
        <v>781</v>
      </c>
      <c r="G197" s="95">
        <v>5.1224322496613302E-2</v>
      </c>
      <c r="H197" s="117">
        <v>0</v>
      </c>
      <c r="I197" s="117">
        <v>0</v>
      </c>
      <c r="J197" s="117">
        <v>0</v>
      </c>
      <c r="K197" s="117">
        <v>0</v>
      </c>
      <c r="L197" s="117">
        <v>0</v>
      </c>
      <c r="M197" s="117">
        <v>0</v>
      </c>
      <c r="N197" s="117">
        <v>0</v>
      </c>
      <c r="O197" s="117">
        <v>0</v>
      </c>
      <c r="P197" s="117">
        <v>0</v>
      </c>
      <c r="Q197" s="117">
        <v>0</v>
      </c>
      <c r="R197" s="118">
        <v>0</v>
      </c>
      <c r="U197" s="88">
        <f t="shared" si="1"/>
        <v>5.1224322496613302E-2</v>
      </c>
      <c r="W197" s="5">
        <f>G197*SUM(RCS!$P$97)</f>
        <v>0.2163148329006909</v>
      </c>
      <c r="X197" s="232">
        <f>W197/RCS!$P$97</f>
        <v>5.1224322496613302E-2</v>
      </c>
    </row>
    <row r="198" spans="1:24">
      <c r="A198" s="1" t="s">
        <v>153</v>
      </c>
      <c r="B198" s="12" t="s">
        <v>4</v>
      </c>
      <c r="C198" s="28" t="s">
        <v>22</v>
      </c>
      <c r="D198" s="6" t="s">
        <v>385</v>
      </c>
      <c r="E198" s="7" t="s">
        <v>772</v>
      </c>
      <c r="F198" s="7"/>
      <c r="G198" s="95">
        <v>4.829777997529712E-3</v>
      </c>
      <c r="H198" s="117">
        <v>0</v>
      </c>
      <c r="I198" s="117">
        <v>0</v>
      </c>
      <c r="J198" s="117">
        <v>0</v>
      </c>
      <c r="K198" s="117">
        <v>0</v>
      </c>
      <c r="L198" s="117">
        <v>0</v>
      </c>
      <c r="M198" s="117">
        <v>0</v>
      </c>
      <c r="N198" s="117">
        <v>0</v>
      </c>
      <c r="O198" s="117">
        <v>0</v>
      </c>
      <c r="P198" s="117">
        <v>0</v>
      </c>
      <c r="Q198" s="117">
        <v>0</v>
      </c>
      <c r="R198" s="118">
        <v>0</v>
      </c>
      <c r="U198" s="88">
        <f t="shared" si="1"/>
        <v>4.829777997529712E-3</v>
      </c>
      <c r="W198" s="5">
        <f>G198*SUM(RCS!$P$97)</f>
        <v>2.0395635697322244E-2</v>
      </c>
      <c r="X198" s="232">
        <f>W198/RCS!$P$97</f>
        <v>4.829777997529712E-3</v>
      </c>
    </row>
    <row r="199" spans="1:24">
      <c r="A199" s="1" t="s">
        <v>153</v>
      </c>
      <c r="B199" s="12" t="s">
        <v>4</v>
      </c>
      <c r="C199" s="28" t="s">
        <v>22</v>
      </c>
      <c r="D199" s="6" t="s">
        <v>386</v>
      </c>
      <c r="E199" s="7" t="s">
        <v>140</v>
      </c>
      <c r="F199" s="7" t="s">
        <v>778</v>
      </c>
      <c r="G199" s="95">
        <v>1.0356998567039298E-3</v>
      </c>
      <c r="H199" s="117">
        <v>0</v>
      </c>
      <c r="I199" s="117">
        <v>0</v>
      </c>
      <c r="J199" s="117">
        <v>0</v>
      </c>
      <c r="K199" s="117">
        <v>0</v>
      </c>
      <c r="L199" s="117">
        <v>0</v>
      </c>
      <c r="M199" s="117">
        <v>0</v>
      </c>
      <c r="N199" s="117">
        <v>0</v>
      </c>
      <c r="O199" s="117">
        <v>0</v>
      </c>
      <c r="P199" s="117">
        <v>0</v>
      </c>
      <c r="Q199" s="117">
        <v>0</v>
      </c>
      <c r="R199" s="118">
        <v>0</v>
      </c>
      <c r="U199" s="88">
        <f t="shared" si="1"/>
        <v>1.0356998567039298E-3</v>
      </c>
      <c r="W199" s="5">
        <f>G199*SUM(RCS!$P$97)</f>
        <v>4.3736496749760293E-3</v>
      </c>
      <c r="X199" s="232">
        <f>W199/RCS!$P$97</f>
        <v>1.0356998567039298E-3</v>
      </c>
    </row>
    <row r="200" spans="1:24">
      <c r="A200" s="1" t="s">
        <v>153</v>
      </c>
      <c r="B200" s="12" t="s">
        <v>4</v>
      </c>
      <c r="C200" s="28" t="s">
        <v>22</v>
      </c>
      <c r="D200" s="6" t="s">
        <v>248</v>
      </c>
      <c r="E200" s="7" t="s">
        <v>58</v>
      </c>
      <c r="F200" s="7"/>
      <c r="G200" s="95">
        <v>2.4848939171707007E-2</v>
      </c>
      <c r="H200" s="117">
        <v>0</v>
      </c>
      <c r="I200" s="117">
        <v>0</v>
      </c>
      <c r="J200" s="117">
        <v>0</v>
      </c>
      <c r="K200" s="117">
        <v>0</v>
      </c>
      <c r="L200" s="117">
        <v>0</v>
      </c>
      <c r="M200" s="117">
        <v>0</v>
      </c>
      <c r="N200" s="117">
        <v>0</v>
      </c>
      <c r="O200" s="117">
        <v>0</v>
      </c>
      <c r="P200" s="117">
        <v>0</v>
      </c>
      <c r="Q200" s="117">
        <v>0</v>
      </c>
      <c r="R200" s="118">
        <v>0</v>
      </c>
      <c r="U200" s="88">
        <f t="shared" si="1"/>
        <v>2.4848939171707007E-2</v>
      </c>
      <c r="W200" s="5">
        <f>G200*SUM(RCS!$P$97)</f>
        <v>0.10493441128562733</v>
      </c>
      <c r="X200" s="232">
        <f>W200/RCS!$P$97</f>
        <v>2.4848939171707007E-2</v>
      </c>
    </row>
    <row r="201" spans="1:24">
      <c r="A201" s="1" t="s">
        <v>153</v>
      </c>
      <c r="B201" s="12" t="s">
        <v>4</v>
      </c>
      <c r="C201" s="22" t="s">
        <v>437</v>
      </c>
      <c r="D201" s="21" t="s">
        <v>438</v>
      </c>
      <c r="E201" s="23" t="s">
        <v>33</v>
      </c>
      <c r="F201" s="23" t="s">
        <v>782</v>
      </c>
      <c r="G201" s="117">
        <v>0</v>
      </c>
      <c r="H201" s="117">
        <v>0</v>
      </c>
      <c r="I201" s="117">
        <v>0</v>
      </c>
      <c r="J201" s="117">
        <v>0</v>
      </c>
      <c r="K201" s="117">
        <v>0</v>
      </c>
      <c r="L201" s="117">
        <v>0</v>
      </c>
      <c r="M201" s="117">
        <v>0</v>
      </c>
      <c r="N201" s="117">
        <v>0</v>
      </c>
      <c r="O201" s="117">
        <v>0</v>
      </c>
      <c r="P201" s="117">
        <v>0</v>
      </c>
      <c r="Q201" s="117">
        <v>0</v>
      </c>
      <c r="R201" s="118">
        <v>0</v>
      </c>
      <c r="U201" s="88">
        <f t="shared" si="1"/>
        <v>0</v>
      </c>
      <c r="X201" s="232">
        <f>SUBTOTAL(9,X197:X200)</f>
        <v>8.1938739522553955E-2</v>
      </c>
    </row>
    <row r="202" spans="1:24">
      <c r="A202" s="1" t="s">
        <v>153</v>
      </c>
      <c r="B202" s="12" t="s">
        <v>4</v>
      </c>
      <c r="C202" s="22" t="s">
        <v>439</v>
      </c>
      <c r="D202" s="21" t="s">
        <v>440</v>
      </c>
      <c r="E202" s="23" t="s">
        <v>58</v>
      </c>
      <c r="F202" s="23"/>
      <c r="G202" s="117">
        <v>0</v>
      </c>
      <c r="H202" s="117">
        <v>0</v>
      </c>
      <c r="I202" s="117">
        <v>0</v>
      </c>
      <c r="J202" s="117">
        <v>0</v>
      </c>
      <c r="K202" s="117">
        <v>0</v>
      </c>
      <c r="L202" s="117">
        <v>0</v>
      </c>
      <c r="M202" s="117">
        <v>0</v>
      </c>
      <c r="N202" s="117">
        <v>0</v>
      </c>
      <c r="O202" s="117">
        <v>0</v>
      </c>
      <c r="P202" s="117">
        <v>0</v>
      </c>
      <c r="Q202" s="117">
        <v>0</v>
      </c>
      <c r="R202" s="118">
        <v>0</v>
      </c>
      <c r="U202" s="88">
        <f t="shared" si="1"/>
        <v>0</v>
      </c>
    </row>
    <row r="203" spans="1:24">
      <c r="A203" s="1" t="s">
        <v>153</v>
      </c>
      <c r="B203" s="12" t="s">
        <v>4</v>
      </c>
      <c r="C203" s="22" t="s">
        <v>441</v>
      </c>
      <c r="D203" s="21" t="s">
        <v>383</v>
      </c>
      <c r="E203" s="23" t="s">
        <v>33</v>
      </c>
      <c r="F203" s="23" t="s">
        <v>781</v>
      </c>
      <c r="G203" s="117">
        <v>0</v>
      </c>
      <c r="H203" s="117">
        <v>0</v>
      </c>
      <c r="I203" s="117">
        <v>0</v>
      </c>
      <c r="J203" s="117">
        <v>0</v>
      </c>
      <c r="K203" s="398">
        <v>-7.664517588016187E-2</v>
      </c>
      <c r="L203" s="117">
        <v>0</v>
      </c>
      <c r="M203" s="117">
        <v>0</v>
      </c>
      <c r="N203" s="117">
        <v>0</v>
      </c>
      <c r="O203" s="117">
        <v>0</v>
      </c>
      <c r="P203" s="117">
        <v>0</v>
      </c>
      <c r="Q203" s="117">
        <v>0</v>
      </c>
      <c r="R203" s="118">
        <v>0</v>
      </c>
      <c r="U203" s="88">
        <f t="shared" si="1"/>
        <v>-7.664517588016187E-2</v>
      </c>
    </row>
    <row r="204" spans="1:24" s="10" customFormat="1">
      <c r="A204" s="96" t="s">
        <v>153</v>
      </c>
      <c r="B204" s="18" t="s">
        <v>4</v>
      </c>
      <c r="C204" s="25" t="s">
        <v>117</v>
      </c>
      <c r="D204" s="26" t="s">
        <v>117</v>
      </c>
      <c r="E204" s="27" t="s">
        <v>33</v>
      </c>
      <c r="F204" s="23" t="s">
        <v>784</v>
      </c>
      <c r="G204" s="121">
        <v>1.9161293970040467E-2</v>
      </c>
      <c r="H204" s="121">
        <v>0</v>
      </c>
      <c r="I204" s="121">
        <v>0</v>
      </c>
      <c r="J204" s="121">
        <v>0</v>
      </c>
      <c r="K204" s="121">
        <v>0</v>
      </c>
      <c r="L204" s="121">
        <v>0</v>
      </c>
      <c r="M204" s="121">
        <v>0</v>
      </c>
      <c r="N204" s="121">
        <v>0</v>
      </c>
      <c r="O204" s="121">
        <v>0</v>
      </c>
      <c r="P204" s="121">
        <v>0</v>
      </c>
      <c r="Q204" s="121">
        <v>0</v>
      </c>
      <c r="R204" s="122">
        <v>0</v>
      </c>
      <c r="U204" s="88">
        <f t="shared" si="1"/>
        <v>1.9161293970040467E-2</v>
      </c>
      <c r="W204" s="400">
        <f>SUBTOTAL(9,U190:U204)-U203</f>
        <v>-8.8621457097890904E-2</v>
      </c>
    </row>
    <row r="205" spans="1:24">
      <c r="A205" s="200" t="s">
        <v>153</v>
      </c>
      <c r="B205" s="200" t="s">
        <v>251</v>
      </c>
      <c r="C205" s="200"/>
      <c r="D205" s="200"/>
      <c r="E205" s="200"/>
      <c r="F205" s="200"/>
      <c r="G205" s="201">
        <f>RCS!D107</f>
        <v>2.965697237798</v>
      </c>
      <c r="H205" s="201">
        <f>RCS!E107</f>
        <v>2.859453158119492</v>
      </c>
      <c r="I205" s="201">
        <f>RCS!F107</f>
        <v>2.8536007553440346</v>
      </c>
      <c r="J205" s="201">
        <f>RCS!G107</f>
        <v>2.8534360409685475</v>
      </c>
      <c r="K205" s="201">
        <f>RCS!H107</f>
        <v>2.8285088305886061</v>
      </c>
      <c r="L205" s="210">
        <f>RCS!I107</f>
        <v>2.7957965556167097</v>
      </c>
      <c r="M205" s="210">
        <f>RCS!J107</f>
        <v>2.7619199633067977</v>
      </c>
      <c r="N205" s="210">
        <f>RCS!K107</f>
        <v>2.7619199633067977</v>
      </c>
      <c r="O205" s="201">
        <f>RCS!L107</f>
        <v>2.730459532741373</v>
      </c>
      <c r="P205" s="201">
        <f>RCS!M107</f>
        <v>2.7433497252151651</v>
      </c>
      <c r="Q205" s="201">
        <f>RCS!N107</f>
        <v>2.7114940737181668</v>
      </c>
      <c r="R205" s="201">
        <f>RCS!O107</f>
        <v>2.7114940737181668</v>
      </c>
      <c r="U205" s="88">
        <f t="shared" si="1"/>
        <v>33.577129910441862</v>
      </c>
    </row>
    <row r="206" spans="1:24">
      <c r="A206" s="1" t="s">
        <v>153</v>
      </c>
      <c r="B206" s="13" t="s">
        <v>5</v>
      </c>
      <c r="C206" s="89" t="s">
        <v>442</v>
      </c>
      <c r="D206" s="90" t="s">
        <v>418</v>
      </c>
      <c r="E206" s="91" t="s">
        <v>772</v>
      </c>
      <c r="F206" s="91" t="s">
        <v>777</v>
      </c>
      <c r="G206" s="86"/>
      <c r="H206" s="86"/>
      <c r="I206" s="86"/>
      <c r="J206" s="86"/>
      <c r="K206" s="86"/>
      <c r="L206" s="86"/>
      <c r="M206" s="86"/>
      <c r="N206" s="86"/>
      <c r="O206" s="86">
        <v>-3.7215663847858266E-2</v>
      </c>
      <c r="P206" s="86"/>
      <c r="Q206" s="86"/>
      <c r="R206" s="43"/>
      <c r="U206" s="88">
        <f t="shared" si="1"/>
        <v>-3.7215663847858266E-2</v>
      </c>
    </row>
    <row r="207" spans="1:24">
      <c r="A207" s="1" t="s">
        <v>153</v>
      </c>
      <c r="B207" s="13" t="s">
        <v>5</v>
      </c>
      <c r="C207" s="89" t="s">
        <v>421</v>
      </c>
      <c r="D207" s="90" t="s">
        <v>422</v>
      </c>
      <c r="E207" s="91" t="s">
        <v>33</v>
      </c>
      <c r="F207" s="91" t="s">
        <v>782</v>
      </c>
      <c r="G207" s="86"/>
      <c r="H207" s="86"/>
      <c r="I207" s="86"/>
      <c r="J207" s="86"/>
      <c r="K207" s="86">
        <v>0</v>
      </c>
      <c r="L207" s="86">
        <v>-3.1725184664928463E-2</v>
      </c>
      <c r="M207" s="86"/>
      <c r="N207" s="86"/>
      <c r="O207" s="86"/>
      <c r="P207" s="86"/>
      <c r="Q207" s="86"/>
      <c r="R207" s="43"/>
      <c r="U207" s="88">
        <f t="shared" si="1"/>
        <v>-3.1725184664928463E-2</v>
      </c>
    </row>
    <row r="208" spans="1:24">
      <c r="A208" s="1" t="s">
        <v>153</v>
      </c>
      <c r="B208" s="13" t="s">
        <v>5</v>
      </c>
      <c r="C208" s="89" t="s">
        <v>443</v>
      </c>
      <c r="D208" s="90" t="s">
        <v>444</v>
      </c>
      <c r="E208" s="91" t="s">
        <v>33</v>
      </c>
      <c r="F208" s="91" t="s">
        <v>782</v>
      </c>
      <c r="G208" s="86"/>
      <c r="H208" s="86"/>
      <c r="I208" s="86"/>
      <c r="J208" s="86"/>
      <c r="K208" s="86"/>
      <c r="L208" s="86"/>
      <c r="M208" s="86"/>
      <c r="N208" s="86"/>
      <c r="O208" s="86"/>
      <c r="P208" s="86"/>
      <c r="Q208" s="86">
        <v>-2.5006142813343301E-2</v>
      </c>
      <c r="R208" s="43"/>
      <c r="U208" s="88">
        <f t="shared" si="1"/>
        <v>-2.5006142813343301E-2</v>
      </c>
    </row>
    <row r="209" spans="1:24">
      <c r="A209" s="1" t="s">
        <v>153</v>
      </c>
      <c r="B209" s="13" t="s">
        <v>5</v>
      </c>
      <c r="C209" s="89" t="s">
        <v>445</v>
      </c>
      <c r="D209" s="90" t="s">
        <v>446</v>
      </c>
      <c r="E209" s="91" t="s">
        <v>33</v>
      </c>
      <c r="F209" s="91" t="s">
        <v>781</v>
      </c>
      <c r="G209" s="86"/>
      <c r="H209" s="86"/>
      <c r="I209" s="86"/>
      <c r="J209" s="86"/>
      <c r="K209" s="86">
        <v>-1.8200123073711657E-2</v>
      </c>
      <c r="L209" s="86"/>
      <c r="M209" s="86"/>
      <c r="N209" s="86"/>
      <c r="O209" s="86"/>
      <c r="P209" s="86"/>
      <c r="Q209" s="86"/>
      <c r="R209" s="43"/>
      <c r="U209" s="88">
        <f t="shared" si="1"/>
        <v>-1.8200123073711657E-2</v>
      </c>
    </row>
    <row r="210" spans="1:24">
      <c r="A210" s="1" t="s">
        <v>153</v>
      </c>
      <c r="B210" s="13" t="s">
        <v>5</v>
      </c>
      <c r="C210" s="89" t="s">
        <v>447</v>
      </c>
      <c r="D210" s="90" t="s">
        <v>430</v>
      </c>
      <c r="E210" s="91" t="s">
        <v>33</v>
      </c>
      <c r="F210" s="91" t="s">
        <v>781</v>
      </c>
      <c r="G210" s="86"/>
      <c r="H210" s="86"/>
      <c r="I210" s="86"/>
      <c r="J210" s="86"/>
      <c r="K210" s="86"/>
      <c r="L210" s="86"/>
      <c r="M210" s="86"/>
      <c r="N210" s="86"/>
      <c r="O210" s="86"/>
      <c r="P210" s="86"/>
      <c r="Q210" s="223">
        <v>-6.8495086836548999E-3</v>
      </c>
      <c r="R210" s="43"/>
      <c r="S210">
        <f>+Q210*9.19774</f>
        <v>-6.3000000000000014E-2</v>
      </c>
      <c r="U210" s="88">
        <f t="shared" si="1"/>
        <v>-6.8495086836548999E-3</v>
      </c>
    </row>
    <row r="211" spans="1:24">
      <c r="A211" s="1" t="s">
        <v>153</v>
      </c>
      <c r="B211" s="13" t="s">
        <v>5</v>
      </c>
      <c r="C211" s="89" t="s">
        <v>448</v>
      </c>
      <c r="D211" s="90" t="s">
        <v>449</v>
      </c>
      <c r="E211" s="91" t="s">
        <v>772</v>
      </c>
      <c r="F211" s="91" t="s">
        <v>780</v>
      </c>
      <c r="G211" s="86"/>
      <c r="H211" s="86"/>
      <c r="I211" s="86"/>
      <c r="J211" s="86"/>
      <c r="K211" s="86"/>
      <c r="L211" s="86">
        <v>-6.6320639635388705E-4</v>
      </c>
      <c r="M211" s="86"/>
      <c r="N211" s="86"/>
      <c r="O211" s="86"/>
      <c r="P211" s="86"/>
      <c r="Q211" s="86"/>
      <c r="R211" s="43"/>
    </row>
    <row r="212" spans="1:24">
      <c r="A212" s="1" t="s">
        <v>153</v>
      </c>
      <c r="B212" s="13" t="s">
        <v>5</v>
      </c>
      <c r="C212" s="89" t="s">
        <v>450</v>
      </c>
      <c r="D212" s="90" t="s">
        <v>451</v>
      </c>
      <c r="E212" s="91" t="s">
        <v>33</v>
      </c>
      <c r="F212" s="91" t="s">
        <v>784</v>
      </c>
      <c r="G212" s="86"/>
      <c r="H212" s="86"/>
      <c r="I212" s="86">
        <v>-2.1744546039537526E-3</v>
      </c>
      <c r="J212" s="86"/>
      <c r="K212" s="86"/>
      <c r="L212" s="86"/>
      <c r="M212" s="86"/>
      <c r="N212" s="86"/>
      <c r="O212" s="86"/>
      <c r="P212" s="86"/>
      <c r="Q212" s="86"/>
      <c r="R212" s="43"/>
      <c r="U212" s="88">
        <f>SUM(G212:R212)</f>
        <v>-2.1744546039537526E-3</v>
      </c>
      <c r="W212" t="s">
        <v>435</v>
      </c>
      <c r="X212" t="s">
        <v>436</v>
      </c>
    </row>
    <row r="213" spans="1:24">
      <c r="A213" s="1" t="s">
        <v>153</v>
      </c>
      <c r="B213" s="13" t="s">
        <v>5</v>
      </c>
      <c r="C213" s="92" t="s">
        <v>22</v>
      </c>
      <c r="D213" s="93" t="s">
        <v>244</v>
      </c>
      <c r="E213" s="94" t="s">
        <v>772</v>
      </c>
      <c r="F213" s="94" t="s">
        <v>777</v>
      </c>
      <c r="G213" s="86"/>
      <c r="H213" s="86"/>
      <c r="I213" s="86"/>
      <c r="J213" s="86"/>
      <c r="K213" s="86"/>
      <c r="L213" s="86"/>
      <c r="M213" s="86"/>
      <c r="N213" s="86"/>
      <c r="O213" s="95">
        <v>2.13066404723335E-3</v>
      </c>
      <c r="P213" s="86"/>
      <c r="Q213" s="86"/>
      <c r="R213" s="43"/>
      <c r="W213" s="5">
        <f>N213*SUM(RCS!$K$97:$O$97)</f>
        <v>0</v>
      </c>
      <c r="X213" s="232">
        <f>W213/RCS!$P$97</f>
        <v>0</v>
      </c>
    </row>
    <row r="214" spans="1:24">
      <c r="A214" s="1" t="s">
        <v>153</v>
      </c>
      <c r="B214" s="13" t="s">
        <v>5</v>
      </c>
      <c r="C214" s="92" t="s">
        <v>22</v>
      </c>
      <c r="D214" s="93" t="s">
        <v>309</v>
      </c>
      <c r="E214" s="94" t="s">
        <v>772</v>
      </c>
      <c r="F214" s="94"/>
      <c r="G214" s="86"/>
      <c r="H214" s="86"/>
      <c r="I214" s="86"/>
      <c r="J214" s="86"/>
      <c r="K214" s="86"/>
      <c r="L214" s="86"/>
      <c r="M214" s="86"/>
      <c r="N214" s="86"/>
      <c r="O214" s="95">
        <v>2.6127312913921726E-2</v>
      </c>
      <c r="P214" s="86"/>
      <c r="Q214" s="86"/>
      <c r="R214" s="43"/>
      <c r="W214" s="5">
        <f>N214*SUM(RCS!$K$97:$O$97)</f>
        <v>0</v>
      </c>
      <c r="X214" s="232">
        <f>W214/RCS!$P$97</f>
        <v>0</v>
      </c>
    </row>
    <row r="215" spans="1:24">
      <c r="A215" s="1" t="s">
        <v>153</v>
      </c>
      <c r="B215" s="13" t="s">
        <v>5</v>
      </c>
      <c r="C215" s="92" t="s">
        <v>22</v>
      </c>
      <c r="D215" s="93" t="s">
        <v>246</v>
      </c>
      <c r="E215" s="94" t="s">
        <v>140</v>
      </c>
      <c r="F215" s="94" t="s">
        <v>778</v>
      </c>
      <c r="G215" s="86"/>
      <c r="H215" s="86"/>
      <c r="I215" s="86"/>
      <c r="J215" s="86"/>
      <c r="K215" s="86"/>
      <c r="L215" s="86"/>
      <c r="M215" s="86"/>
      <c r="N215" s="86"/>
      <c r="O215" s="95">
        <v>9.3113024136275212E-4</v>
      </c>
      <c r="P215" s="86"/>
      <c r="Q215" s="86"/>
      <c r="R215" s="43"/>
      <c r="W215" s="5">
        <f>N215*SUM(RCS!$K$97:$O$97)</f>
        <v>0</v>
      </c>
      <c r="X215" s="232">
        <f>W215/RCS!$P$97</f>
        <v>0</v>
      </c>
    </row>
    <row r="216" spans="1:24">
      <c r="A216" s="1" t="s">
        <v>153</v>
      </c>
      <c r="B216" s="13" t="s">
        <v>5</v>
      </c>
      <c r="C216" s="92" t="s">
        <v>22</v>
      </c>
      <c r="D216" s="93" t="s">
        <v>406</v>
      </c>
      <c r="E216" s="94" t="s">
        <v>58</v>
      </c>
      <c r="F216" s="94"/>
      <c r="G216" s="86"/>
      <c r="H216" s="86"/>
      <c r="I216" s="86"/>
      <c r="J216" s="86"/>
      <c r="K216" s="86"/>
      <c r="L216" s="86"/>
      <c r="M216" s="86"/>
      <c r="N216" s="86"/>
      <c r="O216" s="86"/>
      <c r="P216" s="86">
        <v>1.2890192473791978E-2</v>
      </c>
      <c r="Q216" s="86"/>
      <c r="R216" s="43"/>
      <c r="X216" s="232">
        <f>SUBTOTAL(9,X213:X215)</f>
        <v>0</v>
      </c>
    </row>
    <row r="217" spans="1:24">
      <c r="A217" s="1" t="s">
        <v>153</v>
      </c>
      <c r="B217" s="13" t="s">
        <v>5</v>
      </c>
      <c r="C217" s="89" t="s">
        <v>452</v>
      </c>
      <c r="D217" s="90" t="s">
        <v>453</v>
      </c>
      <c r="E217" s="91" t="s">
        <v>33</v>
      </c>
      <c r="F217" s="91" t="s">
        <v>782</v>
      </c>
      <c r="G217" s="86"/>
      <c r="H217" s="86">
        <v>-4.3206265887054861E-2</v>
      </c>
      <c r="I217" s="86"/>
      <c r="J217" s="86"/>
      <c r="K217" s="86"/>
      <c r="L217" s="86"/>
      <c r="M217" s="86"/>
      <c r="N217" s="86"/>
      <c r="O217" s="86"/>
      <c r="P217" s="86"/>
      <c r="Q217" s="86"/>
      <c r="R217" s="43"/>
      <c r="U217" s="88">
        <f>SUM(G217:R217)</f>
        <v>-4.3206265887054861E-2</v>
      </c>
    </row>
    <row r="218" spans="1:24">
      <c r="A218" s="1" t="s">
        <v>153</v>
      </c>
      <c r="B218" s="13" t="s">
        <v>5</v>
      </c>
      <c r="C218" s="89" t="s">
        <v>389</v>
      </c>
      <c r="D218" s="90" t="s">
        <v>454</v>
      </c>
      <c r="E218" s="91" t="s">
        <v>389</v>
      </c>
      <c r="F218" s="91" t="s">
        <v>786</v>
      </c>
      <c r="G218" s="86"/>
      <c r="H218" s="86">
        <v>-3.6617690867539091E-2</v>
      </c>
      <c r="I218" s="86"/>
      <c r="J218" s="86">
        <v>-1.6308354008702031E-4</v>
      </c>
      <c r="K218" s="86"/>
      <c r="L218" s="86"/>
      <c r="M218" s="86"/>
      <c r="N218" s="86"/>
      <c r="O218" s="86"/>
      <c r="P218" s="86"/>
      <c r="Q218" s="86"/>
      <c r="R218" s="43"/>
      <c r="U218" s="88">
        <f>SUM(G218:R218)</f>
        <v>-3.6780774407626109E-2</v>
      </c>
    </row>
    <row r="219" spans="1:24">
      <c r="A219" s="1" t="s">
        <v>153</v>
      </c>
      <c r="B219" s="13" t="s">
        <v>5</v>
      </c>
      <c r="C219" s="89" t="s">
        <v>455</v>
      </c>
      <c r="D219" s="90" t="s">
        <v>456</v>
      </c>
      <c r="E219" s="91" t="s">
        <v>58</v>
      </c>
      <c r="F219" s="91"/>
      <c r="G219" s="86">
        <v>-1.9733836617766648E-2</v>
      </c>
      <c r="H219" s="86">
        <v>0</v>
      </c>
      <c r="I219" s="86"/>
      <c r="J219" s="86">
        <v>0</v>
      </c>
      <c r="K219" s="86"/>
      <c r="L219" s="86"/>
      <c r="M219" s="86"/>
      <c r="N219" s="86"/>
      <c r="O219" s="86"/>
      <c r="P219" s="86"/>
      <c r="Q219" s="86"/>
      <c r="R219" s="43"/>
    </row>
    <row r="220" spans="1:24">
      <c r="A220" s="1" t="s">
        <v>153</v>
      </c>
      <c r="B220" s="13" t="s">
        <v>5</v>
      </c>
      <c r="C220" s="89" t="s">
        <v>457</v>
      </c>
      <c r="D220" s="90" t="s">
        <v>458</v>
      </c>
      <c r="E220" s="91" t="s">
        <v>772</v>
      </c>
      <c r="F220" s="91" t="s">
        <v>780</v>
      </c>
      <c r="G220" s="86">
        <v>0</v>
      </c>
      <c r="H220" s="86">
        <v>0</v>
      </c>
      <c r="I220" s="86">
        <v>-2.5368637046127079E-3</v>
      </c>
      <c r="J220" s="86">
        <v>0</v>
      </c>
      <c r="K220" s="86"/>
      <c r="L220" s="86"/>
      <c r="M220" s="86"/>
      <c r="N220" s="86"/>
      <c r="O220" s="86"/>
      <c r="P220" s="86"/>
      <c r="Q220" s="86"/>
      <c r="R220" s="43"/>
    </row>
    <row r="221" spans="1:24">
      <c r="A221" s="1" t="s">
        <v>153</v>
      </c>
      <c r="B221" s="13" t="s">
        <v>5</v>
      </c>
      <c r="C221" s="89" t="s">
        <v>322</v>
      </c>
      <c r="D221" s="90" t="s">
        <v>459</v>
      </c>
      <c r="E221" s="91" t="s">
        <v>58</v>
      </c>
      <c r="F221" s="91"/>
      <c r="G221" s="86">
        <v>0</v>
      </c>
      <c r="H221" s="86">
        <v>-1.0519215809753264E-3</v>
      </c>
      <c r="I221" s="86">
        <v>-3.6407998934058653E-5</v>
      </c>
      <c r="J221" s="86">
        <v>-1.6382381942825934E-6</v>
      </c>
      <c r="K221" s="86">
        <v>-2.0374570274872029E-4</v>
      </c>
      <c r="L221" s="86">
        <v>-3.2388391061388688E-4</v>
      </c>
      <c r="M221" s="86"/>
      <c r="N221" s="86"/>
      <c r="O221" s="86"/>
      <c r="P221" s="86"/>
      <c r="Q221" s="86"/>
      <c r="R221" s="43"/>
    </row>
    <row r="222" spans="1:24">
      <c r="A222" s="1" t="s">
        <v>153</v>
      </c>
      <c r="B222" s="13" t="s">
        <v>5</v>
      </c>
      <c r="C222" s="126" t="s">
        <v>274</v>
      </c>
      <c r="D222" s="127" t="s">
        <v>274</v>
      </c>
      <c r="E222" s="128" t="s">
        <v>772</v>
      </c>
      <c r="F222" s="128"/>
      <c r="G222" s="129">
        <v>-4.7903234925101169E-3</v>
      </c>
      <c r="H222" s="129">
        <v>0</v>
      </c>
      <c r="I222" s="129">
        <v>-2.0388006426023114E-5</v>
      </c>
      <c r="J222" s="129">
        <v>0</v>
      </c>
      <c r="K222" s="129">
        <v>-6.4146192434228408E-2</v>
      </c>
      <c r="L222" s="129">
        <v>-2.1083329326713085E-2</v>
      </c>
      <c r="M222" s="86"/>
      <c r="N222" s="86"/>
      <c r="O222" s="86"/>
      <c r="P222" s="86"/>
      <c r="Q222" s="86"/>
      <c r="R222" s="43"/>
    </row>
    <row r="223" spans="1:24">
      <c r="A223" s="1" t="s">
        <v>153</v>
      </c>
      <c r="B223" s="13" t="s">
        <v>5</v>
      </c>
      <c r="C223" s="126" t="s">
        <v>274</v>
      </c>
      <c r="D223" s="127" t="s">
        <v>274</v>
      </c>
      <c r="E223" s="128" t="s">
        <v>43</v>
      </c>
      <c r="F223" s="128" t="s">
        <v>778</v>
      </c>
      <c r="G223" s="129">
        <v>4.7903234925101169E-3</v>
      </c>
      <c r="H223" s="129">
        <v>0</v>
      </c>
      <c r="I223" s="129">
        <v>2.0400403862200844E-5</v>
      </c>
      <c r="J223" s="129">
        <v>-1.6308354008699955E-4</v>
      </c>
      <c r="K223" s="129">
        <v>0</v>
      </c>
      <c r="L223" s="86"/>
      <c r="M223" s="86"/>
      <c r="N223" s="86"/>
      <c r="O223" s="86"/>
      <c r="P223" s="86"/>
      <c r="Q223" s="86"/>
      <c r="R223" s="43"/>
    </row>
    <row r="224" spans="1:24">
      <c r="A224" s="1" t="s">
        <v>153</v>
      </c>
      <c r="B224" s="13" t="s">
        <v>5</v>
      </c>
      <c r="C224" s="126" t="s">
        <v>274</v>
      </c>
      <c r="D224" s="127" t="s">
        <v>274</v>
      </c>
      <c r="E224" s="128" t="s">
        <v>33</v>
      </c>
      <c r="F224" s="128"/>
      <c r="G224" s="129"/>
      <c r="H224" s="129">
        <v>0</v>
      </c>
      <c r="I224" s="129">
        <v>0</v>
      </c>
      <c r="J224" s="129">
        <v>1.6309094288108832E-4</v>
      </c>
      <c r="K224" s="129">
        <v>6.4146192434228408E-2</v>
      </c>
      <c r="L224" s="86"/>
      <c r="M224" s="86"/>
      <c r="N224" s="86"/>
      <c r="O224" s="86"/>
      <c r="P224" s="86"/>
      <c r="Q224" s="86"/>
      <c r="R224" s="43"/>
    </row>
    <row r="225" spans="1:24">
      <c r="A225" s="1" t="s">
        <v>153</v>
      </c>
      <c r="B225" s="13" t="s">
        <v>5</v>
      </c>
      <c r="C225" s="126" t="s">
        <v>274</v>
      </c>
      <c r="D225" s="127" t="s">
        <v>274</v>
      </c>
      <c r="E225" s="320" t="s">
        <v>772</v>
      </c>
      <c r="F225" s="320"/>
      <c r="G225" s="129"/>
      <c r="H225" s="129"/>
      <c r="I225" s="129"/>
      <c r="J225" s="129"/>
      <c r="K225" s="129"/>
      <c r="L225" s="129">
        <v>2.1083329326713085E-2</v>
      </c>
      <c r="M225" s="86"/>
      <c r="N225" s="86"/>
      <c r="O225" s="86"/>
      <c r="P225" s="86"/>
      <c r="Q225" s="86"/>
      <c r="R225" s="43"/>
    </row>
    <row r="226" spans="1:24">
      <c r="A226" s="1" t="s">
        <v>153</v>
      </c>
      <c r="B226" s="13" t="s">
        <v>5</v>
      </c>
      <c r="C226" s="89" t="s">
        <v>460</v>
      </c>
      <c r="D226" s="90" t="s">
        <v>461</v>
      </c>
      <c r="E226" s="91" t="s">
        <v>772</v>
      </c>
      <c r="F226" s="91" t="s">
        <v>777</v>
      </c>
      <c r="G226" s="86"/>
      <c r="H226" s="86">
        <v>-2.5368201342938625E-2</v>
      </c>
      <c r="I226" s="86">
        <v>0</v>
      </c>
      <c r="J226" s="86">
        <v>0</v>
      </c>
      <c r="K226" s="86">
        <v>0</v>
      </c>
      <c r="L226" s="86"/>
      <c r="M226" s="86"/>
      <c r="N226" s="86"/>
      <c r="O226" s="86"/>
      <c r="P226" s="86"/>
      <c r="Q226" s="86"/>
      <c r="R226" s="43"/>
    </row>
    <row r="227" spans="1:24">
      <c r="A227" s="1" t="s">
        <v>153</v>
      </c>
      <c r="B227" s="13" t="s">
        <v>5</v>
      </c>
      <c r="C227" s="89" t="s">
        <v>462</v>
      </c>
      <c r="D227" s="90" t="s">
        <v>463</v>
      </c>
      <c r="E227" s="91" t="s">
        <v>772</v>
      </c>
      <c r="F227" s="91" t="s">
        <v>780</v>
      </c>
      <c r="G227" s="86"/>
      <c r="H227" s="86">
        <v>0</v>
      </c>
      <c r="I227" s="86">
        <v>-1.1046888653929573E-3</v>
      </c>
      <c r="J227" s="86">
        <v>0</v>
      </c>
      <c r="K227" s="86">
        <v>0</v>
      </c>
      <c r="L227" s="86"/>
      <c r="M227" s="86"/>
      <c r="N227" s="86"/>
      <c r="O227" s="86"/>
      <c r="P227" s="86"/>
      <c r="Q227" s="86"/>
      <c r="R227" s="43"/>
    </row>
    <row r="228" spans="1:24">
      <c r="A228" s="1" t="s">
        <v>153</v>
      </c>
      <c r="B228" s="13" t="s">
        <v>5</v>
      </c>
      <c r="C228" s="89" t="s">
        <v>464</v>
      </c>
      <c r="D228" s="90" t="s">
        <v>465</v>
      </c>
      <c r="E228" s="91" t="s">
        <v>772</v>
      </c>
      <c r="F228" s="91" t="s">
        <v>779</v>
      </c>
      <c r="G228" s="86"/>
      <c r="H228" s="86">
        <v>0</v>
      </c>
      <c r="I228" s="86">
        <v>0</v>
      </c>
      <c r="J228" s="86">
        <v>0</v>
      </c>
      <c r="K228" s="86">
        <v>-2.1744472011602871E-3</v>
      </c>
      <c r="L228" s="86"/>
      <c r="M228" s="86"/>
      <c r="N228" s="86"/>
      <c r="O228" s="86"/>
      <c r="P228" s="86"/>
      <c r="Q228" s="86"/>
      <c r="R228" s="43"/>
      <c r="U228" s="88">
        <f>SUM(G228:R228)</f>
        <v>-2.1744472011602871E-3</v>
      </c>
    </row>
    <row r="229" spans="1:24">
      <c r="A229" s="1" t="s">
        <v>153</v>
      </c>
      <c r="B229" s="13" t="s">
        <v>5</v>
      </c>
      <c r="C229" s="89" t="s">
        <v>466</v>
      </c>
      <c r="D229" s="90" t="s">
        <v>467</v>
      </c>
      <c r="E229" s="91" t="s">
        <v>33</v>
      </c>
      <c r="F229" s="91" t="s">
        <v>784</v>
      </c>
      <c r="G229" s="86"/>
      <c r="H229" s="86">
        <v>0</v>
      </c>
      <c r="I229" s="86">
        <v>0</v>
      </c>
      <c r="J229" s="86">
        <v>0</v>
      </c>
      <c r="K229" s="86">
        <v>-4.3488944023205743E-3</v>
      </c>
      <c r="L229" s="86"/>
      <c r="M229" s="86"/>
      <c r="N229" s="86"/>
      <c r="O229" s="86"/>
      <c r="P229" s="86"/>
      <c r="Q229" s="86"/>
      <c r="R229" s="43"/>
      <c r="U229" s="88">
        <f>SUM(G229:R229)</f>
        <v>-4.3488944023205743E-3</v>
      </c>
    </row>
    <row r="230" spans="1:24">
      <c r="A230" s="1" t="s">
        <v>153</v>
      </c>
      <c r="B230" s="13" t="s">
        <v>5</v>
      </c>
      <c r="C230" s="89" t="s">
        <v>468</v>
      </c>
      <c r="D230" s="90" t="s">
        <v>469</v>
      </c>
      <c r="E230" s="91" t="s">
        <v>33</v>
      </c>
      <c r="F230" s="91" t="s">
        <v>782</v>
      </c>
      <c r="G230" s="86"/>
      <c r="H230" s="86"/>
      <c r="I230" s="86"/>
      <c r="J230" s="86"/>
      <c r="K230" s="86"/>
      <c r="L230" s="86"/>
      <c r="M230" s="86"/>
      <c r="N230" s="86"/>
      <c r="O230" s="398">
        <v>-2.3433873920084201E-2</v>
      </c>
      <c r="P230" s="86"/>
      <c r="Q230" s="86"/>
      <c r="R230" s="43"/>
      <c r="U230" s="88">
        <f>SUM(G230:R230)</f>
        <v>-2.3433873920084201E-2</v>
      </c>
      <c r="W230">
        <f>SUBTOTAL(9,U207:U230)</f>
        <v>-0.19389966965783811</v>
      </c>
      <c r="X230" s="399">
        <f>+W230-W204</f>
        <v>-0.10527821255994721</v>
      </c>
    </row>
    <row r="231" spans="1:24">
      <c r="A231" s="1" t="s">
        <v>153</v>
      </c>
      <c r="B231" s="13" t="s">
        <v>5</v>
      </c>
      <c r="C231" s="89"/>
      <c r="D231" s="90" t="s">
        <v>763</v>
      </c>
      <c r="E231" s="91" t="s">
        <v>772</v>
      </c>
      <c r="F231" s="91"/>
      <c r="G231" s="86"/>
      <c r="H231" s="86"/>
      <c r="I231" s="86"/>
      <c r="J231" s="86"/>
      <c r="K231" s="86"/>
      <c r="L231" s="86"/>
      <c r="M231" s="86">
        <v>-3.7234022827244584E-2</v>
      </c>
      <c r="N231" s="86"/>
      <c r="O231" s="86"/>
      <c r="P231" s="86"/>
      <c r="Q231" s="86"/>
      <c r="R231" s="43"/>
      <c r="U231" s="88"/>
      <c r="X231" s="399"/>
    </row>
    <row r="232" spans="1:24">
      <c r="A232" s="1" t="s">
        <v>153</v>
      </c>
      <c r="B232" s="13" t="s">
        <v>5</v>
      </c>
      <c r="C232" s="89"/>
      <c r="D232" s="90" t="s">
        <v>764</v>
      </c>
      <c r="E232" s="91" t="s">
        <v>33</v>
      </c>
      <c r="F232" s="91"/>
      <c r="G232" s="86"/>
      <c r="H232" s="86"/>
      <c r="I232" s="86"/>
      <c r="J232" s="86"/>
      <c r="K232" s="86"/>
      <c r="L232" s="86"/>
      <c r="M232" s="86">
        <v>-2.6766357821728093E-5</v>
      </c>
      <c r="N232" s="86"/>
      <c r="O232" s="86"/>
      <c r="P232" s="86"/>
      <c r="Q232" s="86"/>
      <c r="R232" s="43"/>
      <c r="U232" s="88"/>
      <c r="X232" s="399"/>
    </row>
    <row r="233" spans="1:24">
      <c r="A233" s="1" t="s">
        <v>153</v>
      </c>
      <c r="B233" s="13" t="s">
        <v>5</v>
      </c>
      <c r="C233" s="89"/>
      <c r="D233" s="90" t="s">
        <v>765</v>
      </c>
      <c r="E233" s="91" t="s">
        <v>58</v>
      </c>
      <c r="F233" s="91"/>
      <c r="G233" s="86"/>
      <c r="H233" s="86"/>
      <c r="I233" s="86"/>
      <c r="J233" s="86"/>
      <c r="K233" s="86"/>
      <c r="L233" s="86"/>
      <c r="M233" s="86">
        <v>-2.3396076474800631E-5</v>
      </c>
      <c r="N233" s="86"/>
      <c r="O233" s="86"/>
      <c r="P233" s="86"/>
      <c r="Q233" s="86"/>
      <c r="R233" s="43"/>
      <c r="U233" s="88"/>
      <c r="X233" s="399"/>
    </row>
    <row r="234" spans="1:24">
      <c r="A234" s="1" t="s">
        <v>153</v>
      </c>
      <c r="B234" s="13" t="s">
        <v>5</v>
      </c>
      <c r="C234" s="89"/>
      <c r="D234" s="90" t="s">
        <v>767</v>
      </c>
      <c r="E234" s="91" t="s">
        <v>767</v>
      </c>
      <c r="F234" s="91"/>
      <c r="G234" s="86"/>
      <c r="H234" s="86"/>
      <c r="I234" s="86"/>
      <c r="J234" s="86"/>
      <c r="K234" s="86"/>
      <c r="L234" s="86"/>
      <c r="M234" s="86">
        <v>3.7031923059038796E-5</v>
      </c>
      <c r="N234" s="86"/>
      <c r="O234" s="86"/>
      <c r="P234" s="86"/>
      <c r="Q234" s="86"/>
      <c r="R234" s="43"/>
      <c r="U234" s="88"/>
      <c r="X234" s="399"/>
    </row>
    <row r="235" spans="1:24">
      <c r="A235" s="1" t="s">
        <v>153</v>
      </c>
      <c r="B235" s="13" t="s">
        <v>5</v>
      </c>
      <c r="C235" s="51" t="s">
        <v>291</v>
      </c>
      <c r="D235" s="46" t="s">
        <v>415</v>
      </c>
      <c r="E235" s="47" t="s">
        <v>140</v>
      </c>
      <c r="F235" s="47" t="s">
        <v>778</v>
      </c>
      <c r="G235" s="46"/>
      <c r="H235" s="46"/>
      <c r="I235" s="46"/>
      <c r="J235" s="46"/>
      <c r="K235" s="46"/>
      <c r="L235" s="97"/>
      <c r="M235" s="434">
        <v>3.6856880059666832E-3</v>
      </c>
      <c r="N235" s="97"/>
      <c r="O235" s="46"/>
      <c r="P235" s="46"/>
      <c r="Q235" s="97"/>
      <c r="R235" s="46"/>
    </row>
    <row r="236" spans="1:24">
      <c r="A236" s="1" t="s">
        <v>153</v>
      </c>
      <c r="B236" s="13" t="s">
        <v>5</v>
      </c>
      <c r="C236" s="51" t="s">
        <v>291</v>
      </c>
      <c r="D236" s="46" t="s">
        <v>416</v>
      </c>
      <c r="E236" s="47" t="s">
        <v>58</v>
      </c>
      <c r="F236" s="47"/>
      <c r="G236" s="46"/>
      <c r="H236" s="46"/>
      <c r="I236" s="46"/>
      <c r="J236" s="46"/>
      <c r="K236" s="46"/>
      <c r="L236" s="46"/>
      <c r="M236" s="434">
        <v>-3.1512697739666251E-4</v>
      </c>
      <c r="N236" s="97"/>
      <c r="O236" s="435"/>
      <c r="P236" s="46"/>
      <c r="Q236" s="46"/>
      <c r="R236" s="46"/>
    </row>
    <row r="237" spans="1:24">
      <c r="A237" s="1" t="s">
        <v>153</v>
      </c>
      <c r="B237" s="13"/>
      <c r="C237" s="51" t="s">
        <v>750</v>
      </c>
      <c r="D237" s="46" t="s">
        <v>751</v>
      </c>
      <c r="E237" s="47" t="s">
        <v>58</v>
      </c>
      <c r="F237" s="47"/>
      <c r="G237" s="46"/>
      <c r="H237" s="46"/>
      <c r="I237" s="46"/>
      <c r="J237" s="46"/>
      <c r="K237" s="46"/>
      <c r="L237" s="46"/>
      <c r="M237" s="97"/>
      <c r="N237" s="97"/>
      <c r="O237" s="426">
        <v>-3.2018735037085198E-3</v>
      </c>
      <c r="P237" s="46"/>
      <c r="Q237" s="46"/>
      <c r="R237" s="46"/>
    </row>
    <row r="238" spans="1:24">
      <c r="A238" s="1" t="s">
        <v>153</v>
      </c>
      <c r="B238" s="13"/>
      <c r="C238" s="51" t="s">
        <v>750</v>
      </c>
      <c r="D238" s="46" t="s">
        <v>752</v>
      </c>
      <c r="E238" s="47" t="s">
        <v>58</v>
      </c>
      <c r="F238" s="47"/>
      <c r="G238" s="46"/>
      <c r="H238" s="46"/>
      <c r="I238" s="46"/>
      <c r="J238" s="46"/>
      <c r="K238" s="46"/>
      <c r="L238" s="46"/>
      <c r="M238" s="97"/>
      <c r="N238" s="97"/>
      <c r="O238" s="426">
        <v>-5.4899999999999997E-2</v>
      </c>
      <c r="P238" s="46"/>
      <c r="Q238" s="46"/>
      <c r="R238" s="46"/>
    </row>
    <row r="239" spans="1:24">
      <c r="A239" s="1" t="s">
        <v>153</v>
      </c>
      <c r="B239" s="13"/>
      <c r="C239" s="51" t="s">
        <v>291</v>
      </c>
      <c r="D239" s="46" t="s">
        <v>749</v>
      </c>
      <c r="E239" s="47" t="s">
        <v>58</v>
      </c>
      <c r="F239" s="47"/>
      <c r="G239" s="46"/>
      <c r="H239" s="46"/>
      <c r="I239" s="46"/>
      <c r="J239" s="46"/>
      <c r="K239" s="46"/>
      <c r="L239" s="46"/>
      <c r="M239" s="46"/>
      <c r="N239" s="97"/>
      <c r="O239" s="46"/>
      <c r="P239" s="46">
        <v>-2E-3</v>
      </c>
      <c r="Q239" s="46"/>
      <c r="R239" s="46"/>
    </row>
    <row r="240" spans="1:24">
      <c r="A240" s="1"/>
    </row>
    <row r="241" spans="1:19">
      <c r="A241" s="200" t="s">
        <v>185</v>
      </c>
      <c r="B241" s="200" t="s">
        <v>251</v>
      </c>
      <c r="C241" s="200"/>
      <c r="D241" s="200"/>
      <c r="E241" s="200"/>
      <c r="F241" s="200"/>
      <c r="G241" s="201">
        <f>RCS!D126</f>
        <v>0</v>
      </c>
      <c r="H241" s="201">
        <f>RCS!E126</f>
        <v>0</v>
      </c>
      <c r="I241" s="201">
        <f>RCS!F126</f>
        <v>4.3783556721542469</v>
      </c>
      <c r="J241" s="201">
        <f>RCS!G126</f>
        <v>4.3783556721542469</v>
      </c>
      <c r="K241" s="201">
        <f>RCS!H126</f>
        <v>4.3783556721542469</v>
      </c>
      <c r="L241" s="201">
        <f>RCS!I126</f>
        <v>4.3783556721542469</v>
      </c>
      <c r="M241" s="201">
        <f>RCS!J126</f>
        <v>4.3783556721542469</v>
      </c>
      <c r="N241" s="201">
        <f>RCS!K126</f>
        <v>4.2248616721542467</v>
      </c>
      <c r="O241" s="201">
        <f>RCS!L126</f>
        <v>4.2248616721542467</v>
      </c>
      <c r="P241" s="201">
        <f>RCS!M126</f>
        <v>4.2474726844991535</v>
      </c>
      <c r="Q241" s="201">
        <f>RCS!N126</f>
        <v>4.2301767128847549</v>
      </c>
      <c r="R241" s="201">
        <f>RCS!O126</f>
        <v>4.2301767128847549</v>
      </c>
    </row>
    <row r="242" spans="1:19">
      <c r="A242" s="1" t="s">
        <v>185</v>
      </c>
      <c r="B242" s="13" t="s">
        <v>5</v>
      </c>
      <c r="C242" s="89" t="s">
        <v>470</v>
      </c>
      <c r="D242" s="315" t="s">
        <v>471</v>
      </c>
      <c r="E242" s="91" t="s">
        <v>33</v>
      </c>
      <c r="F242" s="91" t="s">
        <v>781</v>
      </c>
      <c r="G242" s="86"/>
      <c r="H242" s="86"/>
      <c r="I242" s="86"/>
      <c r="J242" s="86"/>
      <c r="K242" s="86"/>
      <c r="L242" s="86"/>
      <c r="M242" s="86"/>
      <c r="N242" s="106">
        <v>-7.2394E-2</v>
      </c>
      <c r="O242" s="86"/>
      <c r="P242" s="86"/>
      <c r="Q242" s="86"/>
      <c r="R242" s="43"/>
    </row>
    <row r="243" spans="1:19">
      <c r="A243" s="1" t="s">
        <v>185</v>
      </c>
      <c r="B243" s="13" t="s">
        <v>5</v>
      </c>
      <c r="C243" s="89" t="s">
        <v>472</v>
      </c>
      <c r="D243" s="315" t="s">
        <v>473</v>
      </c>
      <c r="E243" s="91" t="s">
        <v>33</v>
      </c>
      <c r="F243" s="91" t="s">
        <v>782</v>
      </c>
      <c r="G243" s="86"/>
      <c r="H243" s="86"/>
      <c r="I243" s="86"/>
      <c r="J243" s="86"/>
      <c r="K243" s="86"/>
      <c r="L243" s="86"/>
      <c r="M243" s="86"/>
      <c r="N243" s="106">
        <v>-6.5600000000000006E-2</v>
      </c>
      <c r="O243" s="86"/>
      <c r="P243" s="86"/>
      <c r="Q243" s="86"/>
      <c r="R243" s="43"/>
    </row>
    <row r="244" spans="1:19">
      <c r="A244" s="1" t="s">
        <v>185</v>
      </c>
      <c r="B244" s="13" t="s">
        <v>5</v>
      </c>
      <c r="C244" s="51" t="s">
        <v>291</v>
      </c>
      <c r="D244" s="225" t="s">
        <v>474</v>
      </c>
      <c r="E244" s="46" t="s">
        <v>772</v>
      </c>
      <c r="F244" s="46" t="s">
        <v>777</v>
      </c>
      <c r="G244" s="46"/>
      <c r="H244" s="46"/>
      <c r="I244" s="46"/>
      <c r="J244" s="46"/>
      <c r="K244" s="46"/>
      <c r="L244" s="46"/>
      <c r="M244" s="46"/>
      <c r="N244" s="46"/>
      <c r="O244" s="46"/>
      <c r="P244" s="216"/>
      <c r="Q244" s="216">
        <f>-0.1/9.19774</f>
        <v>-1.0872236005801426E-2</v>
      </c>
      <c r="R244" s="46"/>
      <c r="S244" s="46"/>
    </row>
    <row r="245" spans="1:19">
      <c r="A245" s="1" t="s">
        <v>185</v>
      </c>
      <c r="B245" s="13" t="s">
        <v>5</v>
      </c>
      <c r="C245" s="51" t="s">
        <v>291</v>
      </c>
      <c r="D245" s="225" t="s">
        <v>475</v>
      </c>
      <c r="E245" s="46" t="s">
        <v>33</v>
      </c>
      <c r="F245" s="46" t="s">
        <v>781</v>
      </c>
      <c r="G245" s="46"/>
      <c r="H245" s="46"/>
      <c r="I245" s="46"/>
      <c r="J245" s="46"/>
      <c r="K245" s="46"/>
      <c r="L245" s="46"/>
      <c r="M245" s="46"/>
      <c r="N245" s="46"/>
      <c r="O245" s="46"/>
      <c r="P245" s="46"/>
      <c r="Q245" s="46"/>
      <c r="R245" s="46"/>
      <c r="S245" s="46"/>
    </row>
    <row r="246" spans="1:19">
      <c r="A246" s="1" t="s">
        <v>185</v>
      </c>
      <c r="B246" s="13" t="s">
        <v>5</v>
      </c>
      <c r="C246" s="51" t="s">
        <v>291</v>
      </c>
      <c r="D246" s="225" t="s">
        <v>476</v>
      </c>
      <c r="E246" s="46" t="s">
        <v>33</v>
      </c>
      <c r="F246" s="46" t="s">
        <v>782</v>
      </c>
      <c r="G246" s="46"/>
      <c r="H246" s="46"/>
      <c r="I246" s="46"/>
      <c r="J246" s="46"/>
      <c r="K246" s="46"/>
      <c r="L246" s="46"/>
      <c r="M246" s="46"/>
      <c r="N246" s="46"/>
      <c r="O246" s="46"/>
      <c r="P246" s="46"/>
      <c r="Q246" s="46"/>
      <c r="R246" s="132"/>
      <c r="S246" s="46"/>
    </row>
    <row r="247" spans="1:19">
      <c r="A247" s="1" t="s">
        <v>185</v>
      </c>
      <c r="B247" s="13" t="s">
        <v>5</v>
      </c>
      <c r="C247" s="51" t="s">
        <v>291</v>
      </c>
      <c r="D247" s="93" t="s">
        <v>406</v>
      </c>
      <c r="E247" s="94" t="s">
        <v>58</v>
      </c>
      <c r="F247" s="94"/>
      <c r="G247" s="46"/>
      <c r="H247" s="46"/>
      <c r="I247" s="46"/>
      <c r="J247" s="46"/>
      <c r="K247" s="46"/>
      <c r="L247" s="46"/>
      <c r="M247" s="46"/>
      <c r="N247" s="46"/>
      <c r="O247" s="46"/>
      <c r="P247" s="95">
        <v>2.4611012344906674E-2</v>
      </c>
      <c r="Q247" s="46"/>
      <c r="R247" s="46"/>
      <c r="S247" s="46"/>
    </row>
    <row r="248" spans="1:19">
      <c r="A248" s="1" t="s">
        <v>185</v>
      </c>
      <c r="B248" s="13" t="s">
        <v>5</v>
      </c>
      <c r="C248" s="51" t="s">
        <v>291</v>
      </c>
      <c r="D248" s="90" t="s">
        <v>478</v>
      </c>
      <c r="E248" s="91" t="s">
        <v>33</v>
      </c>
      <c r="F248" s="91" t="s">
        <v>781</v>
      </c>
      <c r="G248" s="46"/>
      <c r="H248" s="46"/>
      <c r="I248" s="46"/>
      <c r="J248" s="46"/>
      <c r="K248" s="46"/>
      <c r="L248" s="46"/>
      <c r="M248" s="46"/>
      <c r="N248" s="46"/>
      <c r="O248" s="46"/>
      <c r="P248" s="46"/>
      <c r="Q248" s="86">
        <v>-6.4237356085973052E-3</v>
      </c>
      <c r="R248" s="46"/>
      <c r="S248" s="46"/>
    </row>
    <row r="249" spans="1:19">
      <c r="A249" s="1" t="s">
        <v>185</v>
      </c>
      <c r="B249" s="13" t="s">
        <v>5</v>
      </c>
      <c r="C249" s="51" t="s">
        <v>750</v>
      </c>
      <c r="D249" s="46" t="s">
        <v>752</v>
      </c>
      <c r="E249" s="47" t="s">
        <v>58</v>
      </c>
      <c r="F249" s="47"/>
      <c r="G249" s="46"/>
      <c r="H249" s="46"/>
      <c r="I249" s="46"/>
      <c r="J249" s="46"/>
      <c r="K249" s="46"/>
      <c r="L249" s="46"/>
      <c r="M249" s="46"/>
      <c r="N249" s="426">
        <v>-1.55E-2</v>
      </c>
      <c r="O249" s="46"/>
      <c r="P249" s="46"/>
      <c r="Q249" s="86"/>
      <c r="R249" s="46"/>
      <c r="S249" s="46"/>
    </row>
    <row r="250" spans="1:19">
      <c r="A250" s="1" t="s">
        <v>185</v>
      </c>
      <c r="B250" s="13" t="s">
        <v>5</v>
      </c>
      <c r="C250" s="51" t="s">
        <v>750</v>
      </c>
      <c r="D250" s="224" t="s">
        <v>477</v>
      </c>
      <c r="E250" s="46" t="s">
        <v>772</v>
      </c>
      <c r="F250" s="46" t="s">
        <v>780</v>
      </c>
      <c r="G250" s="46"/>
      <c r="H250" s="46"/>
      <c r="I250" s="46"/>
      <c r="J250" s="46"/>
      <c r="K250" s="46"/>
      <c r="L250" s="46"/>
      <c r="M250" s="46"/>
      <c r="N250" s="46"/>
      <c r="O250" s="46"/>
      <c r="P250" s="46"/>
      <c r="Q250" s="46"/>
      <c r="R250" s="46"/>
      <c r="S250" s="426">
        <v>-3.9183538564908298E-2</v>
      </c>
    </row>
    <row r="251" spans="1:19">
      <c r="A251" s="1" t="s">
        <v>185</v>
      </c>
      <c r="B251" s="13" t="s">
        <v>5</v>
      </c>
      <c r="C251" s="51" t="s">
        <v>750</v>
      </c>
      <c r="D251" s="224" t="s">
        <v>756</v>
      </c>
      <c r="E251" s="47" t="s">
        <v>33</v>
      </c>
      <c r="F251" s="47" t="s">
        <v>782</v>
      </c>
      <c r="G251" s="46"/>
      <c r="H251" s="46"/>
      <c r="I251" s="46"/>
      <c r="J251" s="46"/>
      <c r="K251" s="46"/>
      <c r="L251" s="46"/>
      <c r="M251" s="46"/>
      <c r="N251" s="46"/>
      <c r="O251" s="46"/>
      <c r="P251" s="46"/>
      <c r="Q251" s="86"/>
      <c r="R251" s="46"/>
      <c r="S251" s="426">
        <v>-0.08</v>
      </c>
    </row>
    <row r="252" spans="1:19">
      <c r="A252" s="1" t="s">
        <v>185</v>
      </c>
      <c r="B252" s="13" t="s">
        <v>5</v>
      </c>
      <c r="C252" s="51" t="s">
        <v>750</v>
      </c>
      <c r="D252" s="224" t="s">
        <v>757</v>
      </c>
      <c r="E252" s="47" t="s">
        <v>33</v>
      </c>
      <c r="F252" s="47" t="s">
        <v>782</v>
      </c>
      <c r="G252" s="46"/>
      <c r="H252" s="46"/>
      <c r="I252" s="46"/>
      <c r="J252" s="46"/>
      <c r="K252" s="46"/>
      <c r="L252" s="46"/>
      <c r="M252" s="46"/>
      <c r="N252" s="46"/>
      <c r="O252" s="46"/>
      <c r="P252" s="46"/>
      <c r="Q252" s="86"/>
      <c r="R252" s="46"/>
      <c r="S252" s="426">
        <v>-1.4999999999999999E-2</v>
      </c>
    </row>
    <row r="253" spans="1:19">
      <c r="A253" s="1" t="s">
        <v>185</v>
      </c>
      <c r="B253" s="13" t="s">
        <v>5</v>
      </c>
      <c r="C253" s="51" t="s">
        <v>750</v>
      </c>
      <c r="D253" s="46"/>
      <c r="E253" s="47"/>
      <c r="F253" s="47"/>
      <c r="G253" s="46"/>
      <c r="H253" s="46"/>
      <c r="I253" s="46"/>
      <c r="J253" s="46"/>
      <c r="K253" s="46"/>
      <c r="L253" s="46"/>
      <c r="M253" s="46"/>
      <c r="N253" s="46"/>
      <c r="O253" s="46"/>
      <c r="P253" s="46"/>
      <c r="Q253" s="86"/>
      <c r="R253" s="46"/>
      <c r="S253" s="46"/>
    </row>
    <row r="254" spans="1:19">
      <c r="A254" s="1" t="s">
        <v>185</v>
      </c>
      <c r="B254" s="13" t="s">
        <v>5</v>
      </c>
      <c r="C254" s="51" t="s">
        <v>291</v>
      </c>
      <c r="D254" s="46" t="s">
        <v>749</v>
      </c>
      <c r="E254" s="47" t="s">
        <v>58</v>
      </c>
      <c r="F254" s="47"/>
      <c r="G254" s="46"/>
      <c r="H254" s="46"/>
      <c r="I254" s="46"/>
      <c r="J254" s="46"/>
      <c r="K254" s="46"/>
      <c r="L254" s="46"/>
      <c r="M254" s="46"/>
      <c r="N254" s="46"/>
      <c r="O254" s="46"/>
      <c r="P254" s="46">
        <v>-2E-3</v>
      </c>
      <c r="Q254" s="46"/>
      <c r="R254" s="46"/>
      <c r="S254" s="46"/>
    </row>
    <row r="255" spans="1:19">
      <c r="A255" s="1"/>
      <c r="B255" s="14"/>
      <c r="C255" s="214"/>
      <c r="E255"/>
      <c r="F255"/>
      <c r="M255" s="402"/>
    </row>
    <row r="256" spans="1:19">
      <c r="A256" s="200" t="s">
        <v>187</v>
      </c>
      <c r="B256" s="200" t="s">
        <v>251</v>
      </c>
      <c r="C256" s="200"/>
      <c r="D256" s="200"/>
      <c r="E256" s="200"/>
      <c r="F256" s="200"/>
      <c r="G256" s="201">
        <f>RCS!D145</f>
        <v>4.5603940138979091</v>
      </c>
      <c r="H256" s="201">
        <f>RCS!E145</f>
        <v>4.5603940138979091</v>
      </c>
      <c r="I256" s="201">
        <f>RCS!F145</f>
        <v>4.5603940138979091</v>
      </c>
      <c r="J256" s="201">
        <f>RCS!G145</f>
        <v>4.5603940138979091</v>
      </c>
      <c r="K256" s="201">
        <f>RCS!H145</f>
        <v>4.5552503023992212</v>
      </c>
      <c r="L256" s="201">
        <f>RCS!I145</f>
        <v>4.5008911609144651</v>
      </c>
      <c r="M256" s="201">
        <f>RCS!J145</f>
        <v>4.3823145018003782</v>
      </c>
      <c r="N256" s="201">
        <f>RCS!K145</f>
        <v>4.2293986529777969</v>
      </c>
      <c r="O256" s="201">
        <f>RCS!L145</f>
        <v>4.2293986529777969</v>
      </c>
      <c r="P256" s="201">
        <f>RCS!M145</f>
        <v>4.2411374293169022</v>
      </c>
      <c r="Q256" s="201">
        <f>RCS!N145</f>
        <v>4.2347136937083052</v>
      </c>
      <c r="R256" s="201">
        <f>RCS!O145</f>
        <v>4.2347136937083052</v>
      </c>
    </row>
    <row r="257" spans="1:18">
      <c r="A257" s="1" t="s">
        <v>187</v>
      </c>
      <c r="B257" s="13" t="s">
        <v>5</v>
      </c>
      <c r="C257" s="92" t="s">
        <v>22</v>
      </c>
      <c r="D257" s="93" t="s">
        <v>406</v>
      </c>
      <c r="E257" s="94" t="s">
        <v>58</v>
      </c>
      <c r="F257" s="94"/>
      <c r="G257" s="86"/>
      <c r="H257" s="86"/>
      <c r="I257" s="86"/>
      <c r="J257" s="86"/>
      <c r="K257" s="86"/>
      <c r="L257" s="86"/>
      <c r="M257" s="86"/>
      <c r="N257" s="86"/>
      <c r="O257" s="86"/>
      <c r="P257" s="95">
        <v>2.4611012344906674E-2</v>
      </c>
      <c r="Q257" s="86"/>
      <c r="R257" s="43"/>
    </row>
    <row r="258" spans="1:18">
      <c r="A258" s="1" t="s">
        <v>187</v>
      </c>
      <c r="B258" s="13" t="s">
        <v>5</v>
      </c>
      <c r="C258" s="89" t="s">
        <v>479</v>
      </c>
      <c r="D258" s="90" t="s">
        <v>480</v>
      </c>
      <c r="E258" s="91" t="s">
        <v>33</v>
      </c>
      <c r="F258" s="91" t="s">
        <v>779</v>
      </c>
      <c r="G258" s="86"/>
      <c r="H258" s="86"/>
      <c r="I258" s="86"/>
      <c r="J258" s="86"/>
      <c r="K258" s="86">
        <v>-2.5463918310367549E-3</v>
      </c>
      <c r="L258" s="86"/>
      <c r="M258" s="86"/>
      <c r="N258" s="86"/>
      <c r="O258" s="86"/>
      <c r="P258" s="86"/>
      <c r="Q258" s="86"/>
      <c r="R258" s="43"/>
    </row>
    <row r="259" spans="1:18">
      <c r="A259" s="1" t="s">
        <v>187</v>
      </c>
      <c r="B259" s="13" t="s">
        <v>5</v>
      </c>
      <c r="C259" s="89" t="s">
        <v>481</v>
      </c>
      <c r="D259" s="90" t="s">
        <v>482</v>
      </c>
      <c r="E259" s="320" t="s">
        <v>58</v>
      </c>
      <c r="F259" s="320"/>
      <c r="G259" s="86"/>
      <c r="H259" s="86"/>
      <c r="I259" s="86"/>
      <c r="J259" s="86"/>
      <c r="K259" s="86">
        <v>-5.0927836620710591E-5</v>
      </c>
      <c r="L259" s="86"/>
      <c r="M259" s="86"/>
      <c r="N259" s="86"/>
      <c r="O259" s="86"/>
      <c r="P259" s="86"/>
      <c r="Q259" s="86"/>
      <c r="R259" s="43"/>
    </row>
    <row r="260" spans="1:18">
      <c r="A260" s="1" t="s">
        <v>187</v>
      </c>
      <c r="B260" s="13" t="s">
        <v>5</v>
      </c>
      <c r="C260" s="89" t="s">
        <v>274</v>
      </c>
      <c r="D260" s="90" t="s">
        <v>274</v>
      </c>
      <c r="E260" s="91" t="s">
        <v>772</v>
      </c>
      <c r="F260" s="91"/>
      <c r="G260" s="86"/>
      <c r="H260" s="86"/>
      <c r="I260" s="86"/>
      <c r="J260" s="86"/>
      <c r="K260" s="86">
        <v>-6.7064528895141473E-2</v>
      </c>
      <c r="L260" s="86"/>
      <c r="M260" s="86"/>
      <c r="N260" s="86"/>
      <c r="O260" s="86"/>
      <c r="P260" s="86"/>
      <c r="Q260" s="86"/>
      <c r="R260" s="43"/>
    </row>
    <row r="261" spans="1:18">
      <c r="A261" s="1" t="s">
        <v>187</v>
      </c>
      <c r="B261" s="13" t="s">
        <v>5</v>
      </c>
      <c r="C261" s="89" t="s">
        <v>274</v>
      </c>
      <c r="D261" s="90" t="s">
        <v>274</v>
      </c>
      <c r="E261" s="91" t="s">
        <v>33</v>
      </c>
      <c r="F261" s="91"/>
      <c r="G261" s="86"/>
      <c r="H261" s="86"/>
      <c r="I261" s="86"/>
      <c r="J261" s="86"/>
      <c r="K261" s="86">
        <v>6.7064528895141473E-2</v>
      </c>
      <c r="L261" s="86"/>
      <c r="M261" s="86"/>
      <c r="N261" s="86"/>
      <c r="O261" s="86"/>
      <c r="P261" s="86"/>
      <c r="Q261" s="86"/>
      <c r="R261" s="43"/>
    </row>
    <row r="262" spans="1:18">
      <c r="A262" s="1" t="s">
        <v>187</v>
      </c>
      <c r="B262" s="13" t="s">
        <v>5</v>
      </c>
      <c r="C262" s="89" t="s">
        <v>483</v>
      </c>
      <c r="D262" s="90" t="s">
        <v>480</v>
      </c>
      <c r="E262" s="91" t="s">
        <v>33</v>
      </c>
      <c r="F262" s="91" t="s">
        <v>783</v>
      </c>
      <c r="G262" s="86"/>
      <c r="H262" s="86"/>
      <c r="I262" s="86"/>
      <c r="J262" s="86"/>
      <c r="K262" s="86">
        <v>-2.5463918310304479E-3</v>
      </c>
      <c r="L262" s="86"/>
      <c r="M262" s="86"/>
      <c r="N262" s="86"/>
      <c r="O262" s="86"/>
      <c r="P262" s="86"/>
      <c r="Q262" s="86"/>
      <c r="R262" s="43"/>
    </row>
    <row r="263" spans="1:18">
      <c r="A263" s="1" t="s">
        <v>187</v>
      </c>
      <c r="B263" s="13" t="s">
        <v>5</v>
      </c>
      <c r="C263" s="89" t="s">
        <v>484</v>
      </c>
      <c r="D263" s="90" t="s">
        <v>478</v>
      </c>
      <c r="E263" s="91" t="s">
        <v>33</v>
      </c>
      <c r="F263" s="91" t="s">
        <v>781</v>
      </c>
      <c r="G263" s="86"/>
      <c r="H263" s="86"/>
      <c r="I263" s="86"/>
      <c r="J263" s="86"/>
      <c r="K263" s="86"/>
      <c r="L263" s="86"/>
      <c r="M263" s="86"/>
      <c r="N263" s="86"/>
      <c r="O263" s="86"/>
      <c r="P263" s="86"/>
      <c r="Q263" s="86">
        <v>-6.4237356085973052E-3</v>
      </c>
      <c r="R263" s="43"/>
    </row>
    <row r="264" spans="1:18">
      <c r="A264" s="1" t="s">
        <v>187</v>
      </c>
      <c r="B264" s="13" t="s">
        <v>5</v>
      </c>
      <c r="C264" s="89" t="s">
        <v>479</v>
      </c>
      <c r="D264" s="90" t="s">
        <v>485</v>
      </c>
      <c r="E264" s="91" t="s">
        <v>33</v>
      </c>
      <c r="F264" s="91" t="s">
        <v>782</v>
      </c>
      <c r="G264" s="86"/>
      <c r="H264" s="86"/>
      <c r="I264" s="86"/>
      <c r="J264" s="86"/>
      <c r="K264" s="86"/>
      <c r="L264" s="86">
        <v>-4.7362178100272552E-2</v>
      </c>
      <c r="M264" s="86"/>
      <c r="N264" s="86"/>
      <c r="O264" s="86"/>
      <c r="P264" s="86"/>
      <c r="Q264" s="86"/>
      <c r="R264" s="43"/>
    </row>
    <row r="265" spans="1:18">
      <c r="A265" s="1" t="s">
        <v>187</v>
      </c>
      <c r="B265" s="13" t="s">
        <v>5</v>
      </c>
      <c r="C265" s="89" t="s">
        <v>62</v>
      </c>
      <c r="D265" s="90" t="s">
        <v>253</v>
      </c>
      <c r="E265" s="320" t="s">
        <v>58</v>
      </c>
      <c r="F265" s="320"/>
      <c r="G265" s="86"/>
      <c r="H265" s="86"/>
      <c r="I265" s="86"/>
      <c r="J265" s="86"/>
      <c r="K265" s="86"/>
      <c r="L265" s="86">
        <v>-4.7362178100274937E-4</v>
      </c>
      <c r="M265" s="86"/>
      <c r="N265" s="86"/>
      <c r="O265" s="86"/>
      <c r="P265" s="86"/>
      <c r="Q265" s="86"/>
      <c r="R265" s="43"/>
    </row>
    <row r="266" spans="1:18">
      <c r="A266" s="1" t="s">
        <v>187</v>
      </c>
      <c r="B266" s="13" t="s">
        <v>5</v>
      </c>
      <c r="C266" s="89"/>
      <c r="D266" s="90" t="s">
        <v>486</v>
      </c>
      <c r="E266" s="320"/>
      <c r="F266" s="320"/>
      <c r="G266" s="86"/>
      <c r="H266" s="86"/>
      <c r="I266" s="86"/>
      <c r="J266" s="86"/>
      <c r="K266" s="86"/>
      <c r="L266" s="86">
        <v>-6.523341603480861E-3</v>
      </c>
      <c r="M266" s="86"/>
      <c r="N266" s="86"/>
      <c r="O266" s="86"/>
      <c r="P266" s="86"/>
      <c r="Q266" s="86"/>
      <c r="R266" s="43"/>
    </row>
    <row r="267" spans="1:18">
      <c r="A267" s="1" t="s">
        <v>187</v>
      </c>
      <c r="B267" s="13" t="s">
        <v>5</v>
      </c>
      <c r="C267" s="51" t="s">
        <v>291</v>
      </c>
      <c r="D267" s="90" t="s">
        <v>487</v>
      </c>
      <c r="E267" s="91" t="s">
        <v>772</v>
      </c>
      <c r="F267" s="91" t="s">
        <v>788</v>
      </c>
      <c r="G267" s="86"/>
      <c r="H267" s="86"/>
      <c r="I267" s="86"/>
      <c r="J267" s="86"/>
      <c r="K267" s="86"/>
      <c r="L267" s="86"/>
      <c r="M267" s="86">
        <v>-2.110684798657069E-4</v>
      </c>
      <c r="N267" s="86"/>
      <c r="O267" s="86"/>
      <c r="P267" s="86"/>
      <c r="Q267" s="86"/>
      <c r="R267" s="43"/>
    </row>
    <row r="268" spans="1:18">
      <c r="A268" s="1" t="s">
        <v>187</v>
      </c>
      <c r="B268" s="13" t="s">
        <v>5</v>
      </c>
      <c r="C268" s="51" t="s">
        <v>291</v>
      </c>
      <c r="D268" s="90" t="s">
        <v>488</v>
      </c>
      <c r="E268" s="91" t="s">
        <v>33</v>
      </c>
      <c r="F268" s="91" t="s">
        <v>781</v>
      </c>
      <c r="G268" s="86"/>
      <c r="H268" s="86"/>
      <c r="I268" s="86"/>
      <c r="J268" s="86"/>
      <c r="K268" s="86"/>
      <c r="L268" s="86"/>
      <c r="M268" s="86">
        <v>4.3488944023205744E-2</v>
      </c>
      <c r="N268" s="86"/>
      <c r="O268" s="86"/>
      <c r="P268" s="86"/>
      <c r="Q268" s="86"/>
      <c r="R268" s="43"/>
    </row>
    <row r="269" spans="1:18">
      <c r="A269" s="1" t="s">
        <v>187</v>
      </c>
      <c r="B269" s="13" t="s">
        <v>5</v>
      </c>
      <c r="C269" s="89" t="s">
        <v>274</v>
      </c>
      <c r="D269" s="90" t="s">
        <v>489</v>
      </c>
      <c r="E269" s="320" t="s">
        <v>389</v>
      </c>
      <c r="F269" s="320" t="s">
        <v>786</v>
      </c>
      <c r="G269" s="86"/>
      <c r="H269" s="86"/>
      <c r="I269" s="86"/>
      <c r="J269" s="86"/>
      <c r="K269" s="86"/>
      <c r="L269" s="86"/>
      <c r="M269" s="106">
        <v>-1.916129397004112E-2</v>
      </c>
      <c r="N269" s="86"/>
      <c r="O269" s="86"/>
      <c r="P269" s="86"/>
      <c r="Q269" s="86"/>
      <c r="R269" s="43"/>
    </row>
    <row r="270" spans="1:18">
      <c r="A270" s="1" t="s">
        <v>187</v>
      </c>
      <c r="B270" s="13" t="s">
        <v>5</v>
      </c>
      <c r="C270" s="51" t="s">
        <v>291</v>
      </c>
      <c r="D270" s="90" t="s">
        <v>490</v>
      </c>
      <c r="E270" s="320" t="s">
        <v>58</v>
      </c>
      <c r="F270" s="320"/>
      <c r="G270" s="86"/>
      <c r="H270" s="86"/>
      <c r="I270" s="86"/>
      <c r="J270" s="86"/>
      <c r="K270" s="86"/>
      <c r="L270" s="86"/>
      <c r="M270" s="86">
        <v>-2.3162211586759154E-2</v>
      </c>
      <c r="N270" s="86"/>
      <c r="O270" s="86"/>
      <c r="P270" s="86"/>
      <c r="Q270" s="86"/>
      <c r="R270" s="43"/>
    </row>
    <row r="271" spans="1:18">
      <c r="A271" s="1" t="s">
        <v>187</v>
      </c>
      <c r="B271" s="13" t="s">
        <v>5</v>
      </c>
      <c r="C271" s="51" t="s">
        <v>291</v>
      </c>
      <c r="D271" s="90" t="s">
        <v>491</v>
      </c>
      <c r="E271" s="320" t="s">
        <v>58</v>
      </c>
      <c r="F271" s="320"/>
      <c r="G271" s="86"/>
      <c r="H271" s="86"/>
      <c r="I271" s="86"/>
      <c r="J271" s="86"/>
      <c r="K271" s="86"/>
      <c r="L271" s="86"/>
      <c r="M271" s="86">
        <v>-9.1326782448731963E-2</v>
      </c>
      <c r="N271" s="86"/>
      <c r="O271" s="86"/>
      <c r="P271" s="86"/>
      <c r="Q271" s="86"/>
      <c r="R271" s="43"/>
    </row>
    <row r="272" spans="1:18">
      <c r="A272" s="1" t="s">
        <v>187</v>
      </c>
      <c r="B272" s="13" t="s">
        <v>5</v>
      </c>
      <c r="C272" s="51" t="s">
        <v>291</v>
      </c>
      <c r="D272" s="90" t="s">
        <v>492</v>
      </c>
      <c r="E272" s="320" t="s">
        <v>58</v>
      </c>
      <c r="F272" s="320"/>
      <c r="G272" s="86"/>
      <c r="H272" s="86"/>
      <c r="I272" s="86"/>
      <c r="J272" s="86"/>
      <c r="K272" s="86"/>
      <c r="L272" s="86"/>
      <c r="M272" s="86">
        <v>-4.7365540621935397E-2</v>
      </c>
      <c r="N272" s="86"/>
      <c r="O272" s="86"/>
      <c r="P272" s="86"/>
      <c r="Q272" s="86"/>
      <c r="R272" s="43"/>
    </row>
    <row r="273" spans="1:21">
      <c r="A273" s="1" t="s">
        <v>187</v>
      </c>
      <c r="B273" s="13" t="s">
        <v>5</v>
      </c>
      <c r="C273" s="89" t="s">
        <v>274</v>
      </c>
      <c r="D273" s="90" t="s">
        <v>493</v>
      </c>
      <c r="E273" s="320" t="s">
        <v>389</v>
      </c>
      <c r="F273" s="320" t="s">
        <v>773</v>
      </c>
      <c r="G273" s="86"/>
      <c r="H273" s="86"/>
      <c r="I273" s="86"/>
      <c r="J273" s="86"/>
      <c r="K273" s="86"/>
      <c r="L273" s="86"/>
      <c r="M273" s="106">
        <v>1.9161293970040471E-2</v>
      </c>
      <c r="N273" s="86"/>
      <c r="O273" s="86"/>
      <c r="P273" s="86"/>
      <c r="Q273" s="86"/>
      <c r="R273" s="43"/>
    </row>
    <row r="274" spans="1:21">
      <c r="A274" s="1" t="s">
        <v>187</v>
      </c>
      <c r="B274" s="13" t="s">
        <v>5</v>
      </c>
      <c r="C274" s="89" t="s">
        <v>470</v>
      </c>
      <c r="D274" s="315" t="s">
        <v>471</v>
      </c>
      <c r="E274" s="91" t="s">
        <v>33</v>
      </c>
      <c r="F274" s="91" t="s">
        <v>781</v>
      </c>
      <c r="G274" s="86"/>
      <c r="H274" s="86"/>
      <c r="I274" s="86"/>
      <c r="J274" s="86"/>
      <c r="K274" s="86"/>
      <c r="L274" s="86"/>
      <c r="M274" s="86"/>
      <c r="N274" s="106">
        <v>-7.2394E-2</v>
      </c>
      <c r="O274" s="86"/>
      <c r="P274" s="86"/>
      <c r="Q274" s="86"/>
      <c r="R274" s="43"/>
    </row>
    <row r="275" spans="1:21">
      <c r="A275" s="1" t="s">
        <v>187</v>
      </c>
      <c r="B275" s="13" t="s">
        <v>5</v>
      </c>
      <c r="C275" s="89" t="s">
        <v>472</v>
      </c>
      <c r="D275" s="315" t="s">
        <v>473</v>
      </c>
      <c r="E275" s="91" t="s">
        <v>33</v>
      </c>
      <c r="F275" s="91" t="s">
        <v>782</v>
      </c>
      <c r="G275" s="86"/>
      <c r="H275" s="86"/>
      <c r="I275" s="86"/>
      <c r="J275" s="86"/>
      <c r="K275" s="86"/>
      <c r="L275" s="86"/>
      <c r="M275" s="86"/>
      <c r="N275" s="106">
        <v>-6.5600000000000006E-2</v>
      </c>
      <c r="O275" s="86"/>
      <c r="P275" s="86"/>
      <c r="Q275" s="86"/>
      <c r="R275" s="43"/>
    </row>
    <row r="276" spans="1:21">
      <c r="A276" s="1" t="s">
        <v>187</v>
      </c>
      <c r="B276" s="13" t="s">
        <v>5</v>
      </c>
      <c r="C276" s="51" t="s">
        <v>291</v>
      </c>
      <c r="D276" s="225" t="s">
        <v>474</v>
      </c>
      <c r="E276" s="46" t="s">
        <v>772</v>
      </c>
      <c r="F276" s="46" t="s">
        <v>777</v>
      </c>
      <c r="G276" s="46"/>
      <c r="H276" s="46"/>
      <c r="I276" s="46"/>
      <c r="J276" s="46"/>
      <c r="K276" s="46"/>
      <c r="L276" s="46"/>
      <c r="M276" s="46"/>
      <c r="N276" s="46"/>
      <c r="O276" s="46"/>
      <c r="P276" s="216">
        <f>-0.1/9.19774</f>
        <v>-1.0872236005801426E-2</v>
      </c>
      <c r="Q276" s="46"/>
      <c r="R276" s="46"/>
      <c r="S276" s="46"/>
    </row>
    <row r="277" spans="1:21">
      <c r="A277" s="1" t="s">
        <v>187</v>
      </c>
      <c r="B277" s="13" t="s">
        <v>5</v>
      </c>
      <c r="C277" s="51" t="s">
        <v>291</v>
      </c>
      <c r="D277" s="46" t="s">
        <v>749</v>
      </c>
      <c r="E277" s="46" t="s">
        <v>58</v>
      </c>
      <c r="F277" s="46"/>
      <c r="G277" s="46"/>
      <c r="H277" s="46"/>
      <c r="I277" s="46"/>
      <c r="J277" s="46"/>
      <c r="K277" s="46"/>
      <c r="L277" s="46"/>
      <c r="M277" s="46"/>
      <c r="N277" s="46"/>
      <c r="O277" s="46"/>
      <c r="P277" s="216">
        <v>-2E-3</v>
      </c>
      <c r="Q277" s="46"/>
      <c r="R277" s="46"/>
      <c r="S277" s="46"/>
    </row>
    <row r="278" spans="1:21">
      <c r="A278" s="1" t="s">
        <v>187</v>
      </c>
      <c r="B278" s="13" t="s">
        <v>5</v>
      </c>
      <c r="C278" s="51" t="s">
        <v>750</v>
      </c>
      <c r="D278" s="46" t="s">
        <v>751</v>
      </c>
      <c r="E278" s="46" t="s">
        <v>58</v>
      </c>
      <c r="F278" s="46"/>
      <c r="G278" s="46"/>
      <c r="H278" s="46"/>
      <c r="I278" s="46"/>
      <c r="J278" s="46"/>
      <c r="K278" s="46"/>
      <c r="L278" s="46"/>
      <c r="M278" s="46"/>
      <c r="N278" s="426">
        <v>-1.0963019176449866E-2</v>
      </c>
      <c r="O278" s="46"/>
      <c r="P278" s="216"/>
      <c r="Q278" s="46"/>
      <c r="R278" s="46"/>
      <c r="S278" s="46"/>
    </row>
    <row r="279" spans="1:21">
      <c r="A279" s="1" t="s">
        <v>187</v>
      </c>
      <c r="B279" s="13" t="s">
        <v>5</v>
      </c>
      <c r="C279" s="51" t="s">
        <v>750</v>
      </c>
      <c r="D279" s="224" t="s">
        <v>477</v>
      </c>
      <c r="E279" s="46" t="s">
        <v>772</v>
      </c>
      <c r="F279" s="46" t="s">
        <v>780</v>
      </c>
      <c r="G279" s="46"/>
      <c r="H279" s="46"/>
      <c r="I279" s="46"/>
      <c r="J279" s="46"/>
      <c r="K279" s="46"/>
      <c r="L279" s="46"/>
      <c r="M279" s="46"/>
      <c r="N279" s="426"/>
      <c r="O279" s="46"/>
      <c r="P279" s="216"/>
      <c r="Q279" s="46"/>
      <c r="R279" s="46"/>
      <c r="S279" s="426">
        <v>-3.9183538564908298E-2</v>
      </c>
    </row>
    <row r="280" spans="1:21">
      <c r="A280" s="1" t="s">
        <v>187</v>
      </c>
      <c r="B280" s="13" t="s">
        <v>5</v>
      </c>
      <c r="C280" s="51" t="s">
        <v>750</v>
      </c>
      <c r="D280" s="224" t="s">
        <v>756</v>
      </c>
      <c r="E280" s="47" t="s">
        <v>33</v>
      </c>
      <c r="F280" s="47" t="s">
        <v>782</v>
      </c>
      <c r="G280" s="46"/>
      <c r="H280" s="46"/>
      <c r="I280" s="46"/>
      <c r="J280" s="46"/>
      <c r="K280" s="46"/>
      <c r="L280" s="46"/>
      <c r="M280" s="46"/>
      <c r="N280" s="426"/>
      <c r="O280" s="46"/>
      <c r="P280" s="216"/>
      <c r="Q280" s="46"/>
      <c r="R280" s="46"/>
      <c r="S280" s="426">
        <v>-0.08</v>
      </c>
    </row>
    <row r="281" spans="1:21">
      <c r="A281" s="1" t="s">
        <v>187</v>
      </c>
      <c r="B281" s="13" t="s">
        <v>5</v>
      </c>
      <c r="C281" s="51" t="s">
        <v>750</v>
      </c>
      <c r="D281" s="224" t="s">
        <v>757</v>
      </c>
      <c r="E281" s="47" t="s">
        <v>33</v>
      </c>
      <c r="F281" s="47" t="s">
        <v>782</v>
      </c>
      <c r="G281" s="46"/>
      <c r="H281" s="46"/>
      <c r="I281" s="46"/>
      <c r="J281" s="46"/>
      <c r="K281" s="46"/>
      <c r="L281" s="46"/>
      <c r="M281" s="46"/>
      <c r="N281" s="426"/>
      <c r="O281" s="46"/>
      <c r="P281" s="216"/>
      <c r="Q281" s="46"/>
      <c r="R281" s="46"/>
      <c r="S281" s="426">
        <v>-1.4999999999999999E-2</v>
      </c>
    </row>
    <row r="282" spans="1:21">
      <c r="A282" s="1" t="s">
        <v>187</v>
      </c>
      <c r="B282" s="13" t="s">
        <v>5</v>
      </c>
      <c r="C282" s="51" t="s">
        <v>291</v>
      </c>
      <c r="D282" s="90" t="s">
        <v>494</v>
      </c>
      <c r="E282" s="91" t="s">
        <v>58</v>
      </c>
      <c r="F282" s="91"/>
      <c r="G282" s="86"/>
      <c r="H282" s="86"/>
      <c r="I282" s="86"/>
      <c r="J282" s="86"/>
      <c r="K282" s="86"/>
      <c r="L282" s="86"/>
      <c r="M282" s="86"/>
      <c r="N282" s="86">
        <v>-3.9588296461312567E-3</v>
      </c>
      <c r="O282" s="86"/>
      <c r="P282" s="86"/>
      <c r="Q282" s="86"/>
      <c r="R282" s="43"/>
    </row>
    <row r="283" spans="1:21">
      <c r="A283" s="1"/>
      <c r="B283" s="14"/>
      <c r="C283" s="214"/>
      <c r="E283"/>
      <c r="F283"/>
    </row>
    <row r="284" spans="1:21">
      <c r="A284" s="200" t="s">
        <v>188</v>
      </c>
      <c r="B284" s="200" t="s">
        <v>251</v>
      </c>
      <c r="C284" s="200"/>
      <c r="D284" s="200"/>
      <c r="E284" s="200"/>
      <c r="F284" s="200"/>
      <c r="G284" s="201">
        <f>RCS!D164</f>
        <v>0</v>
      </c>
      <c r="H284" s="201">
        <f>RCS!E164</f>
        <v>20.48</v>
      </c>
      <c r="I284" s="201">
        <f>RCS!F164</f>
        <v>20.48</v>
      </c>
      <c r="J284" s="201">
        <f>RCS!G164</f>
        <v>20.48</v>
      </c>
      <c r="K284" s="201">
        <f>RCS!H164</f>
        <v>20.48</v>
      </c>
      <c r="L284" s="201">
        <f>RCS!I164</f>
        <v>20.48</v>
      </c>
      <c r="M284" s="201">
        <f>RCS!J164</f>
        <v>20.48</v>
      </c>
      <c r="N284" s="201">
        <f>RCS!K164</f>
        <v>19.7189434795939</v>
      </c>
      <c r="O284" s="201">
        <f>RCS!L164</f>
        <v>19.7189434795939</v>
      </c>
      <c r="P284" s="201">
        <f>RCS!M164</f>
        <v>19.702635125585196</v>
      </c>
      <c r="Q284" s="201">
        <f>RCS!N164</f>
        <v>19.702635125585196</v>
      </c>
      <c r="R284" s="201">
        <f>RCS!O164</f>
        <v>19.702635125585196</v>
      </c>
    </row>
    <row r="285" spans="1:21">
      <c r="A285" s="1" t="s">
        <v>188</v>
      </c>
      <c r="B285" s="13" t="s">
        <v>5</v>
      </c>
      <c r="C285" s="51" t="s">
        <v>291</v>
      </c>
      <c r="D285" s="132" t="s">
        <v>495</v>
      </c>
      <c r="E285" s="46" t="s">
        <v>772</v>
      </c>
      <c r="F285" s="46"/>
      <c r="G285" s="46"/>
      <c r="H285" s="46"/>
      <c r="I285" s="46"/>
      <c r="J285" s="46"/>
      <c r="K285" s="46"/>
      <c r="L285" s="46"/>
      <c r="M285" s="46"/>
      <c r="N285" s="46"/>
      <c r="O285" s="46"/>
      <c r="P285" s="46">
        <f>-0.15/U2</f>
        <v>-1.6308354008702137E-2</v>
      </c>
      <c r="Q285" s="46"/>
      <c r="R285" s="46"/>
      <c r="S285" s="46"/>
      <c r="T285" s="46"/>
      <c r="U285" s="46"/>
    </row>
    <row r="286" spans="1:21">
      <c r="A286" s="1" t="s">
        <v>188</v>
      </c>
      <c r="B286" s="13" t="s">
        <v>5</v>
      </c>
      <c r="C286" s="51" t="s">
        <v>291</v>
      </c>
      <c r="D286" s="46" t="s">
        <v>496</v>
      </c>
      <c r="E286" s="91" t="s">
        <v>33</v>
      </c>
      <c r="F286" s="91" t="s">
        <v>781</v>
      </c>
      <c r="G286" s="46"/>
      <c r="H286" s="46"/>
      <c r="I286" s="46"/>
      <c r="J286" s="46"/>
      <c r="K286" s="46"/>
      <c r="L286" s="46"/>
      <c r="M286" s="46"/>
      <c r="N286" s="46"/>
      <c r="O286" s="46"/>
      <c r="P286" s="46"/>
      <c r="Q286" s="46"/>
      <c r="R286" s="46"/>
      <c r="S286" s="46"/>
      <c r="T286" s="46"/>
      <c r="U286" s="46"/>
    </row>
    <row r="287" spans="1:21">
      <c r="A287" s="1" t="s">
        <v>188</v>
      </c>
      <c r="B287" s="13" t="s">
        <v>5</v>
      </c>
      <c r="C287" s="51" t="s">
        <v>291</v>
      </c>
      <c r="D287" s="46" t="s">
        <v>497</v>
      </c>
      <c r="E287" s="91" t="s">
        <v>33</v>
      </c>
      <c r="F287" s="91" t="s">
        <v>782</v>
      </c>
      <c r="G287" s="46"/>
      <c r="H287" s="46"/>
      <c r="I287" s="46"/>
      <c r="J287" s="46"/>
      <c r="K287" s="46"/>
      <c r="L287" s="46"/>
      <c r="M287" s="46"/>
      <c r="N287" s="46"/>
      <c r="O287" s="46"/>
      <c r="P287" s="46"/>
      <c r="Q287" s="46"/>
      <c r="R287" s="46"/>
      <c r="S287" s="46"/>
      <c r="T287" s="46"/>
      <c r="U287" s="46"/>
    </row>
    <row r="288" spans="1:21">
      <c r="A288" s="1" t="s">
        <v>188</v>
      </c>
      <c r="B288" s="13" t="s">
        <v>5</v>
      </c>
      <c r="C288" s="51" t="s">
        <v>750</v>
      </c>
      <c r="D288" s="46" t="s">
        <v>758</v>
      </c>
      <c r="E288" s="91" t="s">
        <v>772</v>
      </c>
      <c r="F288" s="91"/>
      <c r="G288" s="46"/>
      <c r="H288" s="46"/>
      <c r="I288" s="46"/>
      <c r="J288" s="46"/>
      <c r="K288" s="46"/>
      <c r="L288" s="46"/>
      <c r="M288" s="46"/>
      <c r="N288" s="46"/>
      <c r="O288" s="46"/>
      <c r="P288" s="46"/>
      <c r="Q288" s="46"/>
      <c r="R288" s="46"/>
      <c r="S288" s="426">
        <v>-1.0328624205511399E-2</v>
      </c>
      <c r="T288" s="46"/>
      <c r="U288" s="46"/>
    </row>
    <row r="289" spans="1:21">
      <c r="A289" s="1" t="s">
        <v>188</v>
      </c>
      <c r="B289" s="13" t="s">
        <v>5</v>
      </c>
      <c r="C289" s="51" t="s">
        <v>750</v>
      </c>
      <c r="D289" s="46" t="s">
        <v>759</v>
      </c>
      <c r="E289" s="91" t="s">
        <v>33</v>
      </c>
      <c r="F289" s="91" t="s">
        <v>782</v>
      </c>
      <c r="G289" s="46"/>
      <c r="H289" s="46"/>
      <c r="I289" s="46"/>
      <c r="J289" s="46"/>
      <c r="K289" s="46"/>
      <c r="L289" s="46"/>
      <c r="M289" s="46"/>
      <c r="N289" s="46"/>
      <c r="O289" s="46"/>
      <c r="P289" s="46"/>
      <c r="Q289" s="46"/>
      <c r="R289" s="46"/>
      <c r="S289" s="426">
        <v>-0.23400000000000001</v>
      </c>
      <c r="T289" s="46"/>
      <c r="U289" s="46"/>
    </row>
    <row r="290" spans="1:21">
      <c r="A290" s="1" t="s">
        <v>188</v>
      </c>
      <c r="B290" s="13" t="s">
        <v>5</v>
      </c>
      <c r="C290" s="51" t="s">
        <v>750</v>
      </c>
      <c r="D290" s="46" t="s">
        <v>760</v>
      </c>
      <c r="E290" s="91" t="s">
        <v>33</v>
      </c>
      <c r="F290" s="91" t="s">
        <v>787</v>
      </c>
      <c r="G290" s="46"/>
      <c r="H290" s="46"/>
      <c r="I290" s="46"/>
      <c r="J290" s="46"/>
      <c r="K290" s="46"/>
      <c r="L290" s="46"/>
      <c r="M290" s="46"/>
      <c r="N290" s="46"/>
      <c r="O290" s="46"/>
      <c r="P290" s="46"/>
      <c r="Q290" s="46"/>
      <c r="R290" s="46"/>
      <c r="S290" s="426">
        <v>-7.8280099241770304E-2</v>
      </c>
      <c r="T290" s="46"/>
      <c r="U290" s="46"/>
    </row>
    <row r="291" spans="1:21">
      <c r="A291" s="1" t="s">
        <v>188</v>
      </c>
      <c r="B291" s="13" t="s">
        <v>5</v>
      </c>
      <c r="C291" s="51" t="s">
        <v>750</v>
      </c>
      <c r="D291" s="46" t="s">
        <v>761</v>
      </c>
      <c r="E291" s="91" t="s">
        <v>33</v>
      </c>
      <c r="F291" s="91" t="s">
        <v>784</v>
      </c>
      <c r="G291" s="46"/>
      <c r="H291" s="46"/>
      <c r="I291" s="46"/>
      <c r="J291" s="46"/>
      <c r="K291" s="46"/>
      <c r="L291" s="46"/>
      <c r="M291" s="46"/>
      <c r="N291" s="46"/>
      <c r="O291" s="46"/>
      <c r="P291" s="46"/>
      <c r="Q291" s="46"/>
      <c r="R291" s="46"/>
      <c r="S291" s="426">
        <v>-5.4361180029007198E-3</v>
      </c>
      <c r="T291" s="46"/>
      <c r="U291" s="46"/>
    </row>
    <row r="292" spans="1:21">
      <c r="A292" s="1" t="s">
        <v>188</v>
      </c>
      <c r="B292" s="13" t="s">
        <v>5</v>
      </c>
      <c r="C292" s="51" t="s">
        <v>750</v>
      </c>
      <c r="D292" s="46" t="s">
        <v>762</v>
      </c>
      <c r="E292" s="91" t="s">
        <v>58</v>
      </c>
      <c r="F292" s="91"/>
      <c r="G292" s="46"/>
      <c r="H292" s="46"/>
      <c r="I292" s="46"/>
      <c r="J292" s="46"/>
      <c r="K292" s="46"/>
      <c r="L292" s="46"/>
      <c r="M292" s="46"/>
      <c r="N292" s="426">
        <v>-0.76105652040609995</v>
      </c>
      <c r="O292" s="46"/>
      <c r="P292" s="46"/>
      <c r="Q292" s="46"/>
      <c r="R292" s="46"/>
      <c r="S292" s="426"/>
      <c r="T292" s="46"/>
      <c r="U292" s="46"/>
    </row>
    <row r="293" spans="1:21">
      <c r="A293" s="1"/>
      <c r="B293" s="14"/>
      <c r="C293" s="214"/>
      <c r="E293"/>
      <c r="F293"/>
    </row>
    <row r="294" spans="1:21">
      <c r="A294" s="227" t="s">
        <v>223</v>
      </c>
      <c r="B294" s="200"/>
      <c r="C294" s="200"/>
      <c r="D294" s="200"/>
      <c r="E294" s="200"/>
      <c r="F294" s="200"/>
      <c r="G294" s="201">
        <f>RCS!D168</f>
        <v>0</v>
      </c>
      <c r="H294" s="201">
        <f>RCS!E168</f>
        <v>0</v>
      </c>
      <c r="I294" s="201">
        <f>RCS!F168</f>
        <v>0</v>
      </c>
      <c r="J294" s="201">
        <f>RCS!G168</f>
        <v>0</v>
      </c>
      <c r="K294" s="201">
        <f>RCS!H168</f>
        <v>0</v>
      </c>
      <c r="L294" s="201">
        <f>RCS!I168</f>
        <v>0</v>
      </c>
      <c r="M294" s="201">
        <f>RCS!J168</f>
        <v>0</v>
      </c>
      <c r="N294" s="201">
        <f>RCS!K168</f>
        <v>0</v>
      </c>
      <c r="O294" s="201">
        <f>RCS!L168</f>
        <v>0</v>
      </c>
      <c r="P294" s="201">
        <f>RCS!M168</f>
        <v>0</v>
      </c>
      <c r="Q294" s="201">
        <f>RCS!N168</f>
        <v>0</v>
      </c>
      <c r="R294" s="201">
        <f>RCS!O168</f>
        <v>0</v>
      </c>
    </row>
    <row r="295" spans="1:21">
      <c r="A295" s="1" t="s">
        <v>223</v>
      </c>
      <c r="B295" s="13" t="s">
        <v>5</v>
      </c>
      <c r="C295" s="89" t="s">
        <v>498</v>
      </c>
      <c r="D295" s="90" t="s">
        <v>499</v>
      </c>
      <c r="E295" s="91" t="s">
        <v>33</v>
      </c>
      <c r="F295" s="91" t="s">
        <v>781</v>
      </c>
      <c r="G295" s="86"/>
      <c r="H295" s="86"/>
      <c r="I295" s="86"/>
      <c r="J295" s="86"/>
      <c r="K295" s="86"/>
      <c r="L295" s="86"/>
      <c r="M295" s="86"/>
      <c r="N295" s="86">
        <v>-7.2394E-2</v>
      </c>
      <c r="O295" s="86"/>
      <c r="P295" s="86"/>
      <c r="Q295" s="86"/>
      <c r="R295" s="43"/>
      <c r="S295" s="46"/>
      <c r="T295" s="46"/>
      <c r="U295" s="46"/>
    </row>
    <row r="296" spans="1:21">
      <c r="A296" s="1" t="s">
        <v>223</v>
      </c>
      <c r="B296" s="13" t="s">
        <v>5</v>
      </c>
      <c r="C296" s="89" t="s">
        <v>500</v>
      </c>
      <c r="D296" s="90" t="s">
        <v>501</v>
      </c>
      <c r="E296" s="91" t="s">
        <v>33</v>
      </c>
      <c r="F296" s="91" t="s">
        <v>782</v>
      </c>
      <c r="G296" s="86"/>
      <c r="H296" s="86"/>
      <c r="I296" s="86"/>
      <c r="J296" s="86"/>
      <c r="K296" s="86"/>
      <c r="L296" s="86"/>
      <c r="M296" s="86"/>
      <c r="N296" s="86">
        <v>-6.3200000000000006E-2</v>
      </c>
      <c r="O296" s="86"/>
      <c r="P296" s="86"/>
      <c r="Q296" s="86"/>
      <c r="R296" s="43"/>
      <c r="S296" s="46"/>
      <c r="T296" s="46"/>
      <c r="U296" s="46"/>
    </row>
    <row r="297" spans="1:21">
      <c r="A297" s="1" t="s">
        <v>223</v>
      </c>
      <c r="B297" s="13" t="s">
        <v>5</v>
      </c>
      <c r="C297" s="51" t="s">
        <v>291</v>
      </c>
      <c r="D297" s="46" t="s">
        <v>475</v>
      </c>
      <c r="E297" s="46" t="s">
        <v>33</v>
      </c>
      <c r="F297" s="46" t="s">
        <v>781</v>
      </c>
      <c r="G297" s="46"/>
      <c r="H297" s="46"/>
      <c r="I297" s="46"/>
      <c r="J297" s="46"/>
      <c r="K297" s="46"/>
      <c r="L297" s="46"/>
      <c r="M297" s="46"/>
      <c r="N297" s="46"/>
      <c r="O297" s="46"/>
      <c r="P297" s="46"/>
      <c r="Q297" s="46"/>
      <c r="R297" s="46"/>
      <c r="S297" s="46"/>
      <c r="T297" s="46"/>
      <c r="U297" s="46"/>
    </row>
    <row r="298" spans="1:21">
      <c r="A298" s="1" t="s">
        <v>223</v>
      </c>
      <c r="B298" s="13" t="s">
        <v>5</v>
      </c>
      <c r="C298" s="51" t="s">
        <v>291</v>
      </c>
      <c r="D298" s="224" t="s">
        <v>477</v>
      </c>
      <c r="E298" s="46" t="s">
        <v>772</v>
      </c>
      <c r="F298" s="46" t="s">
        <v>780</v>
      </c>
      <c r="G298" s="46"/>
      <c r="H298" s="46"/>
      <c r="I298" s="46"/>
      <c r="J298" s="46"/>
      <c r="K298" s="46"/>
      <c r="L298" s="46"/>
      <c r="M298" s="46"/>
      <c r="N298" s="46"/>
      <c r="O298" s="46"/>
      <c r="P298" s="46"/>
      <c r="Q298" s="46"/>
      <c r="R298" s="46"/>
      <c r="S298" s="46"/>
      <c r="T298" s="46">
        <v>0</v>
      </c>
      <c r="U298" s="46"/>
    </row>
    <row r="299" spans="1:21">
      <c r="A299" s="1" t="s">
        <v>223</v>
      </c>
      <c r="B299" s="13" t="s">
        <v>5</v>
      </c>
      <c r="C299" s="51" t="s">
        <v>750</v>
      </c>
      <c r="D299" s="224" t="s">
        <v>477</v>
      </c>
      <c r="E299" s="46" t="s">
        <v>772</v>
      </c>
      <c r="F299" s="46" t="s">
        <v>780</v>
      </c>
      <c r="S299" s="426">
        <v>-4.3162776943031701E-2</v>
      </c>
    </row>
    <row r="300" spans="1:21">
      <c r="A300" s="1" t="s">
        <v>223</v>
      </c>
      <c r="B300" s="13" t="s">
        <v>5</v>
      </c>
      <c r="C300" s="51" t="s">
        <v>750</v>
      </c>
      <c r="D300" s="224" t="s">
        <v>756</v>
      </c>
      <c r="E300" s="47" t="s">
        <v>33</v>
      </c>
      <c r="F300" s="47" t="s">
        <v>782</v>
      </c>
      <c r="S300" s="426">
        <v>-0.08</v>
      </c>
    </row>
    <row r="301" spans="1:21">
      <c r="A301" s="1" t="s">
        <v>223</v>
      </c>
      <c r="B301" s="13" t="s">
        <v>5</v>
      </c>
      <c r="C301" s="51" t="s">
        <v>750</v>
      </c>
      <c r="D301" s="224" t="s">
        <v>757</v>
      </c>
      <c r="E301" s="47" t="s">
        <v>33</v>
      </c>
      <c r="F301" s="47" t="s">
        <v>782</v>
      </c>
      <c r="S301" s="426">
        <v>-1.4999999999999999E-2</v>
      </c>
    </row>
    <row r="302" spans="1:21">
      <c r="A302" s="1"/>
      <c r="B302" s="14"/>
      <c r="C302" s="214"/>
      <c r="E302"/>
      <c r="F302"/>
    </row>
    <row r="303" spans="1:21">
      <c r="A303" s="1" t="s">
        <v>502</v>
      </c>
      <c r="B303" s="13" t="s">
        <v>503</v>
      </c>
      <c r="C303" s="131" t="s">
        <v>291</v>
      </c>
      <c r="D303" s="132" t="s">
        <v>504</v>
      </c>
      <c r="E303" s="132" t="s">
        <v>772</v>
      </c>
      <c r="F303" s="132" t="s">
        <v>779</v>
      </c>
      <c r="G303" s="132"/>
      <c r="H303" s="132"/>
      <c r="I303" s="132"/>
      <c r="J303" s="132"/>
      <c r="K303" s="132"/>
      <c r="L303" s="132"/>
      <c r="M303" s="132"/>
      <c r="N303" s="132"/>
      <c r="O303" s="132"/>
      <c r="P303" s="132"/>
      <c r="Q303" s="132"/>
      <c r="R303" s="132"/>
      <c r="S303" s="106"/>
      <c r="T303" s="106">
        <v>-4.3488944023205699E-3</v>
      </c>
    </row>
    <row r="304" spans="1:21">
      <c r="A304" s="1" t="s">
        <v>502</v>
      </c>
      <c r="B304" s="13" t="s">
        <v>503</v>
      </c>
      <c r="C304" s="131" t="s">
        <v>291</v>
      </c>
      <c r="D304" s="132" t="s">
        <v>505</v>
      </c>
      <c r="E304" s="132" t="s">
        <v>772</v>
      </c>
      <c r="F304" s="132" t="s">
        <v>777</v>
      </c>
      <c r="G304" s="132"/>
      <c r="H304" s="132"/>
      <c r="I304" s="132"/>
      <c r="J304" s="132"/>
      <c r="K304" s="132"/>
      <c r="L304" s="132"/>
      <c r="M304" s="132"/>
      <c r="N304" s="132"/>
      <c r="O304" s="132"/>
      <c r="P304" s="132"/>
      <c r="Q304" s="132"/>
      <c r="R304" s="106"/>
      <c r="S304" s="132"/>
      <c r="T304" s="106">
        <v>0</v>
      </c>
    </row>
    <row r="305" spans="1:22" s="111" customFormat="1">
      <c r="A305" s="108"/>
      <c r="B305" s="109"/>
      <c r="C305" s="110"/>
    </row>
    <row r="306" spans="1:22">
      <c r="A306" s="1" t="s">
        <v>506</v>
      </c>
      <c r="B306" s="13" t="s">
        <v>503</v>
      </c>
      <c r="C306" s="51" t="s">
        <v>291</v>
      </c>
      <c r="D306" s="46" t="s">
        <v>507</v>
      </c>
      <c r="E306" s="46" t="s">
        <v>772</v>
      </c>
      <c r="F306" s="46" t="s">
        <v>779</v>
      </c>
      <c r="G306" s="46"/>
      <c r="H306" s="46"/>
      <c r="I306" s="46"/>
      <c r="J306" s="46"/>
      <c r="K306" s="46"/>
      <c r="L306" s="46"/>
      <c r="M306" s="46"/>
      <c r="N306" s="46"/>
      <c r="O306" s="46"/>
      <c r="P306" s="46"/>
      <c r="Q306" s="46"/>
      <c r="R306" s="46"/>
      <c r="S306" s="46"/>
      <c r="T306" s="203"/>
      <c r="U306" s="203">
        <v>-1.6400000000000001E-2</v>
      </c>
    </row>
    <row r="307" spans="1:22" s="111" customFormat="1">
      <c r="A307" s="108"/>
      <c r="B307" s="109"/>
      <c r="C307" s="110"/>
      <c r="R307" s="204"/>
    </row>
    <row r="308" spans="1:22">
      <c r="A308" s="1" t="s">
        <v>508</v>
      </c>
      <c r="B308" s="13" t="s">
        <v>503</v>
      </c>
      <c r="C308" s="131" t="s">
        <v>291</v>
      </c>
      <c r="D308" s="132" t="s">
        <v>509</v>
      </c>
      <c r="E308" s="132" t="s">
        <v>772</v>
      </c>
      <c r="F308" s="132" t="s">
        <v>777</v>
      </c>
      <c r="G308" s="132"/>
      <c r="H308" s="132"/>
      <c r="I308" s="132"/>
      <c r="J308" s="132"/>
      <c r="K308" s="132"/>
      <c r="L308" s="132"/>
      <c r="M308" s="132"/>
      <c r="N308" s="132"/>
      <c r="O308" s="132"/>
      <c r="P308" s="132"/>
      <c r="Q308" s="132"/>
      <c r="R308" s="132"/>
      <c r="S308" s="132"/>
      <c r="T308" s="106">
        <v>0</v>
      </c>
    </row>
    <row r="309" spans="1:22">
      <c r="A309" s="1"/>
      <c r="B309" s="13" t="s">
        <v>503</v>
      </c>
      <c r="C309" s="131" t="s">
        <v>291</v>
      </c>
      <c r="D309" s="132" t="s">
        <v>504</v>
      </c>
      <c r="E309" s="132" t="s">
        <v>772</v>
      </c>
      <c r="F309" s="132" t="s">
        <v>779</v>
      </c>
      <c r="G309" s="132"/>
      <c r="H309" s="132"/>
      <c r="I309" s="132"/>
      <c r="J309" s="132"/>
      <c r="K309" s="132"/>
      <c r="L309" s="132"/>
      <c r="M309" s="132"/>
      <c r="N309" s="132"/>
      <c r="O309" s="132"/>
      <c r="P309" s="132"/>
      <c r="Q309" s="132"/>
      <c r="R309" s="132"/>
      <c r="S309" s="132"/>
      <c r="T309" s="106">
        <v>-5.0000000000000001E-3</v>
      </c>
    </row>
    <row r="318" spans="1:22">
      <c r="A318" s="139" t="s">
        <v>510</v>
      </c>
      <c r="B318" s="12" t="s">
        <v>4</v>
      </c>
      <c r="C318" s="22" t="s">
        <v>364</v>
      </c>
      <c r="D318" s="21" t="s">
        <v>365</v>
      </c>
      <c r="E318" s="23" t="s">
        <v>772</v>
      </c>
      <c r="F318" s="23" t="s">
        <v>777</v>
      </c>
      <c r="G318" s="117">
        <v>-6.2297912313242165E-2</v>
      </c>
      <c r="H318" s="117">
        <v>0</v>
      </c>
      <c r="I318" s="117">
        <v>0</v>
      </c>
      <c r="J318" s="117">
        <v>0</v>
      </c>
      <c r="K318" s="117">
        <v>0</v>
      </c>
      <c r="L318" s="117">
        <v>0</v>
      </c>
      <c r="M318" s="117">
        <v>0</v>
      </c>
      <c r="N318" s="117">
        <v>0</v>
      </c>
      <c r="O318" s="117">
        <v>0</v>
      </c>
      <c r="P318" s="117">
        <v>0</v>
      </c>
      <c r="Q318" s="117">
        <v>0</v>
      </c>
      <c r="R318" s="118">
        <v>0</v>
      </c>
    </row>
    <row r="319" spans="1:22">
      <c r="A319" s="139" t="s">
        <v>510</v>
      </c>
      <c r="B319" s="12" t="s">
        <v>4</v>
      </c>
      <c r="C319" s="22" t="s">
        <v>366</v>
      </c>
      <c r="D319" s="21" t="s">
        <v>367</v>
      </c>
      <c r="E319" s="23" t="s">
        <v>772</v>
      </c>
      <c r="F319" s="23" t="s">
        <v>777</v>
      </c>
      <c r="G319" s="117">
        <v>0</v>
      </c>
      <c r="H319" s="117">
        <v>0</v>
      </c>
      <c r="I319" s="117">
        <v>0</v>
      </c>
      <c r="J319" s="117">
        <v>-9.3936119090124323E-2</v>
      </c>
      <c r="K319" s="117">
        <v>0</v>
      </c>
      <c r="L319" s="117">
        <v>0</v>
      </c>
      <c r="M319" s="117">
        <v>0</v>
      </c>
      <c r="N319" s="117">
        <v>0</v>
      </c>
      <c r="O319" s="117">
        <v>0</v>
      </c>
      <c r="P319" s="117">
        <v>0</v>
      </c>
      <c r="Q319" s="117">
        <v>0</v>
      </c>
      <c r="R319" s="118">
        <v>0</v>
      </c>
      <c r="U319" t="s">
        <v>388</v>
      </c>
      <c r="V319" s="141">
        <f>SUM(G318:Q327)</f>
        <v>-0.42260069787401366</v>
      </c>
    </row>
    <row r="320" spans="1:22">
      <c r="A320" s="139" t="s">
        <v>510</v>
      </c>
      <c r="B320" s="12" t="s">
        <v>4</v>
      </c>
      <c r="C320" s="22" t="s">
        <v>368</v>
      </c>
      <c r="D320" s="21" t="s">
        <v>369</v>
      </c>
      <c r="E320" s="23" t="s">
        <v>33</v>
      </c>
      <c r="F320" s="23" t="s">
        <v>781</v>
      </c>
      <c r="G320" s="117">
        <v>0</v>
      </c>
      <c r="H320" s="117">
        <v>0</v>
      </c>
      <c r="I320" s="117">
        <v>-3.4816746656391201E-2</v>
      </c>
      <c r="J320" s="117">
        <v>0</v>
      </c>
      <c r="K320" s="117">
        <v>0</v>
      </c>
      <c r="L320" s="117">
        <v>0</v>
      </c>
      <c r="M320" s="117">
        <v>0</v>
      </c>
      <c r="N320" s="117">
        <v>0</v>
      </c>
      <c r="O320" s="117">
        <v>0</v>
      </c>
      <c r="P320" s="117">
        <v>0</v>
      </c>
      <c r="Q320" s="117">
        <v>0</v>
      </c>
      <c r="R320" s="118">
        <v>0</v>
      </c>
      <c r="V320" s="88"/>
    </row>
    <row r="321" spans="1:23">
      <c r="A321" s="139" t="s">
        <v>510</v>
      </c>
      <c r="B321" s="12" t="s">
        <v>4</v>
      </c>
      <c r="C321" s="22" t="s">
        <v>370</v>
      </c>
      <c r="D321" s="21" t="s">
        <v>371</v>
      </c>
      <c r="E321" s="23" t="s">
        <v>33</v>
      </c>
      <c r="F321" s="23" t="s">
        <v>782</v>
      </c>
      <c r="G321" s="117">
        <v>0</v>
      </c>
      <c r="H321" s="117">
        <v>0</v>
      </c>
      <c r="I321" s="117">
        <v>0</v>
      </c>
      <c r="J321" s="117">
        <v>0</v>
      </c>
      <c r="K321" s="117">
        <v>-5.6789337323339711E-2</v>
      </c>
      <c r="L321" s="117">
        <v>0</v>
      </c>
      <c r="M321" s="117">
        <v>0</v>
      </c>
      <c r="N321" s="117">
        <v>0</v>
      </c>
      <c r="O321" s="117">
        <v>0</v>
      </c>
      <c r="P321" s="117">
        <v>0</v>
      </c>
      <c r="Q321" s="117">
        <v>0</v>
      </c>
      <c r="R321" s="118">
        <v>0</v>
      </c>
      <c r="V321" s="88"/>
    </row>
    <row r="322" spans="1:23">
      <c r="A322" s="139" t="s">
        <v>510</v>
      </c>
      <c r="B322" s="12" t="s">
        <v>4</v>
      </c>
      <c r="C322" s="22" t="s">
        <v>372</v>
      </c>
      <c r="D322" s="21" t="s">
        <v>373</v>
      </c>
      <c r="E322" s="23" t="s">
        <v>33</v>
      </c>
      <c r="F322" s="23" t="s">
        <v>781</v>
      </c>
      <c r="G322" s="117">
        <v>0</v>
      </c>
      <c r="H322" s="117">
        <v>0</v>
      </c>
      <c r="I322" s="117">
        <v>0</v>
      </c>
      <c r="J322" s="117">
        <v>0</v>
      </c>
      <c r="K322" s="117">
        <v>-1.663452108887617E-2</v>
      </c>
      <c r="L322" s="117">
        <v>0</v>
      </c>
      <c r="M322" s="117">
        <v>0</v>
      </c>
      <c r="N322" s="117">
        <v>0</v>
      </c>
      <c r="O322" s="117">
        <v>0</v>
      </c>
      <c r="P322" s="117">
        <v>0</v>
      </c>
      <c r="Q322" s="117">
        <v>0</v>
      </c>
      <c r="R322" s="118">
        <v>0</v>
      </c>
      <c r="V322" s="88"/>
    </row>
    <row r="323" spans="1:23">
      <c r="A323" s="139" t="s">
        <v>510</v>
      </c>
      <c r="B323" s="12" t="s">
        <v>4</v>
      </c>
      <c r="C323" s="22" t="s">
        <v>374</v>
      </c>
      <c r="D323" s="21" t="s">
        <v>375</v>
      </c>
      <c r="E323" s="23" t="s">
        <v>33</v>
      </c>
      <c r="F323" s="23" t="s">
        <v>784</v>
      </c>
      <c r="G323" s="117">
        <v>0</v>
      </c>
      <c r="H323" s="117">
        <v>0</v>
      </c>
      <c r="I323" s="117">
        <v>0</v>
      </c>
      <c r="J323" s="117">
        <v>0</v>
      </c>
      <c r="K323" s="117">
        <v>0</v>
      </c>
      <c r="L323" s="117">
        <v>0</v>
      </c>
      <c r="M323" s="117">
        <v>0</v>
      </c>
      <c r="N323" s="117">
        <v>-1.1494127905333267E-2</v>
      </c>
      <c r="O323" s="117">
        <v>0</v>
      </c>
      <c r="P323" s="117">
        <v>0</v>
      </c>
      <c r="Q323" s="117">
        <v>0</v>
      </c>
      <c r="R323" s="118">
        <v>0</v>
      </c>
      <c r="V323" s="88"/>
    </row>
    <row r="324" spans="1:23">
      <c r="A324" s="139" t="s">
        <v>510</v>
      </c>
      <c r="B324" s="12" t="s">
        <v>4</v>
      </c>
      <c r="C324" s="22" t="s">
        <v>376</v>
      </c>
      <c r="D324" s="21" t="s">
        <v>377</v>
      </c>
      <c r="E324" s="23" t="s">
        <v>33</v>
      </c>
      <c r="F324" s="23" t="s">
        <v>784</v>
      </c>
      <c r="G324" s="117">
        <v>0</v>
      </c>
      <c r="H324" s="117">
        <v>0</v>
      </c>
      <c r="I324" s="117">
        <v>0</v>
      </c>
      <c r="J324" s="117">
        <v>0</v>
      </c>
      <c r="K324" s="117">
        <v>0</v>
      </c>
      <c r="L324" s="117">
        <v>0</v>
      </c>
      <c r="M324" s="117">
        <v>0</v>
      </c>
      <c r="N324" s="117">
        <v>0</v>
      </c>
      <c r="O324" s="117">
        <v>0</v>
      </c>
      <c r="P324" s="117">
        <v>0</v>
      </c>
      <c r="Q324" s="117">
        <v>-4.7892199605555283E-3</v>
      </c>
      <c r="R324" s="118">
        <v>0</v>
      </c>
      <c r="V324" s="88"/>
    </row>
    <row r="325" spans="1:23">
      <c r="A325" s="139" t="s">
        <v>510</v>
      </c>
      <c r="B325" s="12" t="s">
        <v>4</v>
      </c>
      <c r="C325" s="22" t="s">
        <v>378</v>
      </c>
      <c r="D325" s="21" t="s">
        <v>379</v>
      </c>
      <c r="E325" s="23" t="s">
        <v>33</v>
      </c>
      <c r="F325" s="23" t="s">
        <v>781</v>
      </c>
      <c r="G325" s="117">
        <v>0</v>
      </c>
      <c r="H325" s="117">
        <v>0</v>
      </c>
      <c r="I325" s="117">
        <v>0</v>
      </c>
      <c r="J325" s="117">
        <v>0</v>
      </c>
      <c r="K325" s="117">
        <v>0</v>
      </c>
      <c r="L325" s="117">
        <v>0</v>
      </c>
      <c r="M325" s="117">
        <v>0</v>
      </c>
      <c r="N325" s="117">
        <v>0</v>
      </c>
      <c r="O325" s="117">
        <v>0</v>
      </c>
      <c r="P325" s="117">
        <v>0</v>
      </c>
      <c r="Q325" s="117">
        <v>-6.7049079447777391E-3</v>
      </c>
      <c r="R325" s="118">
        <v>0</v>
      </c>
      <c r="V325" s="88"/>
    </row>
    <row r="326" spans="1:23">
      <c r="A326" s="139" t="s">
        <v>510</v>
      </c>
      <c r="B326" s="12" t="s">
        <v>4</v>
      </c>
      <c r="C326" s="22" t="s">
        <v>380</v>
      </c>
      <c r="D326" s="21" t="s">
        <v>381</v>
      </c>
      <c r="E326" s="23" t="s">
        <v>58</v>
      </c>
      <c r="F326" s="23"/>
      <c r="G326" s="117">
        <v>0</v>
      </c>
      <c r="H326" s="117">
        <v>0</v>
      </c>
      <c r="I326" s="117">
        <v>0</v>
      </c>
      <c r="J326" s="117">
        <v>0</v>
      </c>
      <c r="K326" s="117">
        <v>0</v>
      </c>
      <c r="L326" s="117">
        <v>-5.849262971121167E-2</v>
      </c>
      <c r="M326" s="117">
        <v>0</v>
      </c>
      <c r="N326" s="117">
        <v>0</v>
      </c>
      <c r="O326" s="117">
        <v>0</v>
      </c>
      <c r="P326" s="117">
        <v>0</v>
      </c>
      <c r="Q326" s="117">
        <v>0</v>
      </c>
      <c r="R326" s="118">
        <v>0</v>
      </c>
      <c r="V326" s="88"/>
    </row>
    <row r="327" spans="1:23">
      <c r="A327" s="139" t="s">
        <v>510</v>
      </c>
      <c r="B327" s="12" t="s">
        <v>4</v>
      </c>
      <c r="C327" s="22" t="s">
        <v>382</v>
      </c>
      <c r="D327" s="21" t="s">
        <v>383</v>
      </c>
      <c r="E327" s="23" t="s">
        <v>33</v>
      </c>
      <c r="F327" s="23" t="s">
        <v>781</v>
      </c>
      <c r="G327" s="117">
        <v>0</v>
      </c>
      <c r="H327" s="117">
        <v>0</v>
      </c>
      <c r="I327" s="117">
        <v>0</v>
      </c>
      <c r="J327" s="117">
        <v>0</v>
      </c>
      <c r="K327" s="117">
        <v>-7.664517588016187E-2</v>
      </c>
      <c r="L327" s="117">
        <v>0</v>
      </c>
      <c r="M327" s="117">
        <v>0</v>
      </c>
      <c r="N327" s="117">
        <v>0</v>
      </c>
      <c r="O327" s="117">
        <v>0</v>
      </c>
      <c r="P327" s="117">
        <v>0</v>
      </c>
      <c r="Q327" s="117">
        <v>0</v>
      </c>
      <c r="R327" s="118">
        <v>0</v>
      </c>
      <c r="V327" s="88"/>
    </row>
    <row r="328" spans="1:23">
      <c r="A328" s="139" t="s">
        <v>510</v>
      </c>
      <c r="B328" s="12" t="s">
        <v>4</v>
      </c>
      <c r="C328" s="28" t="s">
        <v>22</v>
      </c>
      <c r="D328" s="6" t="s">
        <v>384</v>
      </c>
      <c r="E328" s="7" t="s">
        <v>33</v>
      </c>
      <c r="F328" s="7" t="s">
        <v>781</v>
      </c>
      <c r="G328" s="124">
        <v>5.0947732812625726E-2</v>
      </c>
      <c r="H328" s="113">
        <v>0</v>
      </c>
      <c r="I328" s="113">
        <v>0</v>
      </c>
      <c r="J328" s="113">
        <v>0</v>
      </c>
      <c r="K328" s="113">
        <v>0</v>
      </c>
      <c r="L328" s="113">
        <v>0</v>
      </c>
      <c r="M328" s="113">
        <v>0</v>
      </c>
      <c r="N328" s="113">
        <v>0</v>
      </c>
      <c r="O328" s="113">
        <v>0</v>
      </c>
      <c r="P328" s="113">
        <v>0</v>
      </c>
      <c r="Q328" s="113">
        <v>0</v>
      </c>
      <c r="R328" s="114">
        <v>0</v>
      </c>
      <c r="V328" s="88"/>
    </row>
    <row r="329" spans="1:23">
      <c r="A329" s="139" t="s">
        <v>510</v>
      </c>
      <c r="B329" s="12" t="s">
        <v>4</v>
      </c>
      <c r="C329" s="28" t="s">
        <v>22</v>
      </c>
      <c r="D329" s="6" t="s">
        <v>385</v>
      </c>
      <c r="E329" s="7" t="s">
        <v>772</v>
      </c>
      <c r="F329" s="7" t="s">
        <v>777</v>
      </c>
      <c r="G329" s="124">
        <v>4.555308830447166E-3</v>
      </c>
      <c r="H329" s="113">
        <v>0</v>
      </c>
      <c r="I329" s="113">
        <v>0</v>
      </c>
      <c r="J329" s="113">
        <v>0</v>
      </c>
      <c r="K329" s="113">
        <v>0</v>
      </c>
      <c r="L329" s="113">
        <v>0</v>
      </c>
      <c r="M329" s="113">
        <v>0</v>
      </c>
      <c r="N329" s="113">
        <v>0</v>
      </c>
      <c r="O329" s="113">
        <v>0</v>
      </c>
      <c r="P329" s="113">
        <v>0</v>
      </c>
      <c r="Q329" s="113">
        <v>0</v>
      </c>
      <c r="R329" s="114">
        <v>0</v>
      </c>
      <c r="V329" s="88"/>
    </row>
    <row r="330" spans="1:23">
      <c r="A330" s="139" t="s">
        <v>510</v>
      </c>
      <c r="B330" s="12" t="s">
        <v>4</v>
      </c>
      <c r="C330" s="28" t="s">
        <v>22</v>
      </c>
      <c r="D330" s="6" t="s">
        <v>386</v>
      </c>
      <c r="E330" s="7" t="s">
        <v>140</v>
      </c>
      <c r="F330" s="7" t="s">
        <v>778</v>
      </c>
      <c r="G330" s="124">
        <v>9.7908268770371997E-4</v>
      </c>
      <c r="H330" s="113">
        <v>0</v>
      </c>
      <c r="I330" s="113">
        <v>0</v>
      </c>
      <c r="J330" s="113">
        <v>0</v>
      </c>
      <c r="K330" s="113">
        <v>0</v>
      </c>
      <c r="L330" s="113">
        <v>0</v>
      </c>
      <c r="M330" s="113">
        <v>0</v>
      </c>
      <c r="N330" s="113">
        <v>0</v>
      </c>
      <c r="O330" s="113">
        <v>0</v>
      </c>
      <c r="P330" s="113">
        <v>0</v>
      </c>
      <c r="Q330" s="113">
        <v>0</v>
      </c>
      <c r="R330" s="114">
        <v>0</v>
      </c>
      <c r="V330" s="88"/>
    </row>
    <row r="331" spans="1:23">
      <c r="A331" s="139" t="s">
        <v>510</v>
      </c>
      <c r="B331" s="12" t="s">
        <v>4</v>
      </c>
      <c r="C331" s="28" t="s">
        <v>22</v>
      </c>
      <c r="D331" s="6" t="s">
        <v>248</v>
      </c>
      <c r="E331" s="7" t="s">
        <v>58</v>
      </c>
      <c r="F331" s="7"/>
      <c r="G331" s="124">
        <v>2.3148992230006608E-2</v>
      </c>
      <c r="H331" s="113">
        <v>0</v>
      </c>
      <c r="I331" s="113">
        <v>0</v>
      </c>
      <c r="J331" s="113">
        <v>0</v>
      </c>
      <c r="K331" s="113">
        <v>0</v>
      </c>
      <c r="L331" s="113">
        <v>0</v>
      </c>
      <c r="M331" s="113">
        <v>0</v>
      </c>
      <c r="N331" s="113">
        <v>0</v>
      </c>
      <c r="O331" s="113">
        <v>0</v>
      </c>
      <c r="P331" s="113">
        <v>0</v>
      </c>
      <c r="Q331" s="113">
        <v>0</v>
      </c>
      <c r="R331" s="114">
        <v>0</v>
      </c>
      <c r="V331" s="88"/>
    </row>
    <row r="332" spans="1:23">
      <c r="A332" s="139" t="s">
        <v>510</v>
      </c>
      <c r="B332" s="12" t="s">
        <v>4</v>
      </c>
      <c r="C332" s="22" t="s">
        <v>117</v>
      </c>
      <c r="D332" s="21" t="s">
        <v>117</v>
      </c>
      <c r="E332" s="23" t="s">
        <v>33</v>
      </c>
      <c r="F332" s="23" t="s">
        <v>784</v>
      </c>
      <c r="G332" s="140">
        <v>1.9161293970040467E-2</v>
      </c>
      <c r="H332" s="113">
        <v>0</v>
      </c>
      <c r="I332" s="113">
        <v>0</v>
      </c>
      <c r="J332" s="113">
        <v>0</v>
      </c>
      <c r="K332" s="113">
        <v>0</v>
      </c>
      <c r="L332" s="113">
        <v>0</v>
      </c>
      <c r="M332" s="113">
        <v>0</v>
      </c>
      <c r="N332" s="113">
        <v>0</v>
      </c>
      <c r="O332" s="113">
        <v>0</v>
      </c>
      <c r="P332" s="113">
        <v>0</v>
      </c>
      <c r="Q332" s="113">
        <v>0</v>
      </c>
      <c r="R332" s="114">
        <v>0</v>
      </c>
      <c r="V332" s="88"/>
    </row>
    <row r="333" spans="1:23">
      <c r="A333" s="139" t="s">
        <v>510</v>
      </c>
      <c r="B333" s="13" t="s">
        <v>5</v>
      </c>
      <c r="C333" s="89" t="s">
        <v>387</v>
      </c>
      <c r="D333" s="90" t="s">
        <v>365</v>
      </c>
      <c r="E333" s="91" t="s">
        <v>772</v>
      </c>
      <c r="F333" s="91" t="s">
        <v>777</v>
      </c>
      <c r="G333" s="86">
        <v>0</v>
      </c>
      <c r="H333" s="86">
        <v>0</v>
      </c>
      <c r="I333" s="86">
        <v>0</v>
      </c>
      <c r="J333" s="86">
        <v>0</v>
      </c>
      <c r="K333" s="86">
        <v>0</v>
      </c>
      <c r="L333" s="140">
        <v>-5.7483881910121402E-2</v>
      </c>
      <c r="M333" s="86"/>
      <c r="N333" s="86"/>
      <c r="O333" s="86"/>
      <c r="P333" s="86"/>
      <c r="Q333" s="86"/>
      <c r="R333" s="43"/>
      <c r="V333" s="88"/>
    </row>
    <row r="334" spans="1:23">
      <c r="A334" s="139" t="s">
        <v>510</v>
      </c>
      <c r="B334" s="13" t="s">
        <v>5</v>
      </c>
      <c r="C334" s="89" t="s">
        <v>366</v>
      </c>
      <c r="D334" s="90" t="s">
        <v>367</v>
      </c>
      <c r="E334" s="91" t="s">
        <v>772</v>
      </c>
      <c r="F334" s="91" t="s">
        <v>777</v>
      </c>
      <c r="G334" s="86">
        <v>0</v>
      </c>
      <c r="H334" s="86">
        <v>0</v>
      </c>
      <c r="I334" s="86">
        <v>0</v>
      </c>
      <c r="J334" s="86">
        <v>0</v>
      </c>
      <c r="K334" s="86">
        <v>0</v>
      </c>
      <c r="L334" s="140">
        <v>-3.0658070352064748E-2</v>
      </c>
      <c r="M334" s="86"/>
      <c r="N334" s="86"/>
      <c r="O334" s="86"/>
      <c r="P334" s="86"/>
      <c r="Q334" s="86"/>
      <c r="R334" s="43"/>
      <c r="U334" t="s">
        <v>388</v>
      </c>
      <c r="V334" s="141">
        <f>SUM(G333:R344,G350:P354)</f>
        <v>-0.27908480659390872</v>
      </c>
      <c r="W334" s="88">
        <f>V334-U156</f>
        <v>-0.25272302793958784</v>
      </c>
    </row>
    <row r="335" spans="1:23">
      <c r="A335" s="139" t="s">
        <v>510</v>
      </c>
      <c r="B335" s="13" t="s">
        <v>5</v>
      </c>
      <c r="C335" s="89" t="s">
        <v>464</v>
      </c>
      <c r="D335" s="90" t="s">
        <v>465</v>
      </c>
      <c r="E335" s="91" t="s">
        <v>33</v>
      </c>
      <c r="F335" s="91" t="s">
        <v>779</v>
      </c>
      <c r="G335" s="86">
        <v>0</v>
      </c>
      <c r="H335" s="86">
        <v>0</v>
      </c>
      <c r="I335" s="86">
        <v>0</v>
      </c>
      <c r="J335" s="86">
        <v>0</v>
      </c>
      <c r="K335" s="86">
        <v>-2.1744472011602871E-3</v>
      </c>
      <c r="L335" s="86"/>
      <c r="M335" s="86"/>
      <c r="N335" s="86"/>
      <c r="O335" s="86"/>
      <c r="P335" s="86"/>
      <c r="Q335" s="86"/>
      <c r="R335" s="43"/>
      <c r="V335" s="88"/>
    </row>
    <row r="336" spans="1:23">
      <c r="A336" s="139" t="s">
        <v>510</v>
      </c>
      <c r="B336" s="13" t="s">
        <v>5</v>
      </c>
      <c r="C336" s="89" t="s">
        <v>464</v>
      </c>
      <c r="D336" s="90" t="s">
        <v>511</v>
      </c>
      <c r="E336" s="91" t="s">
        <v>33</v>
      </c>
      <c r="F336" s="91" t="s">
        <v>784</v>
      </c>
      <c r="G336" s="86">
        <v>0</v>
      </c>
      <c r="H336" s="86">
        <v>0</v>
      </c>
      <c r="I336" s="86">
        <v>0</v>
      </c>
      <c r="J336" s="86">
        <v>0</v>
      </c>
      <c r="K336" s="86">
        <v>-4.3488944023205743E-3</v>
      </c>
      <c r="L336" s="86"/>
      <c r="M336" s="86"/>
      <c r="N336" s="86"/>
      <c r="O336" s="86"/>
      <c r="P336" s="86"/>
      <c r="Q336" s="86"/>
      <c r="R336" s="43"/>
      <c r="V336" s="88"/>
    </row>
    <row r="337" spans="1:22">
      <c r="A337" s="139" t="s">
        <v>510</v>
      </c>
      <c r="B337" s="13" t="s">
        <v>5</v>
      </c>
      <c r="C337" s="89" t="s">
        <v>370</v>
      </c>
      <c r="D337" s="90" t="s">
        <v>371</v>
      </c>
      <c r="E337" s="91" t="s">
        <v>33</v>
      </c>
      <c r="F337" s="91" t="s">
        <v>782</v>
      </c>
      <c r="G337" s="86">
        <v>0</v>
      </c>
      <c r="H337" s="86">
        <v>0</v>
      </c>
      <c r="I337" s="86">
        <v>0</v>
      </c>
      <c r="J337" s="86">
        <v>0</v>
      </c>
      <c r="K337" s="86">
        <v>0</v>
      </c>
      <c r="L337" s="140">
        <v>-6.4146192434228417E-3</v>
      </c>
      <c r="M337" s="86"/>
      <c r="N337" s="86"/>
      <c r="O337" s="86"/>
      <c r="P337" s="86"/>
      <c r="Q337" s="86"/>
      <c r="R337" s="43"/>
      <c r="V337" s="88">
        <f>V334-V319</f>
        <v>0.14351589128010495</v>
      </c>
    </row>
    <row r="338" spans="1:22">
      <c r="A338" s="139" t="s">
        <v>510</v>
      </c>
      <c r="B338" s="13" t="s">
        <v>5</v>
      </c>
      <c r="C338" s="89" t="s">
        <v>389</v>
      </c>
      <c r="D338" s="90" t="s">
        <v>454</v>
      </c>
      <c r="E338" s="89" t="s">
        <v>389</v>
      </c>
      <c r="F338" s="91" t="s">
        <v>786</v>
      </c>
      <c r="G338" s="86">
        <v>0</v>
      </c>
      <c r="H338" s="140">
        <v>-6.3200307901723693E-2</v>
      </c>
      <c r="I338" s="86">
        <v>0</v>
      </c>
      <c r="J338" s="140">
        <v>-1.6308354008702139E-4</v>
      </c>
      <c r="K338" s="86">
        <v>0</v>
      </c>
      <c r="L338" s="86"/>
      <c r="M338" s="86"/>
      <c r="N338" s="86"/>
      <c r="O338" s="86"/>
      <c r="P338" s="86"/>
      <c r="Q338" s="86"/>
      <c r="R338" s="43"/>
    </row>
    <row r="339" spans="1:22">
      <c r="A339" s="139" t="s">
        <v>510</v>
      </c>
      <c r="B339" s="13" t="s">
        <v>5</v>
      </c>
      <c r="C339" s="89" t="s">
        <v>372</v>
      </c>
      <c r="D339" s="90" t="s">
        <v>373</v>
      </c>
      <c r="E339" s="91" t="s">
        <v>33</v>
      </c>
      <c r="F339" s="91" t="s">
        <v>781</v>
      </c>
      <c r="G339" s="86">
        <v>0</v>
      </c>
      <c r="H339" s="86">
        <v>0</v>
      </c>
      <c r="I339" s="86">
        <v>0</v>
      </c>
      <c r="J339" s="86">
        <v>0</v>
      </c>
      <c r="K339" s="86">
        <v>-1.9069901954175773E-2</v>
      </c>
      <c r="L339" s="86"/>
      <c r="M339" s="86"/>
      <c r="N339" s="86"/>
      <c r="O339" s="86"/>
      <c r="P339" s="86"/>
      <c r="Q339" s="86"/>
      <c r="R339" s="43"/>
    </row>
    <row r="340" spans="1:22">
      <c r="A340" s="139" t="s">
        <v>510</v>
      </c>
      <c r="B340" s="13" t="s">
        <v>5</v>
      </c>
      <c r="C340" s="89" t="s">
        <v>409</v>
      </c>
      <c r="D340" s="90" t="s">
        <v>375</v>
      </c>
      <c r="E340" s="91" t="s">
        <v>33</v>
      </c>
      <c r="F340" s="91" t="s">
        <v>784</v>
      </c>
      <c r="G340" s="86">
        <v>0</v>
      </c>
      <c r="H340" s="86">
        <v>0</v>
      </c>
      <c r="I340" s="86">
        <v>0</v>
      </c>
      <c r="J340" s="86">
        <v>0</v>
      </c>
      <c r="K340" s="86">
        <v>0</v>
      </c>
      <c r="L340" s="86"/>
      <c r="M340" s="86"/>
      <c r="N340" s="140">
        <v>-1.1494127905333267E-2</v>
      </c>
      <c r="O340" s="86"/>
      <c r="P340" s="86"/>
      <c r="Q340" s="86"/>
      <c r="R340" s="43"/>
    </row>
    <row r="341" spans="1:22">
      <c r="A341" s="139" t="s">
        <v>510</v>
      </c>
      <c r="B341" s="13" t="s">
        <v>5</v>
      </c>
      <c r="C341" s="89" t="s">
        <v>407</v>
      </c>
      <c r="D341" s="90" t="s">
        <v>377</v>
      </c>
      <c r="E341" s="91" t="s">
        <v>33</v>
      </c>
      <c r="F341" s="91" t="s">
        <v>784</v>
      </c>
      <c r="G341" s="86">
        <v>0</v>
      </c>
      <c r="H341" s="86">
        <v>0</v>
      </c>
      <c r="I341" s="86">
        <v>0</v>
      </c>
      <c r="J341" s="86">
        <v>0</v>
      </c>
      <c r="K341" s="86">
        <v>0</v>
      </c>
      <c r="L341" s="86"/>
      <c r="M341" s="86"/>
      <c r="N341" s="86"/>
      <c r="O341" s="86"/>
      <c r="P341" s="86"/>
      <c r="Q341" s="140">
        <v>-4.7892198019774427E-3</v>
      </c>
      <c r="R341" s="43"/>
    </row>
    <row r="342" spans="1:22">
      <c r="A342" s="139" t="s">
        <v>510</v>
      </c>
      <c r="B342" s="13" t="s">
        <v>5</v>
      </c>
      <c r="C342" s="89" t="s">
        <v>394</v>
      </c>
      <c r="D342" s="90" t="s">
        <v>379</v>
      </c>
      <c r="E342" s="91" t="s">
        <v>33</v>
      </c>
      <c r="F342" s="91" t="s">
        <v>781</v>
      </c>
      <c r="G342" s="86">
        <v>0</v>
      </c>
      <c r="H342" s="86">
        <v>0</v>
      </c>
      <c r="I342" s="86">
        <v>0</v>
      </c>
      <c r="J342" s="86">
        <v>0</v>
      </c>
      <c r="K342" s="86">
        <v>0</v>
      </c>
      <c r="L342" s="86"/>
      <c r="M342" s="86"/>
      <c r="N342" s="86"/>
      <c r="O342" s="86"/>
      <c r="P342" s="86"/>
      <c r="Q342" s="140">
        <v>-6.7049079447777391E-3</v>
      </c>
      <c r="R342" s="43"/>
    </row>
    <row r="343" spans="1:22">
      <c r="A343" s="139" t="s">
        <v>510</v>
      </c>
      <c r="B343" s="13" t="s">
        <v>5</v>
      </c>
      <c r="C343" s="89" t="s">
        <v>512</v>
      </c>
      <c r="D343" s="90" t="s">
        <v>513</v>
      </c>
      <c r="E343" s="91" t="s">
        <v>772</v>
      </c>
      <c r="F343" s="91" t="s">
        <v>780</v>
      </c>
      <c r="G343" s="86">
        <v>0</v>
      </c>
      <c r="H343" s="86">
        <v>0</v>
      </c>
      <c r="I343" s="86">
        <v>7.1349291692232189E-6</v>
      </c>
      <c r="J343" s="86">
        <v>0</v>
      </c>
      <c r="K343" s="86">
        <v>0</v>
      </c>
      <c r="L343" s="86"/>
      <c r="M343" s="86"/>
      <c r="N343" s="86"/>
      <c r="O343" s="86"/>
      <c r="P343" s="86"/>
      <c r="Q343" s="86"/>
      <c r="R343" s="43"/>
    </row>
    <row r="344" spans="1:22">
      <c r="A344" s="139" t="s">
        <v>510</v>
      </c>
      <c r="B344" s="13" t="s">
        <v>5</v>
      </c>
      <c r="C344" s="89" t="s">
        <v>395</v>
      </c>
      <c r="D344" s="90" t="s">
        <v>396</v>
      </c>
      <c r="E344" s="91" t="s">
        <v>33</v>
      </c>
      <c r="F344" s="91" t="s">
        <v>784</v>
      </c>
      <c r="G344" s="86">
        <v>0</v>
      </c>
      <c r="H344" s="86">
        <v>0</v>
      </c>
      <c r="I344" s="140">
        <v>-2.1744546039537526E-3</v>
      </c>
      <c r="J344" s="86">
        <v>0</v>
      </c>
      <c r="K344" s="86">
        <v>0</v>
      </c>
      <c r="L344" s="86"/>
      <c r="M344" s="86"/>
      <c r="N344" s="86"/>
      <c r="O344" s="86"/>
      <c r="P344" s="86"/>
      <c r="Q344" s="86"/>
      <c r="R344" s="43"/>
    </row>
    <row r="345" spans="1:22">
      <c r="A345" s="139" t="s">
        <v>510</v>
      </c>
      <c r="B345" s="13" t="s">
        <v>5</v>
      </c>
      <c r="C345" s="92" t="s">
        <v>22</v>
      </c>
      <c r="D345" s="93" t="s">
        <v>384</v>
      </c>
      <c r="E345" s="94" t="s">
        <v>33</v>
      </c>
      <c r="F345" s="94" t="s">
        <v>781</v>
      </c>
      <c r="G345" s="86">
        <v>0</v>
      </c>
      <c r="H345" s="86">
        <v>0</v>
      </c>
      <c r="I345" s="86">
        <v>0</v>
      </c>
      <c r="J345" s="86">
        <v>0</v>
      </c>
      <c r="K345" s="86">
        <v>0</v>
      </c>
      <c r="L345" s="95">
        <v>4.9754396188628987E-2</v>
      </c>
      <c r="M345" s="86"/>
      <c r="N345" s="86"/>
      <c r="O345" s="86"/>
      <c r="P345" s="86"/>
      <c r="Q345" s="86"/>
      <c r="R345" s="43"/>
    </row>
    <row r="346" spans="1:22">
      <c r="A346" s="139" t="s">
        <v>510</v>
      </c>
      <c r="B346" s="13" t="s">
        <v>5</v>
      </c>
      <c r="C346" s="92" t="s">
        <v>22</v>
      </c>
      <c r="D346" s="93" t="s">
        <v>385</v>
      </c>
      <c r="E346" s="94" t="s">
        <v>772</v>
      </c>
      <c r="F346" s="94" t="s">
        <v>777</v>
      </c>
      <c r="G346" s="86">
        <v>0</v>
      </c>
      <c r="H346" s="86">
        <v>0</v>
      </c>
      <c r="I346" s="86">
        <v>0</v>
      </c>
      <c r="J346" s="86">
        <v>0</v>
      </c>
      <c r="K346" s="86">
        <v>0</v>
      </c>
      <c r="L346" s="95">
        <v>3.6326138094963712E-3</v>
      </c>
      <c r="M346" s="86"/>
      <c r="N346" s="86"/>
      <c r="O346" s="86"/>
      <c r="P346" s="86"/>
      <c r="Q346" s="86"/>
      <c r="R346" s="43"/>
    </row>
    <row r="347" spans="1:22">
      <c r="A347" s="139" t="s">
        <v>510</v>
      </c>
      <c r="B347" s="13" t="s">
        <v>5</v>
      </c>
      <c r="C347" s="92" t="s">
        <v>22</v>
      </c>
      <c r="D347" s="93" t="s">
        <v>386</v>
      </c>
      <c r="E347" s="94" t="s">
        <v>140</v>
      </c>
      <c r="F347" s="94" t="s">
        <v>778</v>
      </c>
      <c r="G347" s="86">
        <v>0</v>
      </c>
      <c r="H347" s="86">
        <v>0</v>
      </c>
      <c r="I347" s="86">
        <v>0</v>
      </c>
      <c r="J347" s="86">
        <v>0</v>
      </c>
      <c r="K347" s="86">
        <v>0</v>
      </c>
      <c r="L347" s="95">
        <v>9.76636434602413E-4</v>
      </c>
      <c r="M347" s="86"/>
      <c r="N347" s="86"/>
      <c r="O347" s="86"/>
      <c r="P347" s="86"/>
      <c r="Q347" s="86"/>
      <c r="R347" s="43"/>
    </row>
    <row r="348" spans="1:22">
      <c r="A348" s="139" t="s">
        <v>510</v>
      </c>
      <c r="B348" s="13" t="s">
        <v>5</v>
      </c>
      <c r="C348" s="92" t="s">
        <v>22</v>
      </c>
      <c r="D348" s="93" t="s">
        <v>248</v>
      </c>
      <c r="E348" s="94" t="s">
        <v>58</v>
      </c>
      <c r="F348" s="94"/>
      <c r="G348" s="86">
        <v>0</v>
      </c>
      <c r="H348" s="86">
        <v>0</v>
      </c>
      <c r="I348" s="86">
        <v>0</v>
      </c>
      <c r="J348" s="86">
        <v>0</v>
      </c>
      <c r="K348" s="86">
        <v>0</v>
      </c>
      <c r="L348" s="95">
        <v>2.1625592663147602E-2</v>
      </c>
      <c r="M348" s="86"/>
      <c r="N348" s="86"/>
      <c r="O348" s="86"/>
      <c r="P348" s="86"/>
      <c r="Q348" s="86"/>
      <c r="R348" s="43"/>
    </row>
    <row r="349" spans="1:22">
      <c r="A349" s="139" t="s">
        <v>510</v>
      </c>
      <c r="B349" s="13" t="s">
        <v>5</v>
      </c>
      <c r="C349" s="89" t="s">
        <v>117</v>
      </c>
      <c r="D349" s="90" t="s">
        <v>117</v>
      </c>
      <c r="E349" s="91" t="s">
        <v>33</v>
      </c>
      <c r="F349" s="91" t="s">
        <v>784</v>
      </c>
      <c r="G349" s="86">
        <v>0</v>
      </c>
      <c r="H349" s="86">
        <v>0</v>
      </c>
      <c r="I349" s="86">
        <v>0</v>
      </c>
      <c r="J349" s="86">
        <v>0</v>
      </c>
      <c r="K349" s="86">
        <v>0</v>
      </c>
      <c r="L349" s="86"/>
      <c r="M349" s="86"/>
      <c r="N349" s="86"/>
      <c r="O349" s="86"/>
      <c r="P349" s="140">
        <v>1.9161293970040467E-2</v>
      </c>
      <c r="Q349" s="86"/>
      <c r="R349" s="43"/>
    </row>
    <row r="350" spans="1:22">
      <c r="A350" s="139" t="s">
        <v>510</v>
      </c>
      <c r="B350" s="13" t="s">
        <v>5</v>
      </c>
      <c r="C350" s="89" t="s">
        <v>401</v>
      </c>
      <c r="D350" s="90" t="s">
        <v>402</v>
      </c>
      <c r="E350" s="91" t="s">
        <v>772</v>
      </c>
      <c r="F350" s="91"/>
      <c r="G350" s="140">
        <v>-2.0003626977931524E-2</v>
      </c>
      <c r="H350" s="86">
        <v>0</v>
      </c>
      <c r="I350" s="86">
        <v>0</v>
      </c>
      <c r="J350" s="86">
        <v>0</v>
      </c>
      <c r="K350" s="86">
        <v>0</v>
      </c>
      <c r="L350" s="86"/>
      <c r="M350" s="86"/>
      <c r="N350" s="86"/>
      <c r="O350" s="86"/>
      <c r="P350" s="86"/>
      <c r="Q350" s="86"/>
      <c r="R350" s="43"/>
    </row>
    <row r="351" spans="1:22">
      <c r="A351" s="139" t="s">
        <v>510</v>
      </c>
      <c r="B351" s="13" t="s">
        <v>5</v>
      </c>
      <c r="C351" s="89" t="s">
        <v>403</v>
      </c>
      <c r="D351" s="90" t="s">
        <v>404</v>
      </c>
      <c r="E351" s="91" t="s">
        <v>772</v>
      </c>
      <c r="F351" s="91" t="s">
        <v>777</v>
      </c>
      <c r="G351" s="86">
        <v>0</v>
      </c>
      <c r="H351" s="86">
        <v>0</v>
      </c>
      <c r="I351" s="86">
        <v>0</v>
      </c>
      <c r="J351" s="140">
        <v>-8.1268175877987434E-3</v>
      </c>
      <c r="K351" s="86">
        <v>0</v>
      </c>
      <c r="L351" s="86"/>
      <c r="M351" s="86"/>
      <c r="N351" s="86"/>
      <c r="O351" s="86"/>
      <c r="P351" s="86"/>
      <c r="Q351" s="86"/>
      <c r="R351" s="43"/>
    </row>
    <row r="352" spans="1:22">
      <c r="A352" s="139" t="s">
        <v>510</v>
      </c>
      <c r="B352" s="13" t="s">
        <v>5</v>
      </c>
      <c r="C352" s="89" t="s">
        <v>322</v>
      </c>
      <c r="D352" s="90" t="s">
        <v>62</v>
      </c>
      <c r="E352" s="91" t="s">
        <v>58</v>
      </c>
      <c r="F352" s="91"/>
      <c r="G352" s="140">
        <v>-2.0003626977931646E-4</v>
      </c>
      <c r="H352" s="140">
        <v>-6.6211917275341321E-4</v>
      </c>
      <c r="I352" s="86">
        <v>7.8727552481842757E-8</v>
      </c>
      <c r="J352" s="140">
        <v>-8.2906414073022691E-5</v>
      </c>
      <c r="K352" s="86">
        <v>-2.1244346726306248E-4</v>
      </c>
      <c r="L352" s="86"/>
      <c r="M352" s="86"/>
      <c r="N352" s="86"/>
      <c r="O352" s="86"/>
      <c r="P352" s="86"/>
      <c r="Q352" s="86"/>
      <c r="R352" s="43"/>
    </row>
    <row r="353" spans="1:24">
      <c r="A353" s="139" t="s">
        <v>510</v>
      </c>
      <c r="B353" s="13" t="s">
        <v>5</v>
      </c>
      <c r="C353" s="89" t="s">
        <v>411</v>
      </c>
      <c r="D353" s="90" t="s">
        <v>412</v>
      </c>
      <c r="E353" s="91" t="s">
        <v>58</v>
      </c>
      <c r="F353" s="91"/>
      <c r="G353" s="86">
        <v>0</v>
      </c>
      <c r="H353" s="140">
        <v>-3.811654422630581E-2</v>
      </c>
      <c r="I353" s="86">
        <v>0</v>
      </c>
      <c r="J353" s="86">
        <v>0</v>
      </c>
      <c r="K353" s="86">
        <v>0</v>
      </c>
      <c r="L353" s="86"/>
      <c r="M353" s="86"/>
      <c r="N353" s="86"/>
      <c r="O353" s="86"/>
      <c r="P353" s="86"/>
      <c r="Q353" s="86"/>
      <c r="R353" s="43"/>
    </row>
    <row r="354" spans="1:24">
      <c r="A354" s="139" t="s">
        <v>510</v>
      </c>
      <c r="B354" s="13" t="s">
        <v>5</v>
      </c>
      <c r="C354" s="89" t="s">
        <v>399</v>
      </c>
      <c r="D354" s="90" t="s">
        <v>400</v>
      </c>
      <c r="E354" s="91" t="s">
        <v>33</v>
      </c>
      <c r="F354" s="91" t="s">
        <v>782</v>
      </c>
      <c r="G354" s="86">
        <v>0</v>
      </c>
      <c r="H354" s="140">
        <v>-3.0116093736070274E-3</v>
      </c>
      <c r="I354" s="86">
        <v>0</v>
      </c>
      <c r="J354" s="86">
        <v>0</v>
      </c>
      <c r="K354" s="86">
        <v>0</v>
      </c>
      <c r="L354" s="86"/>
      <c r="M354" s="86"/>
      <c r="N354" s="86"/>
      <c r="O354" s="86"/>
      <c r="P354" s="86"/>
      <c r="Q354" s="86"/>
      <c r="R354" s="43"/>
    </row>
    <row r="355" spans="1:24">
      <c r="U355" s="88">
        <f>SUBTOTAL(9,U156:U172)</f>
        <v>-0.1181002020064191</v>
      </c>
      <c r="W355">
        <f>SUBTOTAL(9,U156:U355)</f>
        <v>65.927383018947253</v>
      </c>
      <c r="X355">
        <f>+W355-W153</f>
        <v>65.927383018947253</v>
      </c>
    </row>
    <row r="357" spans="1:24">
      <c r="A357" s="200" t="s">
        <v>502</v>
      </c>
      <c r="B357" s="200" t="s">
        <v>514</v>
      </c>
      <c r="C357" s="200"/>
      <c r="D357" s="200"/>
      <c r="E357" s="200"/>
      <c r="F357" s="200"/>
      <c r="G357" s="210">
        <f>SUM(H358:H381)+0.627889020453708</f>
        <v>0.62788902045370798</v>
      </c>
      <c r="H357" s="210">
        <f t="shared" ref="H357:R357" si="2">SUM(I358:I381)+G357</f>
        <v>0.6132969917871568</v>
      </c>
      <c r="I357" s="210">
        <f t="shared" si="2"/>
        <v>0.60079810564405356</v>
      </c>
      <c r="J357" s="210">
        <f t="shared" si="2"/>
        <v>0.58479503242062558</v>
      </c>
      <c r="K357" s="210">
        <f t="shared" si="2"/>
        <v>0.58479503242062558</v>
      </c>
      <c r="L357" s="210">
        <f t="shared" si="2"/>
        <v>0.58262840737388388</v>
      </c>
      <c r="M357" s="210">
        <f t="shared" si="2"/>
        <v>0.58262840737388388</v>
      </c>
      <c r="N357" s="210">
        <f t="shared" si="2"/>
        <v>0.57491680027455705</v>
      </c>
      <c r="O357" s="210">
        <f t="shared" si="2"/>
        <v>0.56078289346701526</v>
      </c>
      <c r="P357" s="210">
        <f t="shared" si="2"/>
        <v>0.56078289346701526</v>
      </c>
      <c r="Q357" s="210">
        <f t="shared" si="2"/>
        <v>0.56078289346701526</v>
      </c>
      <c r="R357" s="211">
        <f t="shared" si="2"/>
        <v>0.56078289346701526</v>
      </c>
    </row>
    <row r="358" spans="1:24">
      <c r="A358" s="15" t="s">
        <v>502</v>
      </c>
      <c r="B358" s="13" t="s">
        <v>5</v>
      </c>
      <c r="C358" s="376" t="s">
        <v>515</v>
      </c>
      <c r="D358" s="376" t="s">
        <v>516</v>
      </c>
      <c r="E358" s="376" t="s">
        <v>53</v>
      </c>
      <c r="F358" s="376" t="s">
        <v>776</v>
      </c>
      <c r="G358" s="140">
        <v>-7.8214845476800576E-3</v>
      </c>
      <c r="H358" s="377"/>
      <c r="I358" s="377"/>
      <c r="J358" s="377"/>
      <c r="K358" s="377"/>
      <c r="L358" s="377"/>
      <c r="M358" s="377"/>
      <c r="N358" s="377"/>
      <c r="O358" s="377"/>
      <c r="P358" s="377"/>
      <c r="Q358" s="377"/>
      <c r="R358" s="377"/>
    </row>
    <row r="359" spans="1:24">
      <c r="A359" s="15" t="s">
        <v>502</v>
      </c>
      <c r="B359" s="13" t="s">
        <v>5</v>
      </c>
      <c r="C359" s="376"/>
      <c r="D359" s="376" t="s">
        <v>517</v>
      </c>
      <c r="E359" s="376" t="s">
        <v>43</v>
      </c>
      <c r="F359" s="376" t="s">
        <v>778</v>
      </c>
      <c r="G359" s="378">
        <v>7.4654105098104218E-5</v>
      </c>
      <c r="H359" s="377"/>
      <c r="I359" s="377"/>
      <c r="J359" s="377"/>
      <c r="K359" s="377"/>
      <c r="L359" s="377"/>
      <c r="M359" s="377"/>
      <c r="N359" s="377"/>
      <c r="O359" s="377"/>
      <c r="P359" s="377"/>
      <c r="Q359" s="377"/>
      <c r="R359" s="377"/>
    </row>
    <row r="360" spans="1:24">
      <c r="A360" s="15" t="s">
        <v>502</v>
      </c>
      <c r="B360" s="13" t="s">
        <v>5</v>
      </c>
      <c r="C360" s="376"/>
      <c r="D360" s="376" t="s">
        <v>518</v>
      </c>
      <c r="E360" s="376" t="s">
        <v>772</v>
      </c>
      <c r="F360" s="376" t="s">
        <v>777</v>
      </c>
      <c r="G360" s="379"/>
      <c r="H360" s="380"/>
      <c r="I360" s="381">
        <v>-1.430591045740312E-2</v>
      </c>
      <c r="J360" s="377"/>
      <c r="K360" s="377"/>
      <c r="L360" s="377"/>
      <c r="M360" s="377"/>
      <c r="N360" s="377"/>
      <c r="O360" s="377"/>
      <c r="P360" s="377"/>
      <c r="Q360" s="377"/>
      <c r="R360" s="377"/>
    </row>
    <row r="361" spans="1:24">
      <c r="A361" s="15" t="s">
        <v>502</v>
      </c>
      <c r="B361" s="13" t="s">
        <v>5</v>
      </c>
      <c r="C361" s="376"/>
      <c r="D361" s="376" t="s">
        <v>519</v>
      </c>
      <c r="E361" s="91" t="s">
        <v>58</v>
      </c>
      <c r="F361" s="91"/>
      <c r="G361" s="382"/>
      <c r="H361" s="377"/>
      <c r="I361" s="381">
        <v>-2.8611820914804451E-4</v>
      </c>
      <c r="J361" s="377"/>
      <c r="K361" s="377"/>
      <c r="L361" s="377"/>
      <c r="M361" s="377"/>
      <c r="N361" s="377"/>
      <c r="O361" s="377"/>
      <c r="P361" s="377"/>
      <c r="Q361" s="377"/>
      <c r="R361" s="383"/>
    </row>
    <row r="362" spans="1:24">
      <c r="A362" s="15" t="s">
        <v>502</v>
      </c>
      <c r="B362" s="13" t="s">
        <v>5</v>
      </c>
      <c r="C362" s="376" t="s">
        <v>520</v>
      </c>
      <c r="D362" s="384" t="s">
        <v>521</v>
      </c>
      <c r="E362" s="91" t="s">
        <v>58</v>
      </c>
      <c r="F362" s="91"/>
      <c r="G362" s="382"/>
      <c r="H362" s="377"/>
      <c r="I362" s="377"/>
      <c r="J362" s="140">
        <v>-1.117354935382869E-2</v>
      </c>
      <c r="K362" s="377"/>
      <c r="L362" s="377"/>
      <c r="M362" s="377"/>
      <c r="N362" s="377"/>
      <c r="O362" s="377"/>
      <c r="P362" s="383"/>
      <c r="Q362" s="377"/>
      <c r="R362" s="377"/>
    </row>
    <row r="363" spans="1:24">
      <c r="A363" s="15" t="s">
        <v>502</v>
      </c>
      <c r="B363" s="13" t="s">
        <v>5</v>
      </c>
      <c r="C363" s="376"/>
      <c r="D363" s="384" t="s">
        <v>522</v>
      </c>
      <c r="E363" s="376" t="s">
        <v>43</v>
      </c>
      <c r="F363" s="376" t="s">
        <v>778</v>
      </c>
      <c r="G363" s="382"/>
      <c r="H363" s="377"/>
      <c r="I363" s="377"/>
      <c r="J363" s="140">
        <v>-2.48993290636542E-3</v>
      </c>
      <c r="K363" s="377"/>
      <c r="L363" s="377"/>
      <c r="M363" s="377"/>
      <c r="N363" s="377"/>
      <c r="O363" s="377"/>
      <c r="P363" s="383"/>
      <c r="Q363" s="377"/>
      <c r="R363" s="377"/>
    </row>
    <row r="364" spans="1:24">
      <c r="A364" s="15" t="s">
        <v>502</v>
      </c>
      <c r="B364" s="13" t="s">
        <v>5</v>
      </c>
      <c r="C364" s="376"/>
      <c r="D364" s="384" t="s">
        <v>523</v>
      </c>
      <c r="E364" s="376" t="s">
        <v>43</v>
      </c>
      <c r="F364" s="376" t="s">
        <v>778</v>
      </c>
      <c r="G364" s="382"/>
      <c r="H364" s="377"/>
      <c r="I364" s="377"/>
      <c r="J364" s="95">
        <v>1.16459611709084E-3</v>
      </c>
      <c r="K364" s="377"/>
      <c r="L364" s="377"/>
      <c r="M364" s="377"/>
      <c r="N364" s="377"/>
      <c r="O364" s="377"/>
      <c r="P364" s="383"/>
      <c r="Q364" s="377"/>
      <c r="R364" s="377"/>
    </row>
    <row r="365" spans="1:24">
      <c r="A365" s="15" t="s">
        <v>502</v>
      </c>
      <c r="B365" s="13" t="s">
        <v>5</v>
      </c>
      <c r="C365" s="376"/>
      <c r="D365" s="384" t="s">
        <v>524</v>
      </c>
      <c r="E365" s="385" t="s">
        <v>43</v>
      </c>
      <c r="F365" s="385" t="s">
        <v>778</v>
      </c>
      <c r="G365" s="382"/>
      <c r="H365" s="377"/>
      <c r="I365" s="377"/>
      <c r="J365" s="377"/>
      <c r="K365" s="140">
        <v>-7.1842382204582306E-4</v>
      </c>
      <c r="L365" s="377"/>
      <c r="M365" s="377"/>
      <c r="N365" s="377"/>
      <c r="O365" s="377"/>
      <c r="P365" s="377"/>
      <c r="Q365" s="377"/>
      <c r="R365" s="377"/>
    </row>
    <row r="366" spans="1:24">
      <c r="A366" s="15" t="s">
        <v>502</v>
      </c>
      <c r="B366" s="13" t="s">
        <v>5</v>
      </c>
      <c r="C366" s="376"/>
      <c r="D366" s="384" t="s">
        <v>525</v>
      </c>
      <c r="E366" s="91" t="s">
        <v>58</v>
      </c>
      <c r="F366" s="91"/>
      <c r="G366" s="382"/>
      <c r="H366" s="377"/>
      <c r="I366" s="377"/>
      <c r="J366" s="377"/>
      <c r="K366" s="381">
        <v>-3.9107422738400045E-4</v>
      </c>
      <c r="L366" s="377"/>
      <c r="M366" s="377"/>
      <c r="N366" s="377"/>
      <c r="O366" s="377"/>
      <c r="P366" s="377"/>
      <c r="Q366" s="377"/>
      <c r="R366" s="377"/>
    </row>
    <row r="367" spans="1:24">
      <c r="A367" s="15" t="s">
        <v>502</v>
      </c>
      <c r="B367" s="13" t="s">
        <v>5</v>
      </c>
      <c r="C367" s="376"/>
      <c r="D367" s="384" t="s">
        <v>526</v>
      </c>
      <c r="E367" s="376" t="s">
        <v>772</v>
      </c>
      <c r="F367" s="376"/>
      <c r="G367" s="382"/>
      <c r="H367" s="377"/>
      <c r="I367" s="377"/>
      <c r="J367" s="377"/>
      <c r="K367" s="381">
        <v>-5.0282468797082302E-4</v>
      </c>
      <c r="L367" s="377"/>
      <c r="M367" s="377"/>
      <c r="N367" s="377"/>
      <c r="O367" s="377"/>
      <c r="P367" s="377"/>
      <c r="Q367" s="377"/>
      <c r="R367" s="377"/>
    </row>
    <row r="368" spans="1:24">
      <c r="A368" s="15" t="s">
        <v>502</v>
      </c>
      <c r="B368" s="13" t="s">
        <v>5</v>
      </c>
      <c r="C368" s="376"/>
      <c r="D368" s="384" t="s">
        <v>527</v>
      </c>
      <c r="E368" s="386"/>
      <c r="F368" s="386"/>
      <c r="G368" s="382"/>
      <c r="H368" s="377"/>
      <c r="I368" s="377"/>
      <c r="J368" s="377"/>
      <c r="K368" s="381">
        <v>-1.4390750486027337E-2</v>
      </c>
      <c r="L368" s="377"/>
      <c r="M368" s="377"/>
      <c r="N368" s="377"/>
      <c r="O368" s="377"/>
      <c r="P368" s="377"/>
      <c r="Q368" s="377"/>
      <c r="R368" s="377"/>
    </row>
    <row r="369" spans="1:18">
      <c r="A369" s="15" t="s">
        <v>502</v>
      </c>
      <c r="B369" s="13" t="s">
        <v>5</v>
      </c>
      <c r="C369" s="376"/>
      <c r="D369" s="384" t="s">
        <v>528</v>
      </c>
      <c r="E369" s="385" t="s">
        <v>142</v>
      </c>
      <c r="F369" s="385" t="s">
        <v>529</v>
      </c>
      <c r="G369" s="382"/>
      <c r="H369" s="377"/>
      <c r="I369" s="377"/>
      <c r="J369" s="377"/>
      <c r="K369" s="387"/>
      <c r="L369" s="377"/>
      <c r="M369" s="140">
        <v>-8.4120155700569132E-4</v>
      </c>
      <c r="N369" s="377"/>
      <c r="O369" s="377"/>
      <c r="P369" s="377"/>
      <c r="Q369" s="377"/>
      <c r="R369" s="377"/>
    </row>
    <row r="370" spans="1:18">
      <c r="A370" s="15" t="s">
        <v>502</v>
      </c>
      <c r="B370" s="13" t="s">
        <v>5</v>
      </c>
      <c r="C370" s="388"/>
      <c r="D370" s="388" t="s">
        <v>530</v>
      </c>
      <c r="E370" s="385" t="s">
        <v>43</v>
      </c>
      <c r="F370" s="385" t="s">
        <v>778</v>
      </c>
      <c r="G370" s="379"/>
      <c r="H370" s="380"/>
      <c r="I370" s="377"/>
      <c r="J370" s="377"/>
      <c r="K370" s="387"/>
      <c r="L370" s="377"/>
      <c r="M370" s="140">
        <v>-1.3254234897360009E-3</v>
      </c>
      <c r="N370" s="377"/>
      <c r="O370" s="387"/>
      <c r="P370" s="377"/>
      <c r="Q370" s="377"/>
      <c r="R370" s="377"/>
    </row>
    <row r="371" spans="1:18">
      <c r="A371" s="15" t="s">
        <v>502</v>
      </c>
      <c r="B371" s="13" t="s">
        <v>5</v>
      </c>
      <c r="C371" s="388" t="s">
        <v>531</v>
      </c>
      <c r="D371" s="388" t="s">
        <v>532</v>
      </c>
      <c r="E371" s="376" t="s">
        <v>53</v>
      </c>
      <c r="F371" s="376" t="s">
        <v>776</v>
      </c>
      <c r="G371" s="379"/>
      <c r="H371" s="380"/>
      <c r="I371" s="377"/>
      <c r="J371" s="377"/>
      <c r="K371" s="387"/>
      <c r="L371" s="377"/>
      <c r="M371" s="377"/>
      <c r="N371" s="377"/>
      <c r="O371" s="140">
        <v>-7.7116070993268303E-3</v>
      </c>
      <c r="P371" s="377"/>
      <c r="Q371" s="377"/>
      <c r="R371" s="377"/>
    </row>
    <row r="372" spans="1:18">
      <c r="A372" s="15" t="s">
        <v>502</v>
      </c>
      <c r="B372" s="13" t="s">
        <v>5</v>
      </c>
      <c r="C372" s="388" t="s">
        <v>533</v>
      </c>
      <c r="D372" s="388" t="s">
        <v>534</v>
      </c>
      <c r="E372" s="91" t="s">
        <v>58</v>
      </c>
      <c r="F372" s="91"/>
      <c r="G372" s="379"/>
      <c r="H372" s="379"/>
      <c r="I372" s="382"/>
      <c r="J372" s="382"/>
      <c r="K372" s="387"/>
      <c r="L372" s="382"/>
      <c r="M372" s="387"/>
      <c r="N372" s="382"/>
      <c r="O372" s="382"/>
      <c r="P372" s="195">
        <v>-1.4133906807541815E-2</v>
      </c>
      <c r="Q372" s="377"/>
      <c r="R372" s="377"/>
    </row>
    <row r="373" spans="1:18">
      <c r="A373" s="15" t="s">
        <v>502</v>
      </c>
      <c r="B373" s="13" t="s">
        <v>5</v>
      </c>
      <c r="C373" s="388"/>
      <c r="D373" s="388"/>
      <c r="E373" s="376"/>
      <c r="F373" s="376"/>
      <c r="G373" s="379"/>
      <c r="H373" s="380"/>
      <c r="I373" s="377"/>
      <c r="J373" s="377"/>
      <c r="K373" s="387"/>
      <c r="L373" s="377"/>
      <c r="M373" s="377"/>
      <c r="N373" s="377"/>
      <c r="O373" s="377"/>
      <c r="P373" s="377"/>
      <c r="Q373" s="377"/>
      <c r="R373" s="377"/>
    </row>
    <row r="374" spans="1:18">
      <c r="A374" s="15" t="s">
        <v>502</v>
      </c>
      <c r="B374" s="13" t="s">
        <v>5</v>
      </c>
      <c r="C374" s="388"/>
      <c r="D374" s="388"/>
      <c r="E374" s="376"/>
      <c r="F374" s="376"/>
      <c r="G374" s="379"/>
      <c r="H374" s="380"/>
      <c r="I374" s="377"/>
      <c r="J374" s="377"/>
      <c r="K374" s="387"/>
      <c r="L374" s="377"/>
      <c r="M374" s="377"/>
      <c r="N374" s="383"/>
      <c r="O374" s="383"/>
      <c r="P374" s="377"/>
      <c r="Q374" s="377"/>
      <c r="R374" s="383"/>
    </row>
    <row r="375" spans="1:18">
      <c r="A375" s="15" t="s">
        <v>502</v>
      </c>
      <c r="B375" s="13" t="s">
        <v>5</v>
      </c>
      <c r="C375" s="388"/>
      <c r="D375" s="388"/>
      <c r="E375" s="376"/>
      <c r="F375" s="376"/>
      <c r="G375" s="379"/>
      <c r="H375" s="380"/>
      <c r="I375" s="377"/>
      <c r="J375" s="377"/>
      <c r="K375" s="387"/>
      <c r="L375" s="377"/>
      <c r="M375" s="377"/>
      <c r="N375" s="377"/>
      <c r="O375" s="377"/>
      <c r="P375" s="377"/>
      <c r="Q375" s="377"/>
      <c r="R375" s="377"/>
    </row>
    <row r="376" spans="1:18">
      <c r="A376" s="15" t="s">
        <v>502</v>
      </c>
      <c r="B376" s="13" t="s">
        <v>5</v>
      </c>
      <c r="C376" s="388"/>
      <c r="D376" s="388"/>
      <c r="E376" s="376"/>
      <c r="F376" s="376"/>
      <c r="G376" s="379"/>
      <c r="H376" s="379"/>
      <c r="I376" s="382"/>
      <c r="J376" s="382"/>
      <c r="K376" s="387"/>
      <c r="L376" s="382"/>
      <c r="M376" s="382"/>
      <c r="N376" s="382"/>
      <c r="O376" s="382"/>
      <c r="P376" s="377"/>
      <c r="Q376" s="377"/>
      <c r="R376" s="377"/>
    </row>
    <row r="377" spans="1:18">
      <c r="A377" s="15" t="s">
        <v>502</v>
      </c>
      <c r="B377" s="13" t="s">
        <v>5</v>
      </c>
      <c r="C377" s="388"/>
      <c r="D377" s="388"/>
      <c r="E377" s="376"/>
      <c r="F377" s="376"/>
      <c r="G377" s="379"/>
      <c r="H377" s="380"/>
      <c r="I377" s="377"/>
      <c r="J377" s="377"/>
      <c r="K377" s="377"/>
      <c r="L377" s="377"/>
      <c r="M377" s="377"/>
      <c r="N377" s="377"/>
      <c r="O377" s="377"/>
      <c r="P377" s="377"/>
      <c r="Q377" s="377"/>
      <c r="R377" s="377"/>
    </row>
    <row r="378" spans="1:18">
      <c r="A378" s="15" t="s">
        <v>502</v>
      </c>
      <c r="B378" s="13" t="s">
        <v>5</v>
      </c>
      <c r="C378" s="388"/>
      <c r="D378" s="388"/>
      <c r="E378" s="376"/>
      <c r="F378" s="376"/>
      <c r="G378" s="379"/>
      <c r="H378" s="380"/>
      <c r="I378" s="377"/>
      <c r="J378" s="377"/>
      <c r="K378" s="377"/>
      <c r="L378" s="377"/>
      <c r="M378" s="377"/>
      <c r="N378" s="377"/>
      <c r="O378" s="377"/>
      <c r="P378" s="377"/>
      <c r="Q378" s="377"/>
      <c r="R378" s="377"/>
    </row>
    <row r="379" spans="1:18">
      <c r="A379" s="15" t="s">
        <v>502</v>
      </c>
      <c r="B379" s="13" t="s">
        <v>5</v>
      </c>
      <c r="C379" s="388"/>
      <c r="D379" s="388"/>
      <c r="E379" s="376"/>
      <c r="F379" s="376"/>
      <c r="G379" s="379"/>
      <c r="H379" s="380"/>
      <c r="I379" s="377"/>
      <c r="J379" s="377"/>
      <c r="K379" s="377"/>
      <c r="L379" s="377"/>
      <c r="M379" s="377"/>
      <c r="N379" s="377"/>
      <c r="O379" s="377"/>
      <c r="P379" s="377"/>
      <c r="Q379" s="377"/>
      <c r="R379" s="377"/>
    </row>
    <row r="380" spans="1:18">
      <c r="A380" s="15" t="s">
        <v>502</v>
      </c>
      <c r="B380" s="13" t="s">
        <v>5</v>
      </c>
      <c r="C380" s="388"/>
      <c r="D380" s="388"/>
      <c r="E380" s="376"/>
      <c r="F380" s="376"/>
      <c r="G380" s="379"/>
      <c r="H380" s="380"/>
      <c r="I380" s="377"/>
      <c r="J380" s="377"/>
      <c r="K380" s="377"/>
      <c r="L380" s="377"/>
      <c r="M380" s="377"/>
      <c r="N380" s="377"/>
      <c r="O380" s="377"/>
      <c r="P380" s="377"/>
      <c r="Q380" s="377"/>
      <c r="R380" s="377"/>
    </row>
    <row r="381" spans="1:18">
      <c r="A381" s="15" t="s">
        <v>502</v>
      </c>
      <c r="B381" s="13" t="s">
        <v>5</v>
      </c>
      <c r="C381" s="388"/>
      <c r="D381" s="388"/>
      <c r="E381" s="376"/>
      <c r="F381" s="376"/>
      <c r="G381" s="379"/>
      <c r="H381" s="380"/>
      <c r="I381" s="377"/>
      <c r="J381" s="377"/>
      <c r="K381" s="377"/>
      <c r="L381" s="377"/>
      <c r="M381" s="377"/>
      <c r="N381" s="377"/>
      <c r="O381" s="377"/>
      <c r="P381" s="377"/>
      <c r="Q381" s="377"/>
      <c r="R381" s="377"/>
    </row>
  </sheetData>
  <autoFilter ref="E1:E381" xr:uid="{26BE182F-50B0-4F65-BA6E-C539A19D7382}"/>
  <phoneticPr fontId="57" type="noConversion"/>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2ABE-9F5B-492C-89FC-0A122480208C}">
  <sheetPr>
    <tabColor theme="4" tint="0.79998168889431442"/>
  </sheetPr>
  <dimension ref="A1:W138"/>
  <sheetViews>
    <sheetView showGridLines="0" zoomScale="90" zoomScaleNormal="90" workbookViewId="0">
      <selection activeCell="B22" sqref="B22"/>
    </sheetView>
  </sheetViews>
  <sheetFormatPr defaultRowHeight="14"/>
  <cols>
    <col min="1" max="1" width="22.4140625" customWidth="1"/>
    <col min="2" max="2" width="18.4140625" customWidth="1"/>
    <col min="3" max="3" width="11.4140625" bestFit="1" customWidth="1"/>
    <col min="4" max="14" width="9.5" bestFit="1" customWidth="1"/>
    <col min="15" max="15" width="9.83203125" customWidth="1"/>
    <col min="16" max="16" width="13.1640625" bestFit="1" customWidth="1"/>
    <col min="17" max="17" width="11.5" bestFit="1" customWidth="1"/>
    <col min="18" max="18" width="21.83203125" bestFit="1" customWidth="1"/>
    <col min="20" max="20" width="21.83203125" bestFit="1" customWidth="1"/>
    <col min="21" max="21" width="10.5" customWidth="1"/>
    <col min="22" max="22" width="13" customWidth="1"/>
    <col min="23" max="23" width="14.5" bestFit="1" customWidth="1"/>
    <col min="25" max="25" width="11.4140625" bestFit="1" customWidth="1"/>
    <col min="26" max="26" width="14.5" bestFit="1" customWidth="1"/>
  </cols>
  <sheetData>
    <row r="1" spans="1:23" ht="14.5">
      <c r="A1" s="71"/>
      <c r="B1" s="71"/>
      <c r="C1" s="71"/>
      <c r="D1" s="71"/>
      <c r="E1" s="71"/>
      <c r="F1" s="71"/>
      <c r="G1" s="71"/>
      <c r="H1" s="71"/>
      <c r="I1" s="71"/>
      <c r="J1" s="71"/>
      <c r="K1" s="71"/>
      <c r="L1" s="71"/>
      <c r="M1" s="71"/>
      <c r="N1" s="71"/>
      <c r="O1" s="71"/>
      <c r="P1" s="71"/>
      <c r="Q1" s="71"/>
      <c r="V1" s="112">
        <v>8.81203</v>
      </c>
      <c r="W1" t="s">
        <v>159</v>
      </c>
    </row>
    <row r="2" spans="1:23" ht="14.5">
      <c r="A2" s="52" t="s">
        <v>82</v>
      </c>
      <c r="B2" s="52"/>
      <c r="C2" s="52"/>
      <c r="D2" s="52"/>
      <c r="E2" s="52"/>
      <c r="F2" s="52"/>
      <c r="G2" s="52"/>
      <c r="H2" s="52"/>
      <c r="I2" s="52"/>
      <c r="J2" s="52"/>
      <c r="K2" s="52"/>
      <c r="L2" s="52"/>
      <c r="M2" s="52"/>
      <c r="N2" s="52"/>
      <c r="O2" s="52"/>
      <c r="P2" s="52"/>
      <c r="Q2" s="71"/>
      <c r="V2" s="112">
        <v>9.1977399999999996</v>
      </c>
      <c r="W2" t="s">
        <v>165</v>
      </c>
    </row>
    <row r="3" spans="1:23">
      <c r="A3" s="80" t="s">
        <v>205</v>
      </c>
      <c r="B3" s="80"/>
      <c r="C3" s="80"/>
      <c r="D3" s="81">
        <v>45658</v>
      </c>
      <c r="E3" s="81">
        <v>45689</v>
      </c>
      <c r="F3" s="81">
        <v>45717</v>
      </c>
      <c r="G3" s="81">
        <v>45748</v>
      </c>
      <c r="H3" s="81">
        <v>45778</v>
      </c>
      <c r="I3" s="81">
        <v>45809</v>
      </c>
      <c r="J3" s="81">
        <v>45839</v>
      </c>
      <c r="K3" s="81">
        <v>45870</v>
      </c>
      <c r="L3" s="81">
        <v>45901</v>
      </c>
      <c r="M3" s="81">
        <v>45931</v>
      </c>
      <c r="N3" s="81">
        <v>45962</v>
      </c>
      <c r="O3" s="81">
        <v>45992</v>
      </c>
      <c r="P3" s="82" t="s">
        <v>206</v>
      </c>
      <c r="Q3" s="71"/>
    </row>
    <row r="4" spans="1:23">
      <c r="A4" s="1" t="s">
        <v>207</v>
      </c>
      <c r="B4" s="12" t="s">
        <v>4</v>
      </c>
      <c r="D4" s="3">
        <f>'[4]MoDi Vols'!AL81</f>
        <v>1.0017399999999999</v>
      </c>
      <c r="E4" s="3">
        <f>'[4]MoDi Vols'!AM81</f>
        <v>1.0082100000000001</v>
      </c>
      <c r="F4" s="3">
        <f>'[4]MoDi Vols'!AN81</f>
        <v>1.0082670000000002</v>
      </c>
      <c r="G4" s="3">
        <f>'[4]MoDi Vols'!AO81</f>
        <v>0.90340200000000004</v>
      </c>
      <c r="H4" s="3">
        <f>'[4]MoDi Vols'!AP81</f>
        <v>0.97722700000000007</v>
      </c>
      <c r="I4" s="3">
        <f>'[4]MoDi Vols'!AQ81</f>
        <v>1.0838030000000001</v>
      </c>
      <c r="J4" s="3">
        <f>'[4]MoDi Vols'!AR81</f>
        <v>1.1012120000000001</v>
      </c>
      <c r="K4" s="3">
        <f>'[4]MoDi Vols'!AS81</f>
        <v>1.087097</v>
      </c>
      <c r="L4" s="3">
        <f>'[4]MoDi Vols'!AT81</f>
        <v>1.1009880000000001</v>
      </c>
      <c r="M4" s="3">
        <f>'[4]MoDi Vols'!AU81</f>
        <v>1.0526310000000001</v>
      </c>
      <c r="N4" s="3">
        <f>'[4]MoDi Vols'!AV81</f>
        <v>1.111558</v>
      </c>
      <c r="O4" s="3">
        <f>'[4]MoDi Vols'!AW81</f>
        <v>0.95082600000000017</v>
      </c>
      <c r="P4" s="54">
        <f>SUM(D4:O4)</f>
        <v>12.386960999999999</v>
      </c>
      <c r="Q4" s="71"/>
    </row>
    <row r="5" spans="1:23">
      <c r="A5" s="1"/>
      <c r="B5" s="64" t="s">
        <v>169</v>
      </c>
      <c r="C5" s="65"/>
      <c r="D5" s="66">
        <f>'[5]Volume Summary'!L250</f>
        <v>0.37152800000000008</v>
      </c>
      <c r="E5" s="66">
        <f>'[5]Volume Summary'!M250</f>
        <v>0.38290200000000008</v>
      </c>
      <c r="F5" s="66">
        <f>'[5]Volume Summary'!N250</f>
        <v>0.41491999999999996</v>
      </c>
      <c r="G5" s="66">
        <f>'[5]Volume Summary'!O250</f>
        <v>0.47956300000000007</v>
      </c>
      <c r="H5" s="66">
        <f>'[5]Volume Summary'!P250</f>
        <v>0.59248400000000012</v>
      </c>
      <c r="I5" s="66">
        <f>'[5]Volume Summary'!Q250</f>
        <v>0.69510999999999989</v>
      </c>
      <c r="J5" s="66">
        <f>'[5]Volume Summary'!R250</f>
        <v>0.51156599999999997</v>
      </c>
      <c r="K5" s="66">
        <f>'[5]Volume Summary'!S250</f>
        <v>0.55513399999999991</v>
      </c>
      <c r="L5" s="66">
        <f>'[5]Volume Summary'!T250</f>
        <v>0.51857799999999998</v>
      </c>
      <c r="M5" s="66">
        <f>'[5]Volume Summary'!U250</f>
        <v>0.49184200000000006</v>
      </c>
      <c r="N5" s="66">
        <f>'[5]Volume Summary'!V250</f>
        <v>0.51918199999999992</v>
      </c>
      <c r="O5" s="66">
        <f>'[5]Volume Summary'!W250</f>
        <v>0.66440900000000003</v>
      </c>
      <c r="P5" s="67">
        <f>SUM(D5:O5)</f>
        <v>6.1972180000000003</v>
      </c>
      <c r="Q5" s="71"/>
      <c r="R5" s="53" t="s">
        <v>82</v>
      </c>
    </row>
    <row r="6" spans="1:23">
      <c r="Q6" s="71"/>
    </row>
    <row r="7" spans="1:23">
      <c r="A7" s="36" t="s">
        <v>209</v>
      </c>
      <c r="B7" s="37"/>
      <c r="C7" s="39">
        <v>45566</v>
      </c>
      <c r="D7" s="39">
        <v>45597</v>
      </c>
      <c r="E7" s="39">
        <v>45627</v>
      </c>
      <c r="F7" s="39">
        <v>45658</v>
      </c>
      <c r="G7" s="39">
        <v>45689</v>
      </c>
      <c r="H7" s="39">
        <v>45717</v>
      </c>
      <c r="I7" s="39">
        <v>45748</v>
      </c>
      <c r="J7" s="39">
        <v>45778</v>
      </c>
      <c r="K7" s="39">
        <v>45809</v>
      </c>
      <c r="L7" s="39">
        <v>45839</v>
      </c>
      <c r="M7" s="39">
        <v>45870</v>
      </c>
      <c r="N7" s="39">
        <v>45901</v>
      </c>
      <c r="O7" s="39">
        <v>45931</v>
      </c>
      <c r="P7" s="37"/>
      <c r="Q7" s="71"/>
      <c r="V7" s="14" t="s">
        <v>211</v>
      </c>
      <c r="W7" s="14" t="s">
        <v>212</v>
      </c>
    </row>
    <row r="8" spans="1:23">
      <c r="A8" s="8" t="s">
        <v>210</v>
      </c>
      <c r="B8" s="12" t="s">
        <v>4</v>
      </c>
      <c r="C8" s="9"/>
      <c r="D8" s="9">
        <f>SUMIFS('MoDi Initiatives'!L:L,'MoDi Initiatives'!$A:$A,MoDi!$A$2,'MoDi Initiatives'!$B:$B,MoDi!$B8)</f>
        <v>-2.3678975447083417E-16</v>
      </c>
      <c r="E8" s="9">
        <f>SUMIFS('MoDi Initiatives'!M:M,'MoDi Initiatives'!$A:$A,MoDi!$A$2,'MoDi Initiatives'!$B:$B,MoDi!$B8)</f>
        <v>-1.7381258475387441E-4</v>
      </c>
      <c r="F8" s="9">
        <f>SUMIFS('MoDi Initiatives'!N:N,'MoDi Initiatives'!$A:$A,MoDi!$A$2,'MoDi Initiatives'!$B:$B,MoDi!$B8)</f>
        <v>-3.4170843938424574E-2</v>
      </c>
      <c r="G8" s="9">
        <f>SUMIFS('MoDi Initiatives'!O:O,'MoDi Initiatives'!$A:$A,MoDi!$A$2,'MoDi Initiatives'!$B:$B,MoDi!$B8)</f>
        <v>-1.9508919139548195E-2</v>
      </c>
      <c r="H8" s="9">
        <f>SUMIFS('MoDi Initiatives'!P:P,'MoDi Initiatives'!$A:$A,MoDi!$A$2,'MoDi Initiatives'!$B:$B,MoDi!$B8)</f>
        <v>-1.4370970477530351E-2</v>
      </c>
      <c r="I8" s="9">
        <f>SUMIFS('MoDi Initiatives'!Q:Q,'MoDi Initiatives'!$A:$A,MoDi!$A$2,'MoDi Initiatives'!$B:$B,MoDi!$B8)</f>
        <v>0</v>
      </c>
      <c r="J8" s="9">
        <f>SUMIFS('MoDi Initiatives'!R:R,'MoDi Initiatives'!$A:$A,MoDi!$A$2,'MoDi Initiatives'!$B:$B,MoDi!$B8)</f>
        <v>-7.664517588016187E-3</v>
      </c>
      <c r="K8" s="9">
        <f>SUMIFS('MoDi Initiatives'!S:S,'MoDi Initiatives'!$A:$A,MoDi!$A$2,'MoDi Initiatives'!$B:$B,MoDi!$B8)</f>
        <v>0</v>
      </c>
      <c r="L8" s="9">
        <f>SUMIFS('MoDi Initiatives'!T:T,'MoDi Initiatives'!$A:$A,MoDi!$A$2,'MoDi Initiatives'!$B:$B,MoDi!$B8)</f>
        <v>-6.8495086836548981E-3</v>
      </c>
      <c r="M8" s="9">
        <f>SUMIFS('MoDi Initiatives'!U:U,'MoDi Initiatives'!$A:$A,MoDi!$A$2,'MoDi Initiatives'!$B:$B,MoDi!$B8)</f>
        <v>0</v>
      </c>
      <c r="N8" s="9">
        <f>SUMIFS('MoDi Initiatives'!V:V,'MoDi Initiatives'!$A:$A,MoDi!$A$2,'MoDi Initiatives'!$B:$B,MoDi!$B8)</f>
        <v>0</v>
      </c>
      <c r="O8" s="9">
        <f>SUMIFS('MoDi Initiatives'!W:W,'MoDi Initiatives'!$A:$A,MoDi!$A$2,'MoDi Initiatives'!$B:$B,MoDi!$B8)</f>
        <v>0</v>
      </c>
      <c r="P8" s="9"/>
      <c r="Q8" s="71"/>
      <c r="V8" s="14" t="s">
        <v>216</v>
      </c>
      <c r="W8" s="14" t="s">
        <v>217</v>
      </c>
    </row>
    <row r="9" spans="1:23">
      <c r="A9" s="8" t="s">
        <v>210</v>
      </c>
      <c r="B9" s="13" t="s">
        <v>5</v>
      </c>
      <c r="C9" s="9"/>
      <c r="D9" s="9">
        <f>SUMIFS('MoDi Initiatives'!L:L,'MoDi Initiatives'!$A:$A,MoDi!$A$2,'MoDi Initiatives'!$B:$B,MoDi!$B9)</f>
        <v>1.6089560239684886E-16</v>
      </c>
      <c r="E9" s="9">
        <f>SUMIFS('MoDi Initiatives'!M:M,'MoDi Initiatives'!$A:$A,MoDi!$A$2,'MoDi Initiatives'!$B:$B,MoDi!$B9)</f>
        <v>2.0822506398270255E-3</v>
      </c>
      <c r="F9" s="9">
        <f>SUMIFS('MoDi Initiatives'!N:N,'MoDi Initiatives'!$A:$A,MoDi!$A$2,'MoDi Initiatives'!$B:$B,MoDi!$B9)</f>
        <v>-1.0730283609227734E-3</v>
      </c>
      <c r="G9" s="9">
        <f>SUMIFS('MoDi Initiatives'!O:O,'MoDi Initiatives'!$A:$A,MoDi!$A$2,'MoDi Initiatives'!$B:$B,MoDi!$B9)</f>
        <v>-1.6889858324356896E-2</v>
      </c>
      <c r="H9" s="9">
        <f>SUMIFS('MoDi Initiatives'!P:P,'MoDi Initiatives'!$A:$A,MoDi!$A$2,'MoDi Initiatives'!$B:$B,MoDi!$B9)</f>
        <v>-1.6662177916786144E-3</v>
      </c>
      <c r="I9" s="9">
        <f>SUMIFS('MoDi Initiatives'!Q:Q,'MoDi Initiatives'!$A:$A,MoDi!$A$2,'MoDi Initiatives'!$B:$B,MoDi!$B9)</f>
        <v>9.9172133931326595E-3</v>
      </c>
      <c r="J9" s="9">
        <f>SUMIFS('MoDi Initiatives'!R:R,'MoDi Initiatives'!$A:$A,MoDi!$A$2,'MoDi Initiatives'!$B:$B,MoDi!$B9)</f>
        <v>-1.3164517588016187E-2</v>
      </c>
      <c r="K9" s="9">
        <f>SUMIFS('MoDi Initiatives'!S:S,'MoDi Initiatives'!$A:$A,MoDi!$A$2,'MoDi Initiatives'!$B:$B,MoDi!$B9)</f>
        <v>-1.1626503624326021E-2</v>
      </c>
      <c r="L9" s="9">
        <f>SUMIFS('MoDi Initiatives'!T:T,'MoDi Initiatives'!$A:$A,MoDi!$A$2,'MoDi Initiatives'!$B:$B,MoDi!$B9)</f>
        <v>-2.3918919212763136E-3</v>
      </c>
      <c r="M9" s="9">
        <f>SUMIFS('MoDi Initiatives'!U:U,'MoDi Initiatives'!$A:$A,MoDi!$A$2,'MoDi Initiatives'!$B:$B,MoDi!$B9)</f>
        <v>0</v>
      </c>
      <c r="N9" s="9">
        <f>SUMIFS('MoDi Initiatives'!V:V,'MoDi Initiatives'!$A:$A,MoDi!$A$2,'MoDi Initiatives'!$B:$B,MoDi!$B9)</f>
        <v>0</v>
      </c>
      <c r="O9" s="9">
        <f>SUMIFS('MoDi Initiatives'!W:W,'MoDi Initiatives'!$A:$A,MoDi!$A$2,'MoDi Initiatives'!$B:$B,MoDi!$B9)</f>
        <v>0</v>
      </c>
      <c r="P9" s="9"/>
      <c r="Q9" s="71"/>
    </row>
    <row r="10" spans="1:23">
      <c r="A10" s="36" t="s">
        <v>213</v>
      </c>
      <c r="B10" s="37"/>
      <c r="C10" s="37"/>
      <c r="D10" s="37"/>
      <c r="E10" s="37"/>
      <c r="F10" s="37"/>
      <c r="G10" s="37"/>
      <c r="H10" s="37"/>
      <c r="I10" s="37"/>
      <c r="J10" s="37"/>
      <c r="K10" s="37"/>
      <c r="L10" s="37"/>
      <c r="M10" s="37"/>
      <c r="N10" s="37"/>
      <c r="O10" s="37"/>
      <c r="P10" s="16" t="s">
        <v>214</v>
      </c>
      <c r="Q10" s="62" t="s">
        <v>215</v>
      </c>
    </row>
    <row r="11" spans="1:23">
      <c r="A11" s="1"/>
      <c r="B11" s="12" t="s">
        <v>4</v>
      </c>
      <c r="C11" s="20">
        <f>'[4]MoDi Pricing'!$AE$344</f>
        <v>0.95806469850202358</v>
      </c>
      <c r="D11" s="9">
        <f>C11+D8</f>
        <v>0.95806469850202336</v>
      </c>
      <c r="E11" s="9">
        <f>D11+E8</f>
        <v>0.95789088591726945</v>
      </c>
      <c r="F11" s="9">
        <f t="shared" ref="F11:O11" si="0">E11+F8</f>
        <v>0.92372004197884483</v>
      </c>
      <c r="G11" s="9">
        <f t="shared" si="0"/>
        <v>0.90421112283929661</v>
      </c>
      <c r="H11" s="9">
        <f t="shared" si="0"/>
        <v>0.88984015236176628</v>
      </c>
      <c r="I11" s="9">
        <f t="shared" si="0"/>
        <v>0.88984015236176628</v>
      </c>
      <c r="J11" s="9">
        <f t="shared" si="0"/>
        <v>0.88217563477375005</v>
      </c>
      <c r="K11" s="9">
        <f t="shared" si="0"/>
        <v>0.88217563477375005</v>
      </c>
      <c r="L11" s="9">
        <f t="shared" si="0"/>
        <v>0.87532612609009519</v>
      </c>
      <c r="M11" s="9">
        <f t="shared" si="0"/>
        <v>0.87532612609009519</v>
      </c>
      <c r="N11" s="9">
        <f t="shared" si="0"/>
        <v>0.87532612609009519</v>
      </c>
      <c r="O11" s="9">
        <f t="shared" si="0"/>
        <v>0.87532612609009519</v>
      </c>
      <c r="P11" s="20">
        <f>SUMPRODUCT(D11:O11,$D$4:$O$4)/$P$4</f>
        <v>0.89840818724477456</v>
      </c>
      <c r="Q11" s="78">
        <f>P11*$P$4</f>
        <v>11.128547177481719</v>
      </c>
      <c r="R11" t="s">
        <v>82</v>
      </c>
      <c r="T11" t="str">
        <f>R11</f>
        <v>BOX 800 Default 2.0</v>
      </c>
      <c r="U11" t="s">
        <v>535</v>
      </c>
      <c r="V11" s="142">
        <f>P11*$V$2/$V$1</f>
        <v>0.93773227283029592</v>
      </c>
      <c r="W11" t="s">
        <v>536</v>
      </c>
    </row>
    <row r="12" spans="1:23" ht="7.5" customHeight="1">
      <c r="A12" s="1"/>
      <c r="B12" s="14"/>
      <c r="C12" s="5">
        <f>C11-'[4]MoDi Pricing'!AE$344</f>
        <v>0</v>
      </c>
      <c r="D12" s="5">
        <f>D11-'[4]MoDi Pricing'!AF$344</f>
        <v>0</v>
      </c>
      <c r="E12" s="5">
        <f>E11-'[4]MoDi Pricing'!AG$344</f>
        <v>0</v>
      </c>
      <c r="F12" s="5">
        <f>F11-'[4]MoDi Pricing'!AH$344</f>
        <v>0</v>
      </c>
      <c r="G12" s="5">
        <f>G11-'[4]MoDi Pricing'!AI$344</f>
        <v>0</v>
      </c>
      <c r="H12" s="5">
        <f>H11-'[4]MoDi Pricing'!AJ$344</f>
        <v>0</v>
      </c>
      <c r="I12" s="5">
        <f>I11-'[4]MoDi Pricing'!AK$344</f>
        <v>0</v>
      </c>
      <c r="J12" s="5">
        <f>J11-'[4]MoDi Pricing'!AL$344</f>
        <v>0</v>
      </c>
      <c r="K12" s="5">
        <f>K11-'[4]MoDi Pricing'!AM$344</f>
        <v>0</v>
      </c>
      <c r="L12" s="5">
        <f>L11-'[4]MoDi Pricing'!AN$344</f>
        <v>0</v>
      </c>
      <c r="M12" s="5">
        <f>M11-'[4]MoDi Pricing'!AO$344</f>
        <v>0</v>
      </c>
      <c r="N12" s="5">
        <f>N11-'[4]MoDi Pricing'!AP$344</f>
        <v>0</v>
      </c>
      <c r="O12" s="5">
        <f>O11-'[4]MoDi Pricing'!AQ$344</f>
        <v>0</v>
      </c>
      <c r="P12" s="17"/>
      <c r="Q12" s="71"/>
    </row>
    <row r="13" spans="1:23">
      <c r="A13" s="1"/>
      <c r="B13" s="13" t="s">
        <v>5</v>
      </c>
      <c r="C13" s="20">
        <f>'[6]MoDi Pricing'!$AE$362</f>
        <v>0.95806469850202569</v>
      </c>
      <c r="D13" s="9">
        <f>C13+D9</f>
        <v>0.9580646985020258</v>
      </c>
      <c r="E13" s="9">
        <f>D13+E9</f>
        <v>0.96014694914185283</v>
      </c>
      <c r="F13" s="9">
        <f t="shared" ref="F13:O13" si="1">E13+F9</f>
        <v>0.95907392078093001</v>
      </c>
      <c r="G13" s="9">
        <f t="shared" si="1"/>
        <v>0.94218406245657316</v>
      </c>
      <c r="H13" s="9">
        <f t="shared" si="1"/>
        <v>0.94051784466489452</v>
      </c>
      <c r="I13" s="9">
        <f t="shared" si="1"/>
        <v>0.95043505805802719</v>
      </c>
      <c r="J13" s="9">
        <f t="shared" si="1"/>
        <v>0.93727054047001102</v>
      </c>
      <c r="K13" s="9">
        <f t="shared" si="1"/>
        <v>0.92564403684568497</v>
      </c>
      <c r="L13" s="9">
        <f>K13+L9</f>
        <v>0.92325214492440866</v>
      </c>
      <c r="M13" s="9">
        <f t="shared" si="1"/>
        <v>0.92325214492440866</v>
      </c>
      <c r="N13" s="9">
        <f t="shared" si="1"/>
        <v>0.92325214492440866</v>
      </c>
      <c r="O13" s="9">
        <f t="shared" si="1"/>
        <v>0.92325214492440866</v>
      </c>
      <c r="P13" s="212">
        <f>SUMPRODUCT(D13:O13,$D$4:$O$4)/$P$4</f>
        <v>0.93856362925955683</v>
      </c>
      <c r="Q13" s="78">
        <f>P13*$P$4</f>
        <v>11.625951071656589</v>
      </c>
      <c r="R13" t="s">
        <v>82</v>
      </c>
      <c r="T13" t="str">
        <f>R29</f>
        <v>BOX 800 Full 2.0</v>
      </c>
      <c r="U13" t="s">
        <v>537</v>
      </c>
      <c r="V13" s="145">
        <f>P29*V2/V1</f>
        <v>1.4098053962019501</v>
      </c>
      <c r="W13" t="s">
        <v>536</v>
      </c>
    </row>
    <row r="14" spans="1:23" ht="8.5" customHeight="1">
      <c r="C14" s="5">
        <f>C13-'[5]CoGS Tracker MoDi'!O49</f>
        <v>0</v>
      </c>
      <c r="D14" s="5">
        <f>D13-'[5]CoGS Tracker MoDi'!P49</f>
        <v>0</v>
      </c>
      <c r="E14" s="5">
        <f>E13-'[5]CoGS Tracker MoDi'!Q49</f>
        <v>0</v>
      </c>
      <c r="F14" s="5">
        <f>F13-'[5]CoGS Tracker MoDi'!R49</f>
        <v>0</v>
      </c>
      <c r="G14" s="5">
        <f>G13-'[5]CoGS Tracker MoDi'!S49</f>
        <v>0</v>
      </c>
      <c r="H14" s="123">
        <f>H13-'[5]CoGS Tracker MoDi'!T49</f>
        <v>6.2467733243809498E-5</v>
      </c>
      <c r="I14" s="123">
        <f>I13-'[5]CoGS Tracker MoDi'!U49</f>
        <v>6.246773324392052E-5</v>
      </c>
      <c r="J14" s="5">
        <f>J13-'[5]CoGS Tracker MoDi'!V49</f>
        <v>-3.937532266756083E-3</v>
      </c>
      <c r="K14" s="5">
        <f>K13-'[5]CoGS Tracker MoDi'!W49</f>
        <v>-3.9375322667561941E-3</v>
      </c>
      <c r="L14" s="5">
        <f>L13-'[5]CoGS Tracker MoDi'!X49</f>
        <v>-3.937532266756083E-3</v>
      </c>
      <c r="M14" s="5">
        <f>M13-'[5]CoGS Tracker MoDi'!Y49</f>
        <v>-3.937532266756083E-3</v>
      </c>
      <c r="N14" s="5">
        <f>N13-'[5]CoGS Tracker MoDi'!Z49</f>
        <v>-3.937532266756083E-3</v>
      </c>
      <c r="O14" s="5">
        <f>O13-'[5]CoGS Tracker MoDi'!AA49</f>
        <v>-3.937532266756083E-3</v>
      </c>
      <c r="Q14" s="71"/>
    </row>
    <row r="15" spans="1:23">
      <c r="A15" s="49"/>
      <c r="B15" s="49" t="s">
        <v>221</v>
      </c>
      <c r="C15" s="50">
        <f>C13-C11</f>
        <v>2.1094237467877974E-15</v>
      </c>
      <c r="D15" s="50">
        <f t="shared" ref="D15:O15" si="2">D13-D11</f>
        <v>2.4424906541753444E-15</v>
      </c>
      <c r="E15" s="50">
        <f t="shared" si="2"/>
        <v>2.2560632245833823E-3</v>
      </c>
      <c r="F15" s="50">
        <f t="shared" si="2"/>
        <v>3.5353878802085181E-2</v>
      </c>
      <c r="G15" s="50">
        <f t="shared" si="2"/>
        <v>3.7972939617276547E-2</v>
      </c>
      <c r="H15" s="50">
        <f t="shared" si="2"/>
        <v>5.0677692303128241E-2</v>
      </c>
      <c r="I15" s="50">
        <f t="shared" si="2"/>
        <v>6.0594905696260914E-2</v>
      </c>
      <c r="J15" s="50">
        <f t="shared" si="2"/>
        <v>5.5094905696260965E-2</v>
      </c>
      <c r="K15" s="50">
        <f t="shared" si="2"/>
        <v>4.346840207193492E-2</v>
      </c>
      <c r="L15" s="50">
        <f t="shared" si="2"/>
        <v>4.7926018834313466E-2</v>
      </c>
      <c r="M15" s="50">
        <f t="shared" si="2"/>
        <v>4.7926018834313466E-2</v>
      </c>
      <c r="N15" s="50">
        <f t="shared" si="2"/>
        <v>4.7926018834313466E-2</v>
      </c>
      <c r="O15" s="50">
        <f t="shared" si="2"/>
        <v>4.7926018834313466E-2</v>
      </c>
      <c r="P15" s="50">
        <f>P13-P11</f>
        <v>4.0155442014782272E-2</v>
      </c>
      <c r="Q15" s="73">
        <f>Q13-Q11</f>
        <v>0.49740389417486952</v>
      </c>
      <c r="T15" t="str">
        <f>R41</f>
        <v>BOX 3K Full 2.0</v>
      </c>
      <c r="U15" t="s">
        <v>538</v>
      </c>
      <c r="V15" s="145">
        <f>P48*V2/V1</f>
        <v>1.9496518165228531</v>
      </c>
      <c r="W15" t="s">
        <v>539</v>
      </c>
    </row>
    <row r="16" spans="1:23">
      <c r="A16" s="74"/>
      <c r="B16" s="74"/>
      <c r="C16" s="75"/>
      <c r="D16" s="75"/>
      <c r="E16" s="75"/>
      <c r="F16" s="75"/>
      <c r="G16" s="75"/>
      <c r="H16" s="75"/>
      <c r="I16" s="75"/>
      <c r="J16" s="75"/>
      <c r="K16" s="75"/>
      <c r="L16" s="75"/>
      <c r="M16" s="75"/>
      <c r="N16" s="75"/>
      <c r="O16" s="75"/>
      <c r="P16" s="75"/>
      <c r="Q16" s="71"/>
    </row>
    <row r="17" spans="1:23">
      <c r="A17" s="56"/>
      <c r="B17" s="56"/>
      <c r="C17" s="57"/>
      <c r="D17" s="57"/>
      <c r="E17" s="57"/>
      <c r="F17" s="57"/>
      <c r="G17" s="57"/>
      <c r="H17" s="57"/>
      <c r="I17" s="57"/>
      <c r="J17" s="57"/>
      <c r="K17" s="57"/>
      <c r="L17" s="57"/>
      <c r="M17" s="57"/>
      <c r="N17" s="57"/>
      <c r="O17" s="57"/>
      <c r="P17" s="57"/>
      <c r="T17" t="str">
        <f>R67</f>
        <v>BOX 5K Full 2.0</v>
      </c>
      <c r="U17" t="s">
        <v>540</v>
      </c>
      <c r="V17" s="142">
        <f>P67*V2/V1</f>
        <v>2.1389592166270708</v>
      </c>
      <c r="W17" t="s">
        <v>536</v>
      </c>
    </row>
    <row r="18" spans="1:23">
      <c r="A18" s="56"/>
      <c r="B18" s="56"/>
      <c r="C18" s="57"/>
      <c r="D18" s="57"/>
      <c r="E18" s="57"/>
      <c r="F18" s="57"/>
      <c r="G18" s="57"/>
      <c r="H18" s="57"/>
      <c r="I18" s="57"/>
      <c r="J18" s="57"/>
      <c r="K18" s="57"/>
      <c r="L18" s="57"/>
      <c r="M18" s="57"/>
      <c r="N18" s="57"/>
      <c r="O18" s="57"/>
      <c r="P18" s="57"/>
    </row>
    <row r="19" spans="1:23">
      <c r="A19" s="71"/>
      <c r="B19" s="71"/>
      <c r="C19" s="71"/>
      <c r="D19" s="71"/>
      <c r="E19" s="71"/>
      <c r="F19" s="71"/>
      <c r="G19" s="71"/>
      <c r="H19" s="71"/>
      <c r="I19" s="71"/>
      <c r="J19" s="71"/>
      <c r="K19" s="71"/>
      <c r="L19" s="71"/>
      <c r="M19" s="71"/>
      <c r="N19" s="71"/>
      <c r="O19" s="71"/>
      <c r="P19" s="71"/>
      <c r="Q19" s="71"/>
      <c r="T19" t="str">
        <f>R86</f>
        <v>BOX 8K Full 2.0</v>
      </c>
      <c r="U19" t="s">
        <v>541</v>
      </c>
      <c r="V19" s="142">
        <f>P86*V2/V1</f>
        <v>2.3661538267597511</v>
      </c>
      <c r="W19" t="s">
        <v>539</v>
      </c>
    </row>
    <row r="20" spans="1:23">
      <c r="A20" s="52" t="s">
        <v>93</v>
      </c>
      <c r="B20" s="52"/>
      <c r="C20" s="52"/>
      <c r="D20" s="52"/>
      <c r="E20" s="52"/>
      <c r="F20" s="52"/>
      <c r="G20" s="52"/>
      <c r="H20" s="52"/>
      <c r="I20" s="52"/>
      <c r="J20" s="52"/>
      <c r="K20" s="52"/>
      <c r="L20" s="52"/>
      <c r="M20" s="52"/>
      <c r="N20" s="52"/>
      <c r="O20" s="52"/>
      <c r="P20" s="52"/>
      <c r="Q20" s="71"/>
    </row>
    <row r="21" spans="1:23">
      <c r="A21" s="80" t="s">
        <v>205</v>
      </c>
      <c r="B21" s="80"/>
      <c r="C21" s="80"/>
      <c r="D21" s="81">
        <v>45658</v>
      </c>
      <c r="E21" s="81">
        <v>45689</v>
      </c>
      <c r="F21" s="81">
        <v>45717</v>
      </c>
      <c r="G21" s="81">
        <v>45748</v>
      </c>
      <c r="H21" s="81">
        <v>45778</v>
      </c>
      <c r="I21" s="81">
        <v>45809</v>
      </c>
      <c r="J21" s="81">
        <v>45839</v>
      </c>
      <c r="K21" s="81">
        <v>45870</v>
      </c>
      <c r="L21" s="81">
        <v>45901</v>
      </c>
      <c r="M21" s="81">
        <v>45931</v>
      </c>
      <c r="N21" s="81">
        <v>45962</v>
      </c>
      <c r="O21" s="81">
        <v>45992</v>
      </c>
      <c r="P21" s="82" t="s">
        <v>206</v>
      </c>
      <c r="Q21" s="71"/>
      <c r="T21" t="str">
        <f>R105</f>
        <v>PEN 800 Default 2.0</v>
      </c>
      <c r="U21" t="s">
        <v>542</v>
      </c>
      <c r="V21" s="142">
        <f>P105*V2/V1</f>
        <v>0.91343688470745976</v>
      </c>
      <c r="W21" t="s">
        <v>536</v>
      </c>
    </row>
    <row r="22" spans="1:23">
      <c r="A22" s="1" t="s">
        <v>207</v>
      </c>
      <c r="B22" s="12" t="s">
        <v>4</v>
      </c>
      <c r="D22" s="3">
        <f>'[4]MoDi Vols'!AL82</f>
        <v>1.0302199999999992</v>
      </c>
      <c r="E22" s="3">
        <f>'[4]MoDi Vols'!AM82</f>
        <v>0.9184589999999998</v>
      </c>
      <c r="F22" s="3">
        <f>'[4]MoDi Vols'!AN82</f>
        <v>0.9660620000000002</v>
      </c>
      <c r="G22" s="3">
        <f>'[4]MoDi Vols'!AO82</f>
        <v>1.0926250000000002</v>
      </c>
      <c r="H22" s="3">
        <f>'[4]MoDi Vols'!AP82</f>
        <v>1.0631110000000004</v>
      </c>
      <c r="I22" s="3">
        <f>'[4]MoDi Vols'!AQ82</f>
        <v>0.9500470000000002</v>
      </c>
      <c r="J22" s="3">
        <f>'[4]MoDi Vols'!AR82</f>
        <v>1.467495</v>
      </c>
      <c r="K22" s="3">
        <f>'[4]MoDi Vols'!AS82</f>
        <v>1.174804</v>
      </c>
      <c r="L22" s="3">
        <f>'[4]MoDi Vols'!AT82</f>
        <v>1.1709940000000001</v>
      </c>
      <c r="M22" s="3">
        <f>'[4]MoDi Vols'!AU82</f>
        <v>1.0992850000000005</v>
      </c>
      <c r="N22" s="3">
        <f>'[4]MoDi Vols'!AV82</f>
        <v>1.036173</v>
      </c>
      <c r="O22" s="3">
        <f>'[4]MoDi Vols'!AW82</f>
        <v>1.3467549999999993</v>
      </c>
      <c r="P22" s="54">
        <f>SUM(D22:O22)</f>
        <v>13.31603</v>
      </c>
      <c r="Q22" s="71"/>
    </row>
    <row r="23" spans="1:23">
      <c r="A23" s="1"/>
      <c r="B23" s="64" t="s">
        <v>169</v>
      </c>
      <c r="C23" s="65"/>
      <c r="D23" s="66">
        <f>'[5]Volume Summary'!L251</f>
        <v>0.31451700000000016</v>
      </c>
      <c r="E23" s="66">
        <f>'[5]Volume Summary'!M251</f>
        <v>0.39050799999999986</v>
      </c>
      <c r="F23" s="66">
        <f>'[5]Volume Summary'!N251</f>
        <v>0.5941169999999999</v>
      </c>
      <c r="G23" s="66">
        <f>'[5]Volume Summary'!O251</f>
        <v>0.57055600000000006</v>
      </c>
      <c r="H23" s="66">
        <f>'[5]Volume Summary'!P251</f>
        <v>1.5908090000000006</v>
      </c>
      <c r="I23" s="66">
        <f>'[5]Volume Summary'!Q251</f>
        <v>0.56851099999999999</v>
      </c>
      <c r="J23" s="66">
        <f>'[5]Volume Summary'!R251</f>
        <v>0.44631600000000005</v>
      </c>
      <c r="K23" s="66">
        <f>'[5]Volume Summary'!S251</f>
        <v>0.45890600000000026</v>
      </c>
      <c r="L23" s="66">
        <f>'[5]Volume Summary'!T251</f>
        <v>0.48898599999999992</v>
      </c>
      <c r="M23" s="66">
        <f>'[5]Volume Summary'!U251</f>
        <v>0.68222199999999966</v>
      </c>
      <c r="N23" s="66">
        <f>'[5]Volume Summary'!V251</f>
        <v>0.65873100000000018</v>
      </c>
      <c r="O23" s="66">
        <f>'[5]Volume Summary'!W251</f>
        <v>1.2093939999999999</v>
      </c>
      <c r="P23" s="67">
        <f>SUM(D23:O23)</f>
        <v>7.973573</v>
      </c>
      <c r="Q23" s="71"/>
      <c r="R23" t="s">
        <v>93</v>
      </c>
      <c r="T23" t="str">
        <f>R124</f>
        <v>PEN 800 Full 2.0</v>
      </c>
      <c r="U23" t="s">
        <v>543</v>
      </c>
      <c r="V23" s="142">
        <f>P124*V2/V1</f>
        <v>1.2831587963367574</v>
      </c>
      <c r="W23" t="s">
        <v>536</v>
      </c>
    </row>
    <row r="24" spans="1:23">
      <c r="Q24" s="71"/>
    </row>
    <row r="25" spans="1:23">
      <c r="A25" s="36" t="s">
        <v>209</v>
      </c>
      <c r="B25" s="37"/>
      <c r="C25" s="39">
        <v>45566</v>
      </c>
      <c r="D25" s="39">
        <v>45597</v>
      </c>
      <c r="E25" s="39">
        <v>45627</v>
      </c>
      <c r="F25" s="39">
        <v>45658</v>
      </c>
      <c r="G25" s="39">
        <v>45689</v>
      </c>
      <c r="H25" s="39">
        <v>45717</v>
      </c>
      <c r="I25" s="39">
        <v>45748</v>
      </c>
      <c r="J25" s="39">
        <v>45778</v>
      </c>
      <c r="K25" s="39">
        <v>45809</v>
      </c>
      <c r="L25" s="39">
        <v>45839</v>
      </c>
      <c r="M25" s="39">
        <v>45870</v>
      </c>
      <c r="N25" s="39">
        <v>45901</v>
      </c>
      <c r="O25" s="39">
        <v>45931</v>
      </c>
      <c r="P25" s="37"/>
      <c r="Q25" s="71"/>
    </row>
    <row r="26" spans="1:23">
      <c r="A26" s="8" t="s">
        <v>210</v>
      </c>
      <c r="B26" s="12" t="s">
        <v>4</v>
      </c>
      <c r="D26" s="9">
        <f>SUMIFS('MoDi Initiatives'!L:L,'MoDi Initiatives'!$A:$A,MoDi!$A$20,'MoDi Initiatives'!$B:$B,MoDi!$B26)</f>
        <v>2.5538532404628875E-2</v>
      </c>
      <c r="E26" s="9">
        <f>SUMIFS('MoDi Initiatives'!M:M,'MoDi Initiatives'!$A:$A,MoDi!$A$20,'MoDi Initiatives'!$B:$B,MoDi!$B26)</f>
        <v>-9.7544595697741081E-3</v>
      </c>
      <c r="F26" s="9">
        <f>SUMIFS('MoDi Initiatives'!N:N,'MoDi Initiatives'!$A:$A,MoDi!$A$20,'MoDi Initiatives'!$B:$B,MoDi!$B26)</f>
        <v>-3.0651669866728133E-2</v>
      </c>
      <c r="G26" s="9">
        <f>SUMIFS('MoDi Initiatives'!O:O,'MoDi Initiatives'!$A:$A,MoDi!$A$20,'MoDi Initiatives'!$B:$B,MoDi!$B26)</f>
        <v>-1.9508919139548195E-2</v>
      </c>
      <c r="H26" s="9">
        <f>SUMIFS('MoDi Initiatives'!P:P,'MoDi Initiatives'!$A:$A,MoDi!$A$20,'MoDi Initiatives'!$B:$B,MoDi!$B26)</f>
        <v>-4.7903234925101172E-2</v>
      </c>
      <c r="I26" s="9">
        <f>SUMIFS('MoDi Initiatives'!Q:Q,'MoDi Initiatives'!$A:$A,MoDi!$A$20,'MoDi Initiatives'!$B:$B,MoDi!$B26)</f>
        <v>0</v>
      </c>
      <c r="J26" s="9">
        <f>SUMIFS('MoDi Initiatives'!R:R,'MoDi Initiatives'!$A:$A,MoDi!$A$20,'MoDi Initiatives'!$B:$B,MoDi!$B26)</f>
        <v>-7.664517588016187E-3</v>
      </c>
      <c r="K26" s="9">
        <f>SUMIFS('MoDi Initiatives'!S:S,'MoDi Initiatives'!$A:$A,MoDi!$A$20,'MoDi Initiatives'!$B:$B,MoDi!$B26)</f>
        <v>0</v>
      </c>
      <c r="L26" s="9">
        <f>SUMIFS('MoDi Initiatives'!T:T,'MoDi Initiatives'!$A:$A,MoDi!$A$20,'MoDi Initiatives'!$B:$B,MoDi!$B26)</f>
        <v>-6.8495086836548981E-3</v>
      </c>
      <c r="M26" s="9">
        <f>SUMIFS('MoDi Initiatives'!U:U,'MoDi Initiatives'!$A:$A,MoDi!$A$20,'MoDi Initiatives'!$B:$B,MoDi!$B26)</f>
        <v>0</v>
      </c>
      <c r="N26" s="9">
        <f>SUMIFS('MoDi Initiatives'!V:V,'MoDi Initiatives'!$A:$A,MoDi!$A$20,'MoDi Initiatives'!$B:$B,MoDi!$B26)</f>
        <v>0</v>
      </c>
      <c r="O26" s="9">
        <f>SUMIFS('MoDi Initiatives'!W:W,'MoDi Initiatives'!$A:$A,MoDi!$A$20,'MoDi Initiatives'!$B:$B,MoDi!$B26)</f>
        <v>0</v>
      </c>
      <c r="Q26" s="71"/>
    </row>
    <row r="27" spans="1:23">
      <c r="A27" s="8" t="s">
        <v>210</v>
      </c>
      <c r="B27" s="13" t="s">
        <v>5</v>
      </c>
      <c r="D27" s="9">
        <f>SUMIFS('MoDi Initiatives'!L:L,'MoDi Initiatives'!$A:$A,MoDi!$A$20,'MoDi Initiatives'!$B:$B,MoDi!$B27)</f>
        <v>0</v>
      </c>
      <c r="E27" s="9">
        <f>SUMIFS('MoDi Initiatives'!M:M,'MoDi Initiatives'!$A:$A,MoDi!$A$20,'MoDi Initiatives'!$B:$B,MoDi!$B27)</f>
        <v>-8.5719634289570211E-3</v>
      </c>
      <c r="F27" s="9">
        <f>SUMIFS('MoDi Initiatives'!N:N,'MoDi Initiatives'!$A:$A,MoDi!$A$20,'MoDi Initiatives'!$B:$B,MoDi!$B27)</f>
        <v>-1.8770393596690329E-2</v>
      </c>
      <c r="G27" s="9">
        <f>SUMIFS('MoDi Initiatives'!O:O,'MoDi Initiatives'!$A:$A,MoDi!$A$20,'MoDi Initiatives'!$B:$B,MoDi!$B27)</f>
        <v>-1.8698017917711782E-2</v>
      </c>
      <c r="H27" s="9">
        <f>SUMIFS('MoDi Initiatives'!P:P,'MoDi Initiatives'!$A:$A,MoDi!$A$20,'MoDi Initiatives'!$B:$B,MoDi!$B27)</f>
        <v>-1.8558104879930776E-3</v>
      </c>
      <c r="I27" s="9">
        <f>SUMIFS('MoDi Initiatives'!Q:Q,'MoDi Initiatives'!$A:$A,MoDi!$A$20,'MoDi Initiatives'!$B:$B,MoDi!$B27)</f>
        <v>1.8449794159424427E-2</v>
      </c>
      <c r="J27" s="9">
        <f>SUMIFS('MoDi Initiatives'!R:R,'MoDi Initiatives'!$A:$A,MoDi!$A$20,'MoDi Initiatives'!$B:$B,MoDi!$B27)</f>
        <v>-1.2964517588016186E-2</v>
      </c>
      <c r="K27" s="9">
        <f>SUMIFS('MoDi Initiatives'!S:S,'MoDi Initiatives'!$A:$A,MoDi!$A$20,'MoDi Initiatives'!$B:$B,MoDi!$B27)</f>
        <v>-2.0910272645794294E-2</v>
      </c>
      <c r="L27" s="9">
        <f>SUMIFS('MoDi Initiatives'!T:T,'MoDi Initiatives'!$A:$A,MoDi!$A$20,'MoDi Initiatives'!$B:$B,MoDi!$B27)</f>
        <v>-2.3918919212763136E-3</v>
      </c>
      <c r="M27" s="9">
        <f>SUMIFS('MoDi Initiatives'!U:U,'MoDi Initiatives'!$A:$A,MoDi!$A$20,'MoDi Initiatives'!$B:$B,MoDi!$B27)</f>
        <v>0</v>
      </c>
      <c r="N27" s="9">
        <f>SUMIFS('MoDi Initiatives'!V:V,'MoDi Initiatives'!$A:$A,MoDi!$A$20,'MoDi Initiatives'!$B:$B,MoDi!$B27)</f>
        <v>0</v>
      </c>
      <c r="O27" s="9">
        <f>SUMIFS('MoDi Initiatives'!W:W,'MoDi Initiatives'!$A:$A,MoDi!$A$20,'MoDi Initiatives'!$B:$B,MoDi!$B27)</f>
        <v>0</v>
      </c>
      <c r="Q27" s="71"/>
    </row>
    <row r="28" spans="1:23">
      <c r="A28" s="36" t="s">
        <v>213</v>
      </c>
      <c r="B28" s="37"/>
      <c r="C28" s="37"/>
      <c r="D28" s="37"/>
      <c r="E28" s="37"/>
      <c r="F28" s="37"/>
      <c r="G28" s="37"/>
      <c r="H28" s="37"/>
      <c r="I28" s="37"/>
      <c r="J28" s="37"/>
      <c r="K28" s="37"/>
      <c r="L28" s="37"/>
      <c r="M28" s="37"/>
      <c r="N28" s="37"/>
      <c r="O28" s="37"/>
      <c r="P28" s="16" t="s">
        <v>214</v>
      </c>
      <c r="Q28" s="62" t="s">
        <v>215</v>
      </c>
    </row>
    <row r="29" spans="1:23">
      <c r="A29" s="1"/>
      <c r="B29" s="12" t="s">
        <v>4</v>
      </c>
      <c r="C29" s="20">
        <f>'[4]MoDi Pricing'!$AE$397</f>
        <v>1.4156305354853806</v>
      </c>
      <c r="D29" s="9">
        <f>C29+D26</f>
        <v>1.4411690678900095</v>
      </c>
      <c r="E29" s="9">
        <f t="shared" ref="E29:O29" si="3">D29+E26</f>
        <v>1.4314146083202355</v>
      </c>
      <c r="F29" s="9">
        <f t="shared" si="3"/>
        <v>1.4007629384535074</v>
      </c>
      <c r="G29" s="9">
        <f t="shared" si="3"/>
        <v>1.3812540193139593</v>
      </c>
      <c r="H29" s="9">
        <f t="shared" si="3"/>
        <v>1.3333507843888581</v>
      </c>
      <c r="I29" s="9">
        <f t="shared" si="3"/>
        <v>1.3333507843888581</v>
      </c>
      <c r="J29" s="9">
        <f t="shared" si="3"/>
        <v>1.325686266800842</v>
      </c>
      <c r="K29" s="9">
        <f t="shared" si="3"/>
        <v>1.325686266800842</v>
      </c>
      <c r="L29" s="9">
        <f t="shared" si="3"/>
        <v>1.3188367581171871</v>
      </c>
      <c r="M29" s="9">
        <f t="shared" si="3"/>
        <v>1.3188367581171871</v>
      </c>
      <c r="N29" s="9">
        <f t="shared" si="3"/>
        <v>1.3188367581171871</v>
      </c>
      <c r="O29" s="9">
        <f t="shared" si="3"/>
        <v>1.3188367581171871</v>
      </c>
      <c r="P29" s="20">
        <f>SUMPRODUCT(D29:O29,$D$22:$O$22)/$P$22</f>
        <v>1.3506847818587471</v>
      </c>
      <c r="Q29" s="78">
        <f>P29*$P$22</f>
        <v>17.985759075774531</v>
      </c>
      <c r="R29" t="s">
        <v>93</v>
      </c>
    </row>
    <row r="30" spans="1:23" ht="9" customHeight="1">
      <c r="B30" s="14"/>
      <c r="C30" s="5">
        <f>C29-'[4]MoDi Pricing'!AE397</f>
        <v>0</v>
      </c>
      <c r="D30" s="5">
        <f>D29-'[4]MoDi Pricing'!AF397</f>
        <v>0</v>
      </c>
      <c r="E30" s="5">
        <f>E29-'[4]MoDi Pricing'!AG397</f>
        <v>0</v>
      </c>
      <c r="F30" s="5">
        <f>F29-'[4]MoDi Pricing'!AH397</f>
        <v>0</v>
      </c>
      <c r="G30" s="5">
        <f>G29-'[4]MoDi Pricing'!AI397</f>
        <v>0</v>
      </c>
      <c r="H30" s="5">
        <f>H29-'[4]MoDi Pricing'!AJ397</f>
        <v>0</v>
      </c>
      <c r="I30" s="5">
        <f>I29-'[4]MoDi Pricing'!AK397</f>
        <v>0</v>
      </c>
      <c r="J30" s="5">
        <f>J29-'[4]MoDi Pricing'!AL397</f>
        <v>0</v>
      </c>
      <c r="K30" s="5">
        <f>K29-'[4]MoDi Pricing'!AM397</f>
        <v>0</v>
      </c>
      <c r="L30" s="5">
        <f>L29-'[4]MoDi Pricing'!AN397</f>
        <v>0</v>
      </c>
      <c r="M30" s="5">
        <f>M29-'[4]MoDi Pricing'!AO397</f>
        <v>0</v>
      </c>
      <c r="N30" s="5">
        <f>N29-'[4]MoDi Pricing'!AP397</f>
        <v>0</v>
      </c>
      <c r="O30" s="5">
        <f>O29-'[4]MoDi Pricing'!AQ397</f>
        <v>0</v>
      </c>
      <c r="Q30" s="71"/>
    </row>
    <row r="31" spans="1:23">
      <c r="A31" s="1"/>
      <c r="B31" s="13" t="s">
        <v>5</v>
      </c>
      <c r="C31" s="20">
        <f>'[6]MoDi Pricing'!$AE$416</f>
        <v>1.4298321335598072</v>
      </c>
      <c r="D31" s="9">
        <f>C31+D27</f>
        <v>1.4298321335598072</v>
      </c>
      <c r="E31" s="9">
        <f t="shared" ref="E31:N31" si="4">D31+E27</f>
        <v>1.4212601701308503</v>
      </c>
      <c r="F31" s="9">
        <f t="shared" si="4"/>
        <v>1.40248977653416</v>
      </c>
      <c r="G31" s="9">
        <f t="shared" si="4"/>
        <v>1.3837917586164481</v>
      </c>
      <c r="H31" s="9">
        <f t="shared" si="4"/>
        <v>1.381935948128455</v>
      </c>
      <c r="I31" s="9">
        <f t="shared" si="4"/>
        <v>1.4003857422878794</v>
      </c>
      <c r="J31" s="9">
        <f t="shared" si="4"/>
        <v>1.3874212246998632</v>
      </c>
      <c r="K31" s="9">
        <f t="shared" si="4"/>
        <v>1.3665109520540688</v>
      </c>
      <c r="L31" s="9">
        <f t="shared" si="4"/>
        <v>1.3641190601327924</v>
      </c>
      <c r="M31" s="9">
        <f t="shared" si="4"/>
        <v>1.3641190601327924</v>
      </c>
      <c r="N31" s="9">
        <f t="shared" si="4"/>
        <v>1.3641190601327924</v>
      </c>
      <c r="O31" s="9">
        <f>N31+O27</f>
        <v>1.3641190601327924</v>
      </c>
      <c r="P31" s="20">
        <f>SUMPRODUCT(D31:O31,$D$22:$O$22)/$P$22</f>
        <v>1.3843312599285209</v>
      </c>
      <c r="Q31" s="78">
        <f>P31*$P$22</f>
        <v>18.433796587145981</v>
      </c>
      <c r="R31" t="s">
        <v>93</v>
      </c>
    </row>
    <row r="32" spans="1:23" ht="10" customHeight="1">
      <c r="C32" s="5">
        <f>C31-'[5]CoGS Tracker MoDi'!O108</f>
        <v>0</v>
      </c>
      <c r="D32" s="5">
        <f>D31-'[5]CoGS Tracker MoDi'!P108</f>
        <v>0</v>
      </c>
      <c r="E32" s="5">
        <f>E31-'[5]CoGS Tracker MoDi'!Q108</f>
        <v>0</v>
      </c>
      <c r="F32" s="5">
        <f>F31-'[5]CoGS Tracker MoDi'!R108</f>
        <v>0</v>
      </c>
      <c r="G32" s="5">
        <f>G31-'[5]CoGS Tracker MoDi'!S108</f>
        <v>0</v>
      </c>
      <c r="H32" s="5">
        <f>H31-'[5]CoGS Tracker MoDi'!T108</f>
        <v>1.2293646506233991E-4</v>
      </c>
      <c r="I32" s="123">
        <f>I31-'[5]CoGS Tracker MoDi'!U108</f>
        <v>1.2293646506233991E-4</v>
      </c>
      <c r="J32" s="5">
        <f>J31-'[5]CoGS Tracker MoDi'!V108</f>
        <v>-3.8770635349376636E-3</v>
      </c>
      <c r="K32" s="5">
        <f>K31-'[5]CoGS Tracker MoDi'!W108</f>
        <v>-3.8770635349378857E-3</v>
      </c>
      <c r="L32" s="5">
        <f>L31-'[5]CoGS Tracker MoDi'!X108</f>
        <v>-3.8770635349378857E-3</v>
      </c>
      <c r="M32" s="5">
        <f>M31-'[5]CoGS Tracker MoDi'!Y108</f>
        <v>-3.8770635349378857E-3</v>
      </c>
      <c r="N32" s="5">
        <f>N31-'[5]CoGS Tracker MoDi'!Z108</f>
        <v>-3.8770635349378857E-3</v>
      </c>
      <c r="O32" s="5">
        <f>O31-'[5]CoGS Tracker MoDi'!AA108</f>
        <v>-3.8770635349378857E-3</v>
      </c>
      <c r="Q32" s="71"/>
    </row>
    <row r="33" spans="1:18">
      <c r="A33" s="49"/>
      <c r="B33" s="49" t="s">
        <v>221</v>
      </c>
      <c r="C33" s="50">
        <f>C31-C29</f>
        <v>1.4201598074426558E-2</v>
      </c>
      <c r="D33" s="50">
        <f t="shared" ref="D33:N33" si="5">D31-D29</f>
        <v>-1.1336934330202331E-2</v>
      </c>
      <c r="E33" s="50">
        <f t="shared" si="5"/>
        <v>-1.0154438189385218E-2</v>
      </c>
      <c r="F33" s="50">
        <f t="shared" si="5"/>
        <v>1.7268380806525485E-3</v>
      </c>
      <c r="G33" s="50">
        <f t="shared" si="5"/>
        <v>2.5377393024887951E-3</v>
      </c>
      <c r="H33" s="50">
        <f t="shared" si="5"/>
        <v>4.8585163739596871E-2</v>
      </c>
      <c r="I33" s="50">
        <f t="shared" si="5"/>
        <v>6.7034957899021252E-2</v>
      </c>
      <c r="J33" s="50">
        <f t="shared" si="5"/>
        <v>6.173495789902117E-2</v>
      </c>
      <c r="K33" s="50">
        <f t="shared" si="5"/>
        <v>4.08246852532268E-2</v>
      </c>
      <c r="L33" s="50">
        <f t="shared" si="5"/>
        <v>4.5282302015605236E-2</v>
      </c>
      <c r="M33" s="50">
        <f t="shared" si="5"/>
        <v>4.5282302015605236E-2</v>
      </c>
      <c r="N33" s="50">
        <f t="shared" si="5"/>
        <v>4.5282302015605236E-2</v>
      </c>
      <c r="O33" s="50">
        <f>O31-O29</f>
        <v>4.5282302015605236E-2</v>
      </c>
      <c r="P33" s="50">
        <f>P31-P29</f>
        <v>3.3646478069773833E-2</v>
      </c>
      <c r="Q33" s="73">
        <f>Q31-Q29</f>
        <v>0.44803751137144943</v>
      </c>
    </row>
    <row r="34" spans="1:18">
      <c r="A34" s="74"/>
      <c r="B34" s="74"/>
      <c r="C34" s="75"/>
      <c r="D34" s="75"/>
      <c r="E34" s="75"/>
      <c r="F34" s="75"/>
      <c r="G34" s="75"/>
      <c r="H34" s="75"/>
      <c r="I34" s="75"/>
      <c r="J34" s="75"/>
      <c r="K34" s="75"/>
      <c r="L34" s="75"/>
      <c r="M34" s="75"/>
      <c r="N34" s="75"/>
      <c r="O34" s="75"/>
      <c r="P34" s="75"/>
      <c r="Q34" s="71"/>
    </row>
    <row r="35" spans="1:18">
      <c r="A35" s="56"/>
      <c r="B35" s="56"/>
      <c r="C35" s="57"/>
      <c r="D35" s="57"/>
      <c r="E35" s="57"/>
      <c r="F35" s="57"/>
      <c r="G35" s="57"/>
      <c r="H35" s="57"/>
      <c r="I35" s="57"/>
      <c r="J35" s="57"/>
      <c r="K35" s="57"/>
      <c r="L35" s="57"/>
      <c r="M35" s="57"/>
      <c r="N35" s="57"/>
      <c r="O35" s="57"/>
      <c r="P35" s="57"/>
    </row>
    <row r="36" spans="1:18">
      <c r="A36" s="56"/>
      <c r="B36" s="56"/>
      <c r="C36" s="57"/>
      <c r="D36" s="57"/>
      <c r="E36" s="57"/>
      <c r="F36" s="57"/>
      <c r="G36" s="57"/>
      <c r="H36" s="57"/>
      <c r="I36" s="57"/>
      <c r="J36" s="57"/>
      <c r="K36" s="57"/>
      <c r="L36" s="57"/>
      <c r="M36" s="57"/>
      <c r="N36" s="57"/>
      <c r="O36" s="57"/>
      <c r="P36" s="57"/>
    </row>
    <row r="37" spans="1:18">
      <c r="A37" s="71"/>
      <c r="B37" s="71"/>
      <c r="C37" s="71"/>
      <c r="D37" s="71"/>
      <c r="E37" s="71"/>
      <c r="F37" s="71"/>
      <c r="G37" s="71"/>
      <c r="H37" s="71"/>
      <c r="I37" s="71"/>
      <c r="J37" s="71"/>
      <c r="K37" s="71"/>
      <c r="L37" s="71"/>
      <c r="M37" s="71"/>
      <c r="N37" s="71"/>
      <c r="O37" s="71"/>
      <c r="P37" s="71"/>
      <c r="Q37" s="71"/>
    </row>
    <row r="38" spans="1:18">
      <c r="A38" s="52" t="s">
        <v>107</v>
      </c>
      <c r="B38" s="52"/>
      <c r="C38" s="52"/>
      <c r="D38" s="52"/>
      <c r="E38" s="52"/>
      <c r="F38" s="52"/>
      <c r="G38" s="52"/>
      <c r="H38" s="52"/>
      <c r="I38" s="52"/>
      <c r="J38" s="52"/>
      <c r="K38" s="52"/>
      <c r="L38" s="52"/>
      <c r="M38" s="52"/>
      <c r="N38" s="52"/>
      <c r="O38" s="52"/>
      <c r="P38" s="52"/>
      <c r="Q38" s="71"/>
    </row>
    <row r="39" spans="1:18">
      <c r="A39" s="80" t="s">
        <v>205</v>
      </c>
      <c r="B39" s="59"/>
      <c r="C39" s="59"/>
      <c r="D39" s="81">
        <v>45658</v>
      </c>
      <c r="E39" s="81">
        <v>45689</v>
      </c>
      <c r="F39" s="81">
        <v>45717</v>
      </c>
      <c r="G39" s="81">
        <v>45748</v>
      </c>
      <c r="H39" s="81">
        <v>45778</v>
      </c>
      <c r="I39" s="81">
        <v>45809</v>
      </c>
      <c r="J39" s="81">
        <v>45839</v>
      </c>
      <c r="K39" s="81">
        <v>45870</v>
      </c>
      <c r="L39" s="81">
        <v>45901</v>
      </c>
      <c r="M39" s="81">
        <v>45931</v>
      </c>
      <c r="N39" s="81">
        <v>45962</v>
      </c>
      <c r="O39" s="81">
        <v>45992</v>
      </c>
      <c r="P39" s="61" t="s">
        <v>206</v>
      </c>
      <c r="Q39" s="71"/>
    </row>
    <row r="40" spans="1:18">
      <c r="A40" s="1" t="s">
        <v>207</v>
      </c>
      <c r="B40" s="12" t="s">
        <v>4</v>
      </c>
      <c r="D40" s="3">
        <f>'[4]MoDi Vols'!AL83</f>
        <v>0.94924300000000006</v>
      </c>
      <c r="E40" s="3">
        <f>'[4]MoDi Vols'!AM83</f>
        <v>0.45827600000000002</v>
      </c>
      <c r="F40" s="3">
        <f>'[4]MoDi Vols'!AN83</f>
        <v>0.52153900000000009</v>
      </c>
      <c r="G40" s="3">
        <f>'[4]MoDi Vols'!AO83</f>
        <v>0.58133899999999994</v>
      </c>
      <c r="H40" s="3">
        <f>'[4]MoDi Vols'!AP83</f>
        <v>0.70403199999999999</v>
      </c>
      <c r="I40" s="3">
        <f>'[4]MoDi Vols'!AQ83</f>
        <v>0.73518400000000006</v>
      </c>
      <c r="J40" s="3">
        <f>'[4]MoDi Vols'!AR83</f>
        <v>0.71868900000000002</v>
      </c>
      <c r="K40" s="3">
        <f>'[4]MoDi Vols'!AS83</f>
        <v>0.76750099999999999</v>
      </c>
      <c r="L40" s="3">
        <f>'[4]MoDi Vols'!AT83</f>
        <v>0.88818700000000017</v>
      </c>
      <c r="M40" s="3">
        <f>'[4]MoDi Vols'!AU83</f>
        <v>0.871502</v>
      </c>
      <c r="N40" s="3">
        <f>'[4]MoDi Vols'!AV83</f>
        <v>0.88181800000000021</v>
      </c>
      <c r="O40" s="3">
        <f>'[4]MoDi Vols'!AW83</f>
        <v>1.1267580000000001</v>
      </c>
      <c r="P40" s="54">
        <f>SUM(D40:O40)</f>
        <v>9.204068000000003</v>
      </c>
      <c r="Q40" s="71"/>
    </row>
    <row r="41" spans="1:18">
      <c r="A41" s="1"/>
      <c r="B41" s="64" t="s">
        <v>169</v>
      </c>
      <c r="C41" s="65"/>
      <c r="D41" s="66">
        <f>'[5]Volume Summary'!L252</f>
        <v>3.2609000000000006E-2</v>
      </c>
      <c r="E41" s="66">
        <f>'[5]Volume Summary'!M252</f>
        <v>7.6067999999999997E-2</v>
      </c>
      <c r="F41" s="66">
        <f>'[5]Volume Summary'!N252</f>
        <v>0.11441300000000001</v>
      </c>
      <c r="G41" s="66">
        <f>'[5]Volume Summary'!O252</f>
        <v>0.19633200000000001</v>
      </c>
      <c r="H41" s="66">
        <f>'[5]Volume Summary'!P252</f>
        <v>0.23711599999999999</v>
      </c>
      <c r="I41" s="66">
        <f>'[5]Volume Summary'!Q252</f>
        <v>0.269125</v>
      </c>
      <c r="J41" s="66">
        <f>'[5]Volume Summary'!R252</f>
        <v>0.23838399999999998</v>
      </c>
      <c r="K41" s="66">
        <f>'[5]Volume Summary'!S252</f>
        <v>0.322685</v>
      </c>
      <c r="L41" s="66">
        <f>'[5]Volume Summary'!T252</f>
        <v>0.29174200000000006</v>
      </c>
      <c r="M41" s="66">
        <f>'[5]Volume Summary'!U252</f>
        <v>0.35113099999999997</v>
      </c>
      <c r="N41" s="66">
        <f>'[5]Volume Summary'!V252</f>
        <v>0.36367799999999995</v>
      </c>
      <c r="O41" s="66">
        <f>'[5]Volume Summary'!W252</f>
        <v>0.40721399999999996</v>
      </c>
      <c r="P41" s="67">
        <f>SUM(D41:O41)</f>
        <v>2.9004969999999997</v>
      </c>
      <c r="Q41" s="71"/>
      <c r="R41" t="s">
        <v>107</v>
      </c>
    </row>
    <row r="42" spans="1:18">
      <c r="Q42" s="71"/>
    </row>
    <row r="43" spans="1:18">
      <c r="A43" s="36" t="s">
        <v>209</v>
      </c>
      <c r="B43" s="37"/>
      <c r="C43" s="39">
        <v>45566</v>
      </c>
      <c r="D43" s="39">
        <v>45597</v>
      </c>
      <c r="E43" s="39">
        <v>45627</v>
      </c>
      <c r="F43" s="39">
        <v>45658</v>
      </c>
      <c r="G43" s="39">
        <v>45689</v>
      </c>
      <c r="H43" s="39">
        <v>45717</v>
      </c>
      <c r="I43" s="39">
        <v>45748</v>
      </c>
      <c r="J43" s="39">
        <v>45778</v>
      </c>
      <c r="K43" s="39">
        <v>45809</v>
      </c>
      <c r="L43" s="39">
        <v>45839</v>
      </c>
      <c r="M43" s="39">
        <v>45870</v>
      </c>
      <c r="N43" s="39">
        <v>45901</v>
      </c>
      <c r="O43" s="39">
        <v>45931</v>
      </c>
      <c r="P43" s="37"/>
      <c r="Q43" s="71"/>
    </row>
    <row r="44" spans="1:18">
      <c r="A44" s="8" t="s">
        <v>210</v>
      </c>
      <c r="B44" s="12" t="s">
        <v>4</v>
      </c>
      <c r="D44" s="9">
        <f>SUMIFS('MoDi Initiatives'!L:L,'MoDi Initiatives'!$A:$A,MoDi!$A$38,'MoDi Initiatives'!$B:$B,MoDi!$B44)</f>
        <v>0</v>
      </c>
      <c r="E44" s="9">
        <f>SUMIFS('MoDi Initiatives'!M:M,'MoDi Initiatives'!$A:$A,MoDi!$A$38,'MoDi Initiatives'!$B:$B,MoDi!$B44)</f>
        <v>-0.12068181966439584</v>
      </c>
      <c r="F44" s="9">
        <f>SUMIFS('MoDi Initiatives'!N:N,'MoDi Initiatives'!$A:$A,MoDi!$A$38,'MoDi Initiatives'!$B:$B,MoDi!$B44)</f>
        <v>-0.1254897018180553</v>
      </c>
      <c r="G44" s="9">
        <f>SUMIFS('MoDi Initiatives'!O:O,'MoDi Initiatives'!$A:$A,MoDi!$A$38,'MoDi Initiatives'!$B:$B,MoDi!$B44)</f>
        <v>0</v>
      </c>
      <c r="H44" s="9">
        <f>SUMIFS('MoDi Initiatives'!P:P,'MoDi Initiatives'!$A:$A,MoDi!$A$38,'MoDi Initiatives'!$B:$B,MoDi!$B44)</f>
        <v>0</v>
      </c>
      <c r="I44" s="9">
        <f>SUMIFS('MoDi Initiatives'!Q:Q,'MoDi Initiatives'!$A:$A,MoDi!$A$38,'MoDi Initiatives'!$B:$B,MoDi!$B44)</f>
        <v>0</v>
      </c>
      <c r="J44" s="9">
        <f>SUMIFS('MoDi Initiatives'!R:R,'MoDi Initiatives'!$A:$A,MoDi!$A$38,'MoDi Initiatives'!$B:$B,MoDi!$B44)</f>
        <v>-7.664517588016187E-3</v>
      </c>
      <c r="K44" s="9">
        <f>SUMIFS('MoDi Initiatives'!S:S,'MoDi Initiatives'!$A:$A,MoDi!$A$38,'MoDi Initiatives'!$B:$B,MoDi!$B44)</f>
        <v>0</v>
      </c>
      <c r="L44" s="9">
        <f>SUMIFS('MoDi Initiatives'!T:T,'MoDi Initiatives'!$A:$A,MoDi!$A$38,'MoDi Initiatives'!$B:$B,MoDi!$B44)</f>
        <v>-6.7049079447777391E-3</v>
      </c>
      <c r="M44" s="9">
        <f>SUMIFS('MoDi Initiatives'!U:U,'MoDi Initiatives'!$A:$A,MoDi!$A$38,'MoDi Initiatives'!$B:$B,MoDi!$B44)</f>
        <v>0</v>
      </c>
      <c r="N44" s="9">
        <f>SUMIFS('MoDi Initiatives'!V:V,'MoDi Initiatives'!$A:$A,MoDi!$A$38,'MoDi Initiatives'!$B:$B,MoDi!$B44)</f>
        <v>0</v>
      </c>
      <c r="O44" s="9">
        <f>SUMIFS('MoDi Initiatives'!W:W,'MoDi Initiatives'!$A:$A,MoDi!$A$38,'MoDi Initiatives'!$B:$B,MoDi!$B44)</f>
        <v>0</v>
      </c>
      <c r="Q44" s="71"/>
    </row>
    <row r="45" spans="1:18">
      <c r="A45" s="8" t="s">
        <v>210</v>
      </c>
      <c r="B45" s="13" t="s">
        <v>5</v>
      </c>
      <c r="D45" s="9">
        <f>SUMIFS('MoDi Initiatives'!L:L,'MoDi Initiatives'!$A:$A,MoDi!$A$38,'MoDi Initiatives'!$B:$B,MoDi!$B45)</f>
        <v>0</v>
      </c>
      <c r="E45" s="9">
        <f>SUMIFS('MoDi Initiatives'!M:M,'MoDi Initiatives'!$A:$A,MoDi!$A$38,'MoDi Initiatives'!$B:$B,MoDi!$B45)</f>
        <v>-1.7006324359274568E-2</v>
      </c>
      <c r="F45" s="9">
        <f>SUMIFS('MoDi Initiatives'!N:N,'MoDi Initiatives'!$A:$A,MoDi!$A$38,'MoDi Initiatives'!$B:$B,MoDi!$B45)</f>
        <v>-2.2564965489085716E-2</v>
      </c>
      <c r="G45" s="9">
        <f>SUMIFS('MoDi Initiatives'!O:O,'MoDi Initiatives'!$A:$A,MoDi!$A$38,'MoDi Initiatives'!$B:$B,MoDi!$B45)</f>
        <v>-1.9229189326425828E-2</v>
      </c>
      <c r="H45" s="9">
        <f>SUMIFS('MoDi Initiatives'!P:P,'MoDi Initiatives'!$A:$A,MoDi!$A$38,'MoDi Initiatives'!$B:$B,MoDi!$B45)</f>
        <v>-4.3686164689747953E-3</v>
      </c>
      <c r="I45" s="9">
        <f>SUMIFS('MoDi Initiatives'!Q:Q,'MoDi Initiatives'!$A:$A,MoDi!$A$38,'MoDi Initiatives'!$B:$B,MoDi!$B45)</f>
        <v>2.9227616045815238E-2</v>
      </c>
      <c r="J45" s="9">
        <f>SUMIFS('MoDi Initiatives'!R:R,'MoDi Initiatives'!$A:$A,MoDi!$A$38,'MoDi Initiatives'!$B:$B,MoDi!$B45)</f>
        <v>-2.4264517588016187E-2</v>
      </c>
      <c r="K45" s="9">
        <f>SUMIFS('MoDi Initiatives'!S:S,'MoDi Initiatives'!$A:$A,MoDi!$A$38,'MoDi Initiatives'!$B:$B,MoDi!$B45)</f>
        <v>-2.2941771950979604E-2</v>
      </c>
      <c r="L45" s="9">
        <f>SUMIFS('MoDi Initiatives'!T:T,'MoDi Initiatives'!$A:$A,MoDi!$A$38,'MoDi Initiatives'!$B:$B,MoDi!$B45)</f>
        <v>-2.3918919212763136E-3</v>
      </c>
      <c r="M45" s="9">
        <f>SUMIFS('MoDi Initiatives'!U:U,'MoDi Initiatives'!$A:$A,MoDi!$A$38,'MoDi Initiatives'!$B:$B,MoDi!$B45)</f>
        <v>3.9140049620885131E-2</v>
      </c>
      <c r="N45" s="9">
        <f>SUMIFS('MoDi Initiatives'!V:V,'MoDi Initiatives'!$A:$A,MoDi!$A$38,'MoDi Initiatives'!$B:$B,MoDi!$B45)</f>
        <v>0</v>
      </c>
      <c r="O45" s="9">
        <f>SUMIFS('MoDi Initiatives'!W:W,'MoDi Initiatives'!$A:$A,MoDi!$A$38,'MoDi Initiatives'!$B:$B,MoDi!$B45)</f>
        <v>0</v>
      </c>
      <c r="Q45" s="71"/>
    </row>
    <row r="46" spans="1:18">
      <c r="Q46" s="71"/>
    </row>
    <row r="47" spans="1:18">
      <c r="A47" s="36" t="s">
        <v>213</v>
      </c>
      <c r="B47" s="37"/>
      <c r="C47" s="37"/>
      <c r="D47" s="37"/>
      <c r="E47" s="37"/>
      <c r="F47" s="37"/>
      <c r="G47" s="37"/>
      <c r="H47" s="37"/>
      <c r="I47" s="37"/>
      <c r="J47" s="37"/>
      <c r="K47" s="37"/>
      <c r="L47" s="37"/>
      <c r="M47" s="37"/>
      <c r="N47" s="37"/>
      <c r="O47" s="37"/>
      <c r="P47" s="16" t="s">
        <v>214</v>
      </c>
      <c r="Q47" s="62" t="s">
        <v>215</v>
      </c>
    </row>
    <row r="48" spans="1:18">
      <c r="B48" s="12" t="s">
        <v>4</v>
      </c>
      <c r="C48" s="20">
        <f>'[4]MoDi Pricing'!$AE$447</f>
        <v>2.0895481177376363</v>
      </c>
      <c r="D48" s="9">
        <f>C48+D44</f>
        <v>2.0895481177376363</v>
      </c>
      <c r="E48" s="9">
        <f t="shared" ref="E48:O48" si="6">D48+E44</f>
        <v>1.9688662980732405</v>
      </c>
      <c r="F48" s="9">
        <f t="shared" si="6"/>
        <v>1.8433765962551854</v>
      </c>
      <c r="G48" s="9">
        <f t="shared" si="6"/>
        <v>1.8433765962551854</v>
      </c>
      <c r="H48" s="9">
        <f t="shared" si="6"/>
        <v>1.8433765962551854</v>
      </c>
      <c r="I48" s="9">
        <f t="shared" si="6"/>
        <v>1.8433765962551854</v>
      </c>
      <c r="J48" s="9">
        <f t="shared" si="6"/>
        <v>1.8357120786671692</v>
      </c>
      <c r="K48" s="9">
        <f t="shared" si="6"/>
        <v>1.8357120786671692</v>
      </c>
      <c r="L48" s="9">
        <f t="shared" si="6"/>
        <v>1.8290071707223914</v>
      </c>
      <c r="M48" s="9">
        <f t="shared" si="6"/>
        <v>1.8290071707223914</v>
      </c>
      <c r="N48" s="9">
        <f t="shared" si="6"/>
        <v>1.8290071707223914</v>
      </c>
      <c r="O48" s="9">
        <f t="shared" si="6"/>
        <v>1.8290071707223914</v>
      </c>
      <c r="P48" s="20">
        <f>SUMPRODUCT(D48:O48,$D$40:$O$40)/$P$40</f>
        <v>1.8678925797808896</v>
      </c>
      <c r="Q48" s="78">
        <f>P48*$P$40</f>
        <v>17.19221032099874</v>
      </c>
      <c r="R48" t="s">
        <v>107</v>
      </c>
    </row>
    <row r="49" spans="1:18" ht="9" customHeight="1">
      <c r="B49" s="14"/>
      <c r="C49" s="5">
        <f>C48-'[4]MoDi Pricing'!AE447</f>
        <v>0</v>
      </c>
      <c r="D49" s="5">
        <f>D48-'[4]MoDi Pricing'!AF447</f>
        <v>0</v>
      </c>
      <c r="E49" s="5">
        <f>E48-'[4]MoDi Pricing'!AG447</f>
        <v>0</v>
      </c>
      <c r="F49" s="5">
        <f>F48-'[4]MoDi Pricing'!AH447</f>
        <v>0</v>
      </c>
      <c r="G49" s="5">
        <f>G48-'[4]MoDi Pricing'!AI447</f>
        <v>0</v>
      </c>
      <c r="H49" s="5">
        <f>H48-'[4]MoDi Pricing'!AJ447</f>
        <v>0</v>
      </c>
      <c r="I49" s="5">
        <f>I48-'[4]MoDi Pricing'!AK447</f>
        <v>0</v>
      </c>
      <c r="J49" s="5">
        <f>J48-'[4]MoDi Pricing'!AL447</f>
        <v>0</v>
      </c>
      <c r="K49" s="5">
        <f>K48-'[4]MoDi Pricing'!AM447</f>
        <v>0</v>
      </c>
      <c r="L49" s="5">
        <f>L48-'[4]MoDi Pricing'!AN447</f>
        <v>0</v>
      </c>
      <c r="M49" s="5">
        <f>M48-'[4]MoDi Pricing'!AO447</f>
        <v>0</v>
      </c>
      <c r="N49" s="5">
        <f>N48-'[4]MoDi Pricing'!AP447</f>
        <v>0</v>
      </c>
      <c r="O49" s="5">
        <f>O48-'[4]MoDi Pricing'!AQ447</f>
        <v>0</v>
      </c>
      <c r="Q49" s="79"/>
    </row>
    <row r="50" spans="1:18">
      <c r="B50" s="13" t="s">
        <v>5</v>
      </c>
      <c r="C50" s="20">
        <f>'[6]MoDi Pricing'!$AE$475</f>
        <v>2.1608990343878305</v>
      </c>
      <c r="D50" s="9">
        <f>C50+D45</f>
        <v>2.1608990343878305</v>
      </c>
      <c r="E50" s="9">
        <f t="shared" ref="E50:O50" si="7">D50+E45</f>
        <v>2.1438927100285561</v>
      </c>
      <c r="F50" s="9">
        <f t="shared" si="7"/>
        <v>2.1213277445394705</v>
      </c>
      <c r="G50" s="9">
        <f t="shared" si="7"/>
        <v>2.1020985552130447</v>
      </c>
      <c r="H50" s="9">
        <f t="shared" si="7"/>
        <v>2.0977299387440698</v>
      </c>
      <c r="I50" s="9">
        <f t="shared" si="7"/>
        <v>2.1269575547898851</v>
      </c>
      <c r="J50" s="9">
        <f t="shared" si="7"/>
        <v>2.1026930372018691</v>
      </c>
      <c r="K50" s="9">
        <f t="shared" si="7"/>
        <v>2.0797512652508896</v>
      </c>
      <c r="L50" s="9">
        <f t="shared" si="7"/>
        <v>2.0773593733296134</v>
      </c>
      <c r="M50" s="9">
        <f t="shared" si="7"/>
        <v>2.1164994229504988</v>
      </c>
      <c r="N50" s="9">
        <f t="shared" si="7"/>
        <v>2.1164994229504988</v>
      </c>
      <c r="O50" s="9">
        <f t="shared" si="7"/>
        <v>2.1164994229504988</v>
      </c>
      <c r="P50" s="20">
        <f>SUMPRODUCT(D50:O50,$D$40:$O$40)/$P$40</f>
        <v>2.1132867112933282</v>
      </c>
      <c r="Q50" s="78">
        <f>P50*$P$40</f>
        <v>19.450834594240167</v>
      </c>
      <c r="R50" t="s">
        <v>107</v>
      </c>
    </row>
    <row r="51" spans="1:18" ht="9" customHeight="1">
      <c r="C51" s="5">
        <f>C50-'[5]CoGS Tracker MoDi'!O170</f>
        <v>0</v>
      </c>
      <c r="D51" s="5">
        <f>D50-'[5]CoGS Tracker MoDi'!P170</f>
        <v>0</v>
      </c>
      <c r="E51" s="5">
        <f>E50-'[5]CoGS Tracker MoDi'!Q170</f>
        <v>0</v>
      </c>
      <c r="F51" s="5">
        <f>F50-'[5]CoGS Tracker MoDi'!R170</f>
        <v>0</v>
      </c>
      <c r="G51" s="5">
        <f>G50-'[5]CoGS Tracker MoDi'!S170</f>
        <v>0</v>
      </c>
      <c r="H51" s="5">
        <f>H50-'[5]CoGS Tracker MoDi'!T170</f>
        <v>1.9505129214714145E-4</v>
      </c>
      <c r="I51" s="123">
        <f>I50-'[5]CoGS Tracker MoDi'!U170</f>
        <v>-8.6459567163421625E-3</v>
      </c>
      <c r="J51" s="5">
        <f>J50-'[5]CoGS Tracker MoDi'!V170</f>
        <v>-2.4645956716341733E-2</v>
      </c>
      <c r="K51" s="5">
        <f>K50-'[5]CoGS Tracker MoDi'!W170</f>
        <v>-2.4645956716341733E-2</v>
      </c>
      <c r="L51" s="5">
        <f>L50-'[5]CoGS Tracker MoDi'!X170</f>
        <v>-2.4645956716341733E-2</v>
      </c>
      <c r="M51" s="5">
        <f>M50-'[5]CoGS Tracker MoDi'!Y170</f>
        <v>-2.4645956716341288E-2</v>
      </c>
      <c r="N51" s="5">
        <f>N50-'[5]CoGS Tracker MoDi'!Z170</f>
        <v>-2.4645956716341288E-2</v>
      </c>
      <c r="O51" s="5">
        <f>O50-'[5]CoGS Tracker MoDi'!AA170</f>
        <v>-2.4645956716341288E-2</v>
      </c>
      <c r="Q51" s="71"/>
    </row>
    <row r="52" spans="1:18">
      <c r="A52" s="49"/>
      <c r="B52" s="49" t="s">
        <v>221</v>
      </c>
      <c r="C52" s="327">
        <f>C50-C48</f>
        <v>7.1350916650194218E-2</v>
      </c>
      <c r="D52" s="50">
        <f t="shared" ref="D52:P52" si="8">D50-D48</f>
        <v>7.1350916650194218E-2</v>
      </c>
      <c r="E52" s="50">
        <f t="shared" si="8"/>
        <v>0.17502641195531554</v>
      </c>
      <c r="F52" s="50">
        <f t="shared" si="8"/>
        <v>0.27795114828428513</v>
      </c>
      <c r="G52" s="50">
        <f t="shared" si="8"/>
        <v>0.25872195895785932</v>
      </c>
      <c r="H52" s="50">
        <f t="shared" si="8"/>
        <v>0.25435334248888442</v>
      </c>
      <c r="I52" s="50">
        <f t="shared" si="8"/>
        <v>0.28358095853469978</v>
      </c>
      <c r="J52" s="50">
        <f t="shared" si="8"/>
        <v>0.26698095853469983</v>
      </c>
      <c r="K52" s="50">
        <f t="shared" si="8"/>
        <v>0.24403918658372037</v>
      </c>
      <c r="L52" s="50">
        <f t="shared" si="8"/>
        <v>0.24835220260722202</v>
      </c>
      <c r="M52" s="50">
        <f t="shared" si="8"/>
        <v>0.28749225222810737</v>
      </c>
      <c r="N52" s="50">
        <f t="shared" si="8"/>
        <v>0.28749225222810737</v>
      </c>
      <c r="O52" s="50">
        <f t="shared" si="8"/>
        <v>0.28749225222810737</v>
      </c>
      <c r="P52" s="50">
        <f t="shared" si="8"/>
        <v>0.24539413151243861</v>
      </c>
      <c r="Q52" s="73">
        <f>Q50-Q48</f>
        <v>2.258624273241427</v>
      </c>
    </row>
    <row r="53" spans="1:18">
      <c r="A53" s="74"/>
      <c r="B53" s="74"/>
      <c r="C53" s="75"/>
      <c r="D53" s="75"/>
      <c r="E53" s="75"/>
      <c r="F53" s="75"/>
      <c r="G53" s="75"/>
      <c r="H53" s="75"/>
      <c r="I53" s="75"/>
      <c r="J53" s="75"/>
      <c r="K53" s="75"/>
      <c r="L53" s="75"/>
      <c r="M53" s="75"/>
      <c r="N53" s="75"/>
      <c r="O53" s="75"/>
      <c r="P53" s="75"/>
      <c r="Q53" s="71"/>
    </row>
    <row r="54" spans="1:18">
      <c r="A54" s="56"/>
      <c r="B54" s="56"/>
      <c r="C54" s="57"/>
      <c r="D54" s="57"/>
      <c r="E54" s="57"/>
      <c r="F54" s="57"/>
      <c r="G54" s="57"/>
      <c r="H54" s="57"/>
      <c r="I54" s="57"/>
      <c r="J54" s="57"/>
      <c r="K54" s="57"/>
      <c r="L54" s="57"/>
      <c r="M54" s="57"/>
      <c r="N54" s="57"/>
      <c r="O54" s="57"/>
      <c r="P54" s="57"/>
    </row>
    <row r="55" spans="1:18">
      <c r="A55" s="56"/>
      <c r="B55" s="56"/>
      <c r="C55" s="57"/>
      <c r="D55" s="57"/>
      <c r="E55" s="57"/>
      <c r="F55" s="57"/>
      <c r="G55" s="57"/>
      <c r="H55" s="57"/>
      <c r="I55" s="57"/>
      <c r="J55" s="57"/>
      <c r="K55" s="57"/>
      <c r="L55" s="57"/>
      <c r="M55" s="57"/>
      <c r="N55" s="57"/>
      <c r="O55" s="57"/>
      <c r="P55" s="57"/>
    </row>
    <row r="56" spans="1:18">
      <c r="A56" s="71"/>
      <c r="B56" s="71"/>
      <c r="C56" s="71"/>
      <c r="D56" s="71"/>
      <c r="E56" s="71"/>
      <c r="F56" s="71"/>
      <c r="G56" s="71"/>
      <c r="H56" s="71"/>
      <c r="I56" s="71"/>
      <c r="J56" s="71"/>
      <c r="K56" s="71"/>
      <c r="L56" s="71"/>
      <c r="M56" s="71"/>
      <c r="N56" s="71"/>
      <c r="O56" s="71"/>
      <c r="P56" s="71"/>
      <c r="Q56" s="71"/>
    </row>
    <row r="57" spans="1:18">
      <c r="A57" s="52" t="s">
        <v>121</v>
      </c>
      <c r="B57" s="52"/>
      <c r="C57" s="52"/>
      <c r="D57" s="52"/>
      <c r="E57" s="52"/>
      <c r="F57" s="52"/>
      <c r="G57" s="52"/>
      <c r="H57" s="52"/>
      <c r="I57" s="52"/>
      <c r="J57" s="52"/>
      <c r="K57" s="52"/>
      <c r="L57" s="52"/>
      <c r="M57" s="52"/>
      <c r="N57" s="52"/>
      <c r="O57" s="52"/>
      <c r="P57" s="52"/>
      <c r="Q57" s="71"/>
    </row>
    <row r="58" spans="1:18">
      <c r="A58" s="80" t="s">
        <v>205</v>
      </c>
      <c r="B58" s="59"/>
      <c r="C58" s="59"/>
      <c r="D58" s="70">
        <v>45658</v>
      </c>
      <c r="E58" s="70">
        <v>45689</v>
      </c>
      <c r="F58" s="70">
        <v>45717</v>
      </c>
      <c r="G58" s="70">
        <v>45748</v>
      </c>
      <c r="H58" s="70">
        <v>45778</v>
      </c>
      <c r="I58" s="70">
        <v>45809</v>
      </c>
      <c r="J58" s="70">
        <v>45839</v>
      </c>
      <c r="K58" s="70">
        <v>45870</v>
      </c>
      <c r="L58" s="70">
        <v>45901</v>
      </c>
      <c r="M58" s="70">
        <v>45931</v>
      </c>
      <c r="N58" s="70">
        <v>45962</v>
      </c>
      <c r="O58" s="70">
        <v>45992</v>
      </c>
      <c r="P58" s="61" t="s">
        <v>206</v>
      </c>
      <c r="Q58" s="71"/>
    </row>
    <row r="59" spans="1:18">
      <c r="A59" s="1" t="s">
        <v>207</v>
      </c>
      <c r="B59" s="12" t="s">
        <v>4</v>
      </c>
      <c r="D59" s="3">
        <f>'[4]MoDi Vols'!AL85</f>
        <v>0.40717400000000004</v>
      </c>
      <c r="E59" s="3">
        <f>'[4]MoDi Vols'!AM85</f>
        <v>0.39217599999999991</v>
      </c>
      <c r="F59" s="3">
        <f>'[4]MoDi Vols'!AN85</f>
        <v>0.39276500000000003</v>
      </c>
      <c r="G59" s="3">
        <f>'[4]MoDi Vols'!AO85</f>
        <v>0.39419599999999999</v>
      </c>
      <c r="H59" s="3">
        <f>'[4]MoDi Vols'!AP85</f>
        <v>0.42178900000000003</v>
      </c>
      <c r="I59" s="3">
        <f>'[4]MoDi Vols'!AQ85</f>
        <v>0.40231899999999998</v>
      </c>
      <c r="J59" s="3">
        <f>'[4]MoDi Vols'!AR85</f>
        <v>0.41827799999999993</v>
      </c>
      <c r="K59" s="3">
        <f>'[4]MoDi Vols'!AS85</f>
        <v>0.41654600000000003</v>
      </c>
      <c r="L59" s="3">
        <f>'[4]MoDi Vols'!AT85</f>
        <v>0.42683800000000005</v>
      </c>
      <c r="M59" s="3">
        <f>'[4]MoDi Vols'!AU85</f>
        <v>0.42924700000000005</v>
      </c>
      <c r="N59" s="3">
        <f>'[4]MoDi Vols'!AV85</f>
        <v>0.42268800000000001</v>
      </c>
      <c r="O59" s="3">
        <f>'[4]MoDi Vols'!AW85</f>
        <v>0.46186700000000003</v>
      </c>
      <c r="P59" s="54">
        <f>SUM(D59:O59)</f>
        <v>4.9858829999999994</v>
      </c>
      <c r="Q59" s="71"/>
    </row>
    <row r="60" spans="1:18">
      <c r="A60" s="1"/>
      <c r="B60" s="64" t="s">
        <v>169</v>
      </c>
      <c r="C60" s="65"/>
      <c r="D60" s="66">
        <f>'[5]Volume Summary'!L253</f>
        <v>0.13604700000000006</v>
      </c>
      <c r="E60" s="66">
        <f>'[5]Volume Summary'!M253</f>
        <v>0.21871800000000002</v>
      </c>
      <c r="F60" s="66">
        <f>'[5]Volume Summary'!N253</f>
        <v>0.50704499999999997</v>
      </c>
      <c r="G60" s="66">
        <f>'[5]Volume Summary'!O253</f>
        <v>0.48774799999999985</v>
      </c>
      <c r="H60" s="66">
        <f>'[5]Volume Summary'!P253</f>
        <v>0.62883099999999981</v>
      </c>
      <c r="I60" s="66">
        <f>'[5]Volume Summary'!Q253</f>
        <v>0.27973799999999993</v>
      </c>
      <c r="J60" s="66">
        <f>'[5]Volume Summary'!R253</f>
        <v>0.25977099999999992</v>
      </c>
      <c r="K60" s="66">
        <f>'[5]Volume Summary'!S253</f>
        <v>0.27284199999999986</v>
      </c>
      <c r="L60" s="66">
        <f>'[5]Volume Summary'!T253</f>
        <v>0.29497899999999999</v>
      </c>
      <c r="M60" s="66">
        <f>'[5]Volume Summary'!U253</f>
        <v>0.35589100000000012</v>
      </c>
      <c r="N60" s="66">
        <f>'[5]Volume Summary'!V253</f>
        <v>0.35384700000000002</v>
      </c>
      <c r="O60" s="66">
        <f>'[5]Volume Summary'!W253</f>
        <v>0.63340799999999986</v>
      </c>
      <c r="P60" s="67">
        <f>SUM(D60:O60)</f>
        <v>4.4288650000000001</v>
      </c>
      <c r="Q60" s="71"/>
      <c r="R60" t="s">
        <v>121</v>
      </c>
    </row>
    <row r="61" spans="1:18">
      <c r="Q61" s="71"/>
    </row>
    <row r="62" spans="1:18">
      <c r="A62" s="36" t="s">
        <v>209</v>
      </c>
      <c r="B62" s="37"/>
      <c r="C62" s="39">
        <v>45566</v>
      </c>
      <c r="D62" s="39">
        <v>45597</v>
      </c>
      <c r="E62" s="39">
        <v>45627</v>
      </c>
      <c r="F62" s="39">
        <v>45658</v>
      </c>
      <c r="G62" s="39">
        <v>45689</v>
      </c>
      <c r="H62" s="39">
        <v>45717</v>
      </c>
      <c r="I62" s="39">
        <v>45748</v>
      </c>
      <c r="J62" s="39">
        <v>45778</v>
      </c>
      <c r="K62" s="39">
        <v>45809</v>
      </c>
      <c r="L62" s="39">
        <v>45839</v>
      </c>
      <c r="M62" s="39">
        <v>45870</v>
      </c>
      <c r="N62" s="39">
        <v>45901</v>
      </c>
      <c r="O62" s="39">
        <v>45931</v>
      </c>
      <c r="P62" s="37"/>
      <c r="Q62" s="71"/>
    </row>
    <row r="63" spans="1:18">
      <c r="A63" s="8" t="s">
        <v>210</v>
      </c>
      <c r="B63" s="12" t="s">
        <v>4</v>
      </c>
      <c r="D63" s="9">
        <f>SUMIFS('MoDi Initiatives'!L:L,'MoDi Initiatives'!$A:$A,MoDi!$A$57,'MoDi Initiatives'!$B:$B,MoDi!$B63)</f>
        <v>3.9894077215144465E-2</v>
      </c>
      <c r="E63" s="9">
        <f>SUMIFS('MoDi Initiatives'!M:M,'MoDi Initiatives'!$A:$A,MoDi!$A$57,'MoDi Initiatives'!$B:$B,MoDi!$B63)</f>
        <v>-0.12068181966439584</v>
      </c>
      <c r="F63" s="9">
        <f>SUMIFS('MoDi Initiatives'!N:N,'MoDi Initiatives'!$A:$A,MoDi!$A$57,'MoDi Initiatives'!$B:$B,MoDi!$B63)</f>
        <v>-8.5250984480970321E-2</v>
      </c>
      <c r="G63" s="9">
        <f>SUMIFS('MoDi Initiatives'!O:O,'MoDi Initiatives'!$A:$A,MoDi!$A$57,'MoDi Initiatives'!$B:$B,MoDi!$B63)</f>
        <v>0</v>
      </c>
      <c r="H63" s="9">
        <f>SUMIFS('MoDi Initiatives'!P:P,'MoDi Initiatives'!$A:$A,MoDi!$A$57,'MoDi Initiatives'!$B:$B,MoDi!$B63)</f>
        <v>0</v>
      </c>
      <c r="I63" s="9">
        <f>SUMIFS('MoDi Initiatives'!Q:Q,'MoDi Initiatives'!$A:$A,MoDi!$A$57,'MoDi Initiatives'!$B:$B,MoDi!$B63)</f>
        <v>0</v>
      </c>
      <c r="J63" s="9">
        <f>SUMIFS('MoDi Initiatives'!R:R,'MoDi Initiatives'!$A:$A,MoDi!$A$57,'MoDi Initiatives'!$B:$B,MoDi!$B63)</f>
        <v>-7.664517588016187E-3</v>
      </c>
      <c r="K63" s="9">
        <f>SUMIFS('MoDi Initiatives'!S:S,'MoDi Initiatives'!$A:$A,MoDi!$A$57,'MoDi Initiatives'!$B:$B,MoDi!$B63)</f>
        <v>0</v>
      </c>
      <c r="L63" s="9">
        <f>SUMIFS('MoDi Initiatives'!T:T,'MoDi Initiatives'!$A:$A,MoDi!$A$57,'MoDi Initiatives'!$B:$B,MoDi!$B63)</f>
        <v>-6.7049079447777391E-3</v>
      </c>
      <c r="M63" s="9">
        <f>SUMIFS('MoDi Initiatives'!U:U,'MoDi Initiatives'!$A:$A,MoDi!$A$57,'MoDi Initiatives'!$B:$B,MoDi!$B63)</f>
        <v>0</v>
      </c>
      <c r="N63" s="9">
        <f>SUMIFS('MoDi Initiatives'!V:V,'MoDi Initiatives'!$A:$A,MoDi!$A$57,'MoDi Initiatives'!$B:$B,MoDi!$B63)</f>
        <v>0</v>
      </c>
      <c r="O63" s="9">
        <f>SUMIFS('MoDi Initiatives'!W:W,'MoDi Initiatives'!$A:$A,MoDi!$A$57,'MoDi Initiatives'!$B:$B,MoDi!$B63)</f>
        <v>0</v>
      </c>
      <c r="Q63" s="71"/>
    </row>
    <row r="64" spans="1:18">
      <c r="A64" s="8" t="s">
        <v>210</v>
      </c>
      <c r="B64" s="13" t="s">
        <v>5</v>
      </c>
      <c r="D64" s="9">
        <f>SUMIFS('MoDi Initiatives'!L:L,'MoDi Initiatives'!$A:$A,MoDi!$A$57,'MoDi Initiatives'!$B:$B,MoDi!$B64)</f>
        <v>0</v>
      </c>
      <c r="E64" s="9">
        <f>SUMIFS('MoDi Initiatives'!M:M,'MoDi Initiatives'!$A:$A,MoDi!$A$57,'MoDi Initiatives'!$B:$B,MoDi!$B64)</f>
        <v>-1.6994538948454471E-2</v>
      </c>
      <c r="F64" s="9">
        <f>SUMIFS('MoDi Initiatives'!N:N,'MoDi Initiatives'!$A:$A,MoDi!$A$57,'MoDi Initiatives'!$B:$B,MoDi!$B64)</f>
        <v>-1.9601380339078808E-2</v>
      </c>
      <c r="G64" s="9">
        <f>SUMIFS('MoDi Initiatives'!O:O,'MoDi Initiatives'!$A:$A,MoDi!$A$57,'MoDi Initiatives'!$B:$B,MoDi!$B64)</f>
        <v>-1.9617639424418486E-2</v>
      </c>
      <c r="H64" s="9">
        <f>SUMIFS('MoDi Initiatives'!P:P,'MoDi Initiatives'!$A:$A,MoDi!$A$57,'MoDi Initiatives'!$B:$B,MoDi!$B64)</f>
        <v>-5.4172392550553092E-3</v>
      </c>
      <c r="I64" s="9">
        <f>SUMIFS('MoDi Initiatives'!Q:Q,'MoDi Initiatives'!$A:$A,MoDi!$A$57,'MoDi Initiatives'!$B:$B,MoDi!$B64)</f>
        <v>3.6261468048525716E-2</v>
      </c>
      <c r="J64" s="9">
        <f>SUMIFS('MoDi Initiatives'!R:R,'MoDi Initiatives'!$A:$A,MoDi!$A$57,'MoDi Initiatives'!$B:$B,MoDi!$B64)</f>
        <v>-2.8664517588016188E-2</v>
      </c>
      <c r="K64" s="9">
        <f>SUMIFS('MoDi Initiatives'!S:S,'MoDi Initiatives'!$A:$A,MoDi!$A$57,'MoDi Initiatives'!$B:$B,MoDi!$B64)</f>
        <v>-2.2933797608853626E-2</v>
      </c>
      <c r="L64" s="9">
        <f>SUMIFS('MoDi Initiatives'!T:T,'MoDi Initiatives'!$A:$A,MoDi!$A$57,'MoDi Initiatives'!$B:$B,MoDi!$B64)</f>
        <v>-2.3918919212763136E-3</v>
      </c>
      <c r="M64" s="9">
        <f>SUMIFS('MoDi Initiatives'!U:U,'MoDi Initiatives'!$A:$A,MoDi!$A$57,'MoDi Initiatives'!$B:$B,MoDi!$B64)</f>
        <v>3.9140049620885131E-2</v>
      </c>
      <c r="N64" s="9">
        <f>SUMIFS('MoDi Initiatives'!V:V,'MoDi Initiatives'!$A:$A,MoDi!$A$57,'MoDi Initiatives'!$B:$B,MoDi!$B64)</f>
        <v>0</v>
      </c>
      <c r="O64" s="9">
        <f>SUMIFS('MoDi Initiatives'!W:W,'MoDi Initiatives'!$A:$A,MoDi!$A$57,'MoDi Initiatives'!$B:$B,MoDi!$B64)</f>
        <v>0</v>
      </c>
      <c r="Q64" s="71"/>
    </row>
    <row r="65" spans="1:18">
      <c r="Q65" s="71"/>
    </row>
    <row r="66" spans="1:18">
      <c r="A66" s="36" t="s">
        <v>213</v>
      </c>
      <c r="B66" s="37"/>
      <c r="C66" s="37"/>
      <c r="D66" s="37"/>
      <c r="E66" s="37"/>
      <c r="F66" s="37"/>
      <c r="G66" s="37"/>
      <c r="H66" s="37"/>
      <c r="I66" s="37"/>
      <c r="J66" s="37"/>
      <c r="K66" s="37"/>
      <c r="L66" s="37"/>
      <c r="M66" s="37"/>
      <c r="N66" s="37"/>
      <c r="O66" s="37"/>
      <c r="P66" s="16" t="s">
        <v>214</v>
      </c>
      <c r="Q66" s="62" t="s">
        <v>215</v>
      </c>
    </row>
    <row r="67" spans="1:18">
      <c r="B67" s="12" t="s">
        <v>4</v>
      </c>
      <c r="C67" s="20">
        <f>'[4]MoDi Pricing'!$AE$523</f>
        <v>2.1980767449348972</v>
      </c>
      <c r="D67" s="53">
        <f>C67+D63</f>
        <v>2.2379708221500416</v>
      </c>
      <c r="E67" s="53">
        <f t="shared" ref="E67:O67" si="9">D67+E63</f>
        <v>2.1172890024856459</v>
      </c>
      <c r="F67" s="53">
        <f t="shared" si="9"/>
        <v>2.0320380180046755</v>
      </c>
      <c r="G67" s="53">
        <f t="shared" si="9"/>
        <v>2.0320380180046755</v>
      </c>
      <c r="H67" s="53">
        <f t="shared" si="9"/>
        <v>2.0320380180046755</v>
      </c>
      <c r="I67" s="53">
        <f t="shared" si="9"/>
        <v>2.0320380180046755</v>
      </c>
      <c r="J67" s="53">
        <f t="shared" si="9"/>
        <v>2.0243735004166594</v>
      </c>
      <c r="K67" s="53">
        <f t="shared" si="9"/>
        <v>2.0243735004166594</v>
      </c>
      <c r="L67" s="53">
        <f t="shared" si="9"/>
        <v>2.0176685924718818</v>
      </c>
      <c r="M67" s="53">
        <f t="shared" si="9"/>
        <v>2.0176685924718818</v>
      </c>
      <c r="N67" s="53">
        <f t="shared" si="9"/>
        <v>2.0176685924718818</v>
      </c>
      <c r="O67" s="53">
        <f t="shared" si="9"/>
        <v>2.0176685924718818</v>
      </c>
      <c r="P67" s="20">
        <f>SUMPRODUCT(D67:O67,$D$59:$O$59)/$P$59</f>
        <v>2.0492613169859384</v>
      </c>
      <c r="Q67" s="79">
        <f>P67*$P$59</f>
        <v>10.217377162917801</v>
      </c>
      <c r="R67" t="s">
        <v>121</v>
      </c>
    </row>
    <row r="68" spans="1:18" ht="12" customHeight="1">
      <c r="B68" s="14"/>
      <c r="C68" s="5">
        <f>C67-'[4]MoDi Pricing'!AE523</f>
        <v>0</v>
      </c>
      <c r="D68" s="5">
        <f>D67-'[4]MoDi Pricing'!AF523</f>
        <v>0</v>
      </c>
      <c r="E68" s="5">
        <f>E67-'[4]MoDi Pricing'!AG523</f>
        <v>0</v>
      </c>
      <c r="F68" s="5">
        <f>F67-'[4]MoDi Pricing'!AH523</f>
        <v>0</v>
      </c>
      <c r="G68" s="5">
        <f>G67-'[4]MoDi Pricing'!AI523</f>
        <v>0</v>
      </c>
      <c r="H68" s="5">
        <f>H67-'[4]MoDi Pricing'!AJ523</f>
        <v>0</v>
      </c>
      <c r="I68" s="5">
        <f>I67-'[4]MoDi Pricing'!AK523</f>
        <v>0</v>
      </c>
      <c r="J68" s="5">
        <f>J67-'[4]MoDi Pricing'!AL523</f>
        <v>0</v>
      </c>
      <c r="K68" s="5">
        <f>K67-'[4]MoDi Pricing'!AM523</f>
        <v>0</v>
      </c>
      <c r="L68" s="5">
        <f>L67-'[4]MoDi Pricing'!AN523</f>
        <v>0</v>
      </c>
      <c r="M68" s="5">
        <f>M67-'[4]MoDi Pricing'!AO523</f>
        <v>0</v>
      </c>
      <c r="N68" s="5">
        <f>N67-'[4]MoDi Pricing'!AP523</f>
        <v>0</v>
      </c>
      <c r="O68" s="5">
        <f>O67-'[4]MoDi Pricing'!AQ523</f>
        <v>0</v>
      </c>
      <c r="Q68" s="71"/>
    </row>
    <row r="69" spans="1:18">
      <c r="B69" s="13" t="s">
        <v>5</v>
      </c>
      <c r="C69" s="20">
        <f>'[6]MoDi Pricing'!$AE$526</f>
        <v>2.2029299095160635</v>
      </c>
      <c r="D69" s="53">
        <f>C69+D64</f>
        <v>2.2029299095160635</v>
      </c>
      <c r="E69" s="53">
        <f t="shared" ref="E69:O69" si="10">D69+E64</f>
        <v>2.1859353705676092</v>
      </c>
      <c r="F69" s="53">
        <f t="shared" si="10"/>
        <v>2.1663339902285306</v>
      </c>
      <c r="G69" s="53">
        <f t="shared" si="10"/>
        <v>2.1467163508041121</v>
      </c>
      <c r="H69" s="53">
        <f t="shared" si="10"/>
        <v>2.1412991115490567</v>
      </c>
      <c r="I69" s="53">
        <f t="shared" si="10"/>
        <v>2.1775605795975825</v>
      </c>
      <c r="J69" s="53">
        <f t="shared" si="10"/>
        <v>2.1488960620095665</v>
      </c>
      <c r="K69" s="53">
        <f t="shared" si="10"/>
        <v>2.1259622644007128</v>
      </c>
      <c r="L69" s="53">
        <f t="shared" si="10"/>
        <v>2.1235703724794366</v>
      </c>
      <c r="M69" s="53">
        <f t="shared" si="10"/>
        <v>2.1627104221003215</v>
      </c>
      <c r="N69" s="53">
        <f t="shared" si="10"/>
        <v>2.1627104221003215</v>
      </c>
      <c r="O69" s="53">
        <f t="shared" si="10"/>
        <v>2.1627104221003215</v>
      </c>
      <c r="P69" s="20">
        <f>SUMPRODUCT(D69:O69,$D$59:$O$59)/$P$59</f>
        <v>2.1586498479767595</v>
      </c>
      <c r="Q69" s="79">
        <f>P69*$P$59</f>
        <v>10.762775579979909</v>
      </c>
      <c r="R69" t="s">
        <v>121</v>
      </c>
    </row>
    <row r="70" spans="1:18" ht="10" customHeight="1">
      <c r="C70" s="5">
        <f>C69-'[5]CoGS Tracker MoDi'!O225</f>
        <v>0</v>
      </c>
      <c r="D70" s="5">
        <f>D69-'[5]CoGS Tracker MoDi'!P225</f>
        <v>0</v>
      </c>
      <c r="E70" s="5">
        <f>E69-'[5]CoGS Tracker MoDi'!Q225</f>
        <v>0</v>
      </c>
      <c r="F70" s="5">
        <f>F69-'[5]CoGS Tracker MoDi'!R225</f>
        <v>0</v>
      </c>
      <c r="G70" s="5">
        <f>G69-'[5]CoGS Tracker MoDi'!S225</f>
        <v>0</v>
      </c>
      <c r="H70" s="5">
        <f>H69-'[5]CoGS Tracker MoDi'!T225</f>
        <v>1.7385480861742408E-4</v>
      </c>
      <c r="I70" s="5">
        <f>I69-'[5]CoGS Tracker MoDi'!U225</f>
        <v>-8.4487274779010413E-3</v>
      </c>
      <c r="J70" s="123">
        <f>J69-'[5]CoGS Tracker MoDi'!V225</f>
        <v>-2.8448727477901059E-2</v>
      </c>
      <c r="K70" s="5">
        <f>K69-'[5]CoGS Tracker MoDi'!W225</f>
        <v>-2.8448727477901059E-2</v>
      </c>
      <c r="L70" s="5">
        <f>L69-'[5]CoGS Tracker MoDi'!X225</f>
        <v>-2.8448727477901059E-2</v>
      </c>
      <c r="M70" s="5">
        <f>M69-'[5]CoGS Tracker MoDi'!Y225</f>
        <v>-2.8448727477901503E-2</v>
      </c>
      <c r="N70" s="5">
        <f>N69-'[5]CoGS Tracker MoDi'!Z225</f>
        <v>-2.8448727477901503E-2</v>
      </c>
      <c r="O70" s="5">
        <f>O69-'[5]CoGS Tracker MoDi'!AA225</f>
        <v>-2.8448727477901503E-2</v>
      </c>
      <c r="Q70" s="71"/>
    </row>
    <row r="71" spans="1:18">
      <c r="A71" s="49"/>
      <c r="B71" s="49" t="s">
        <v>221</v>
      </c>
      <c r="C71" s="50">
        <f>C69-C67</f>
        <v>4.8531645811662472E-3</v>
      </c>
      <c r="D71" s="50">
        <f t="shared" ref="D71:P71" si="11">D69-D67</f>
        <v>-3.5040912633978127E-2</v>
      </c>
      <c r="E71" s="50">
        <f t="shared" si="11"/>
        <v>6.8646368081963338E-2</v>
      </c>
      <c r="F71" s="50">
        <f t="shared" si="11"/>
        <v>0.13429597222385503</v>
      </c>
      <c r="G71" s="50">
        <f t="shared" si="11"/>
        <v>0.11467833279943651</v>
      </c>
      <c r="H71" s="50">
        <f t="shared" si="11"/>
        <v>0.10926109354438118</v>
      </c>
      <c r="I71" s="50">
        <f t="shared" si="11"/>
        <v>0.145522561592907</v>
      </c>
      <c r="J71" s="50">
        <f t="shared" si="11"/>
        <v>0.12452256159290709</v>
      </c>
      <c r="K71" s="50">
        <f t="shared" si="11"/>
        <v>0.10158876398405337</v>
      </c>
      <c r="L71" s="50">
        <f t="shared" si="11"/>
        <v>0.10590178000755479</v>
      </c>
      <c r="M71" s="50">
        <f t="shared" si="11"/>
        <v>0.1450418296284397</v>
      </c>
      <c r="N71" s="50">
        <f t="shared" si="11"/>
        <v>0.1450418296284397</v>
      </c>
      <c r="O71" s="50">
        <f t="shared" si="11"/>
        <v>0.1450418296284397</v>
      </c>
      <c r="P71" s="50">
        <f t="shared" si="11"/>
        <v>0.10938853099082113</v>
      </c>
      <c r="Q71" s="73">
        <f>Q69-Q67</f>
        <v>0.54539841706210801</v>
      </c>
    </row>
    <row r="72" spans="1:18">
      <c r="A72" s="74"/>
      <c r="B72" s="74"/>
      <c r="C72" s="75"/>
      <c r="D72" s="75"/>
      <c r="E72" s="75"/>
      <c r="F72" s="75"/>
      <c r="G72" s="75"/>
      <c r="H72" s="75"/>
      <c r="I72" s="75"/>
      <c r="J72" s="75"/>
      <c r="K72" s="75"/>
      <c r="L72" s="75"/>
      <c r="M72" s="75"/>
      <c r="N72" s="75"/>
      <c r="O72" s="75"/>
      <c r="P72" s="75"/>
      <c r="Q72" s="71"/>
    </row>
    <row r="73" spans="1:18">
      <c r="A73" s="56"/>
      <c r="B73" s="56"/>
      <c r="C73" s="57"/>
      <c r="D73" s="57"/>
      <c r="E73" s="57"/>
      <c r="F73" s="57"/>
      <c r="G73" s="57"/>
      <c r="H73" s="57"/>
      <c r="I73" s="213"/>
      <c r="J73" s="57"/>
      <c r="K73" s="57"/>
      <c r="L73" s="57"/>
      <c r="M73" s="57"/>
      <c r="N73" s="57"/>
      <c r="O73" s="57"/>
      <c r="P73" s="57"/>
    </row>
    <row r="74" spans="1:18">
      <c r="A74" s="56"/>
      <c r="B74" s="56"/>
      <c r="C74" s="57"/>
      <c r="D74" s="57"/>
      <c r="E74" s="57"/>
      <c r="F74" s="57"/>
      <c r="G74" s="57"/>
      <c r="H74" s="57"/>
      <c r="I74" s="57"/>
      <c r="J74" s="57"/>
      <c r="K74" s="57"/>
      <c r="L74" s="57"/>
      <c r="M74" s="57"/>
      <c r="N74" s="57"/>
      <c r="O74" s="57"/>
      <c r="P74" s="57"/>
    </row>
    <row r="75" spans="1:18">
      <c r="A75" s="71"/>
      <c r="B75" s="71"/>
      <c r="C75" s="71"/>
      <c r="D75" s="71"/>
      <c r="E75" s="71"/>
      <c r="F75" s="71"/>
      <c r="G75" s="71"/>
      <c r="H75" s="71"/>
      <c r="I75" s="71"/>
      <c r="J75" s="71"/>
      <c r="K75" s="71"/>
      <c r="L75" s="71"/>
      <c r="M75" s="71"/>
      <c r="N75" s="71"/>
      <c r="O75" s="71"/>
      <c r="P75" s="71"/>
      <c r="Q75" s="71"/>
    </row>
    <row r="76" spans="1:18">
      <c r="A76" s="52" t="s">
        <v>131</v>
      </c>
      <c r="B76" s="52"/>
      <c r="C76" s="52"/>
      <c r="D76" s="52"/>
      <c r="E76" s="52"/>
      <c r="F76" s="52"/>
      <c r="G76" s="52"/>
      <c r="H76" s="52"/>
      <c r="I76" s="52"/>
      <c r="J76" s="52"/>
      <c r="K76" s="52"/>
      <c r="L76" s="52"/>
      <c r="M76" s="52"/>
      <c r="N76" s="52"/>
      <c r="O76" s="52"/>
      <c r="P76" s="52"/>
      <c r="Q76" s="71"/>
    </row>
    <row r="77" spans="1:18">
      <c r="A77" s="80" t="s">
        <v>205</v>
      </c>
      <c r="B77" s="80"/>
      <c r="C77" s="80"/>
      <c r="D77" s="81">
        <v>45658</v>
      </c>
      <c r="E77" s="81">
        <v>45689</v>
      </c>
      <c r="F77" s="81">
        <v>45717</v>
      </c>
      <c r="G77" s="81">
        <v>45748</v>
      </c>
      <c r="H77" s="81">
        <v>45778</v>
      </c>
      <c r="I77" s="81">
        <v>45809</v>
      </c>
      <c r="J77" s="81">
        <v>45839</v>
      </c>
      <c r="K77" s="81">
        <v>45870</v>
      </c>
      <c r="L77" s="81">
        <v>45901</v>
      </c>
      <c r="M77" s="81">
        <v>45931</v>
      </c>
      <c r="N77" s="81">
        <v>45962</v>
      </c>
      <c r="O77" s="81">
        <v>45992</v>
      </c>
      <c r="P77" s="82" t="s">
        <v>206</v>
      </c>
      <c r="Q77" s="71"/>
    </row>
    <row r="78" spans="1:18">
      <c r="A78" s="1" t="s">
        <v>207</v>
      </c>
      <c r="B78" s="12" t="s">
        <v>4</v>
      </c>
      <c r="D78" s="3">
        <f>'[4]MoDi Vols'!AL86</f>
        <v>0.323075</v>
      </c>
      <c r="E78" s="3">
        <f>'[4]MoDi Vols'!AM86</f>
        <v>0.20232900000000001</v>
      </c>
      <c r="F78" s="3">
        <f>'[4]MoDi Vols'!AN86</f>
        <v>0.24449000000000001</v>
      </c>
      <c r="G78" s="3">
        <f>'[4]MoDi Vols'!AO86</f>
        <v>0.22191600000000003</v>
      </c>
      <c r="H78" s="3">
        <f>'[4]MoDi Vols'!AP86</f>
        <v>0.22955100000000001</v>
      </c>
      <c r="I78" s="3">
        <f>'[4]MoDi Vols'!AQ86</f>
        <v>0.22419500000000001</v>
      </c>
      <c r="J78" s="3">
        <f>'[4]MoDi Vols'!AR86</f>
        <v>0.24351200000000001</v>
      </c>
      <c r="K78" s="3">
        <f>'[4]MoDi Vols'!AS86</f>
        <v>0.23633300000000002</v>
      </c>
      <c r="L78" s="3">
        <f>'[4]MoDi Vols'!AT86</f>
        <v>0.24395300000000003</v>
      </c>
      <c r="M78" s="3">
        <f>'[4]MoDi Vols'!AU86</f>
        <v>0.26039600000000002</v>
      </c>
      <c r="N78" s="3">
        <f>'[4]MoDi Vols'!AV86</f>
        <v>0.24586799999999998</v>
      </c>
      <c r="O78" s="3">
        <f>'[4]MoDi Vols'!AW86</f>
        <v>0.26389400000000007</v>
      </c>
      <c r="P78" s="54">
        <f>SUM(D78:O78)</f>
        <v>2.9395120000000001</v>
      </c>
      <c r="Q78" s="71"/>
    </row>
    <row r="79" spans="1:18">
      <c r="A79" s="1"/>
      <c r="B79" s="64" t="s">
        <v>169</v>
      </c>
      <c r="C79" s="65"/>
      <c r="D79" s="66">
        <f>'[5]Volume Summary'!L254</f>
        <v>1.3911999999999999E-2</v>
      </c>
      <c r="E79" s="66">
        <f>'[5]Volume Summary'!M254</f>
        <v>2.5710000000000004E-2</v>
      </c>
      <c r="F79" s="66">
        <f>'[5]Volume Summary'!N254</f>
        <v>1.5798E-2</v>
      </c>
      <c r="G79" s="66">
        <f>'[5]Volume Summary'!O254</f>
        <v>3.6468E-2</v>
      </c>
      <c r="H79" s="66">
        <f>'[5]Volume Summary'!P254</f>
        <v>0.14080999999999999</v>
      </c>
      <c r="I79" s="66">
        <f>'[5]Volume Summary'!Q254</f>
        <v>9.7734999999999989E-2</v>
      </c>
      <c r="J79" s="66">
        <f>'[5]Volume Summary'!R254</f>
        <v>8.1698000000000007E-2</v>
      </c>
      <c r="K79" s="66">
        <f>'[5]Volume Summary'!S254</f>
        <v>8.7553000000000006E-2</v>
      </c>
      <c r="L79" s="66">
        <f>'[5]Volume Summary'!T254</f>
        <v>0.129857</v>
      </c>
      <c r="M79" s="66">
        <f>'[5]Volume Summary'!U254</f>
        <v>0.11102400000000001</v>
      </c>
      <c r="N79" s="66">
        <f>'[5]Volume Summary'!V254</f>
        <v>0.10924399999999998</v>
      </c>
      <c r="O79" s="66">
        <f>'[5]Volume Summary'!W254</f>
        <v>0.21023100000000003</v>
      </c>
      <c r="P79" s="67">
        <f>SUM(D79:O79)</f>
        <v>1.0600399999999999</v>
      </c>
      <c r="Q79" s="71"/>
      <c r="R79" t="s">
        <v>131</v>
      </c>
    </row>
    <row r="80" spans="1:18">
      <c r="Q80" s="71"/>
    </row>
    <row r="81" spans="1:18">
      <c r="A81" s="36" t="s">
        <v>209</v>
      </c>
      <c r="B81" s="37"/>
      <c r="C81" s="39">
        <v>45566</v>
      </c>
      <c r="D81" s="39">
        <v>45597</v>
      </c>
      <c r="E81" s="39">
        <v>45627</v>
      </c>
      <c r="F81" s="39">
        <v>45658</v>
      </c>
      <c r="G81" s="39">
        <v>45689</v>
      </c>
      <c r="H81" s="39">
        <v>45717</v>
      </c>
      <c r="I81" s="39">
        <v>45748</v>
      </c>
      <c r="J81" s="39">
        <v>45778</v>
      </c>
      <c r="K81" s="39">
        <v>45809</v>
      </c>
      <c r="L81" s="39">
        <v>45839</v>
      </c>
      <c r="M81" s="39">
        <v>45870</v>
      </c>
      <c r="N81" s="39">
        <v>45901</v>
      </c>
      <c r="O81" s="39">
        <v>45931</v>
      </c>
      <c r="P81" s="37"/>
      <c r="Q81" s="71"/>
    </row>
    <row r="82" spans="1:18">
      <c r="A82" s="8" t="s">
        <v>210</v>
      </c>
      <c r="B82" s="12" t="s">
        <v>4</v>
      </c>
      <c r="D82" s="9">
        <f>SUMIFS('MoDi Initiatives'!L:L,'MoDi Initiatives'!$A:$A,MoDi!$A$76,'MoDi Initiatives'!$B:$B,MoDi!$B82)</f>
        <v>4.3578863253028288E-2</v>
      </c>
      <c r="E82" s="9">
        <f>SUMIFS('MoDi Initiatives'!M:M,'MoDi Initiatives'!$A:$A,MoDi!$A$76,'MoDi Initiatives'!$B:$B,MoDi!$B82)</f>
        <v>-0.11853141667603692</v>
      </c>
      <c r="F82" s="9">
        <f>SUMIFS('MoDi Initiatives'!N:N,'MoDi Initiatives'!$A:$A,MoDi!$A$76,'MoDi Initiatives'!$B:$B,MoDi!$B82)</f>
        <v>-0.13363325175532251</v>
      </c>
      <c r="G82" s="9">
        <f>SUMIFS('MoDi Initiatives'!O:O,'MoDi Initiatives'!$A:$A,MoDi!$A$76,'MoDi Initiatives'!$B:$B,MoDi!$B82)</f>
        <v>0</v>
      </c>
      <c r="H82" s="9">
        <f>SUMIFS('MoDi Initiatives'!P:P,'MoDi Initiatives'!$A:$A,MoDi!$A$76,'MoDi Initiatives'!$B:$B,MoDi!$B82)</f>
        <v>0</v>
      </c>
      <c r="I82" s="9">
        <f>SUMIFS('MoDi Initiatives'!Q:Q,'MoDi Initiatives'!$A:$A,MoDi!$A$76,'MoDi Initiatives'!$B:$B,MoDi!$B82)</f>
        <v>0</v>
      </c>
      <c r="J82" s="9">
        <f>SUMIFS('MoDi Initiatives'!R:R,'MoDi Initiatives'!$A:$A,MoDi!$A$76,'MoDi Initiatives'!$B:$B,MoDi!$B82)</f>
        <v>-7.664517588016187E-3</v>
      </c>
      <c r="K82" s="9">
        <f>SUMIFS('MoDi Initiatives'!S:S,'MoDi Initiatives'!$A:$A,MoDi!$A$76,'MoDi Initiatives'!$B:$B,MoDi!$B82)</f>
        <v>0</v>
      </c>
      <c r="L82" s="9">
        <f>SUMIFS('MoDi Initiatives'!T:T,'MoDi Initiatives'!$A:$A,MoDi!$A$76,'MoDi Initiatives'!$B:$B,MoDi!$B82)</f>
        <v>-6.7049079447777391E-3</v>
      </c>
      <c r="M82" s="9">
        <f>SUMIFS('MoDi Initiatives'!U:U,'MoDi Initiatives'!$A:$A,MoDi!$A$76,'MoDi Initiatives'!$B:$B,MoDi!$B82)</f>
        <v>0</v>
      </c>
      <c r="N82" s="9">
        <f>SUMIFS('MoDi Initiatives'!V:V,'MoDi Initiatives'!$A:$A,MoDi!$A$76,'MoDi Initiatives'!$B:$B,MoDi!$B82)</f>
        <v>0</v>
      </c>
      <c r="O82" s="9">
        <f>SUMIFS('MoDi Initiatives'!W:W,'MoDi Initiatives'!$A:$A,MoDi!$A$76,'MoDi Initiatives'!$B:$B,MoDi!$B82)</f>
        <v>0</v>
      </c>
      <c r="Q82" s="71"/>
    </row>
    <row r="83" spans="1:18">
      <c r="A83" s="8" t="s">
        <v>210</v>
      </c>
      <c r="B83" s="13" t="s">
        <v>5</v>
      </c>
      <c r="D83" s="9">
        <f>SUMIFS('MoDi Initiatives'!L:L,'MoDi Initiatives'!$A:$A,MoDi!$A$76,'MoDi Initiatives'!$B:$B,MoDi!$B83)</f>
        <v>0</v>
      </c>
      <c r="E83" s="9">
        <f>SUMIFS('MoDi Initiatives'!M:M,'MoDi Initiatives'!$A:$A,MoDi!$A$76,'MoDi Initiatives'!$B:$B,MoDi!$B83)</f>
        <v>-1.1435184279727565E-2</v>
      </c>
      <c r="F83" s="9">
        <f>SUMIFS('MoDi Initiatives'!N:N,'MoDi Initiatives'!$A:$A,MoDi!$A$76,'MoDi Initiatives'!$B:$B,MoDi!$B83)</f>
        <v>-2.3205090065677132E-2</v>
      </c>
      <c r="G83" s="9">
        <f>SUMIFS('MoDi Initiatives'!O:O,'MoDi Initiatives'!$A:$A,MoDi!$A$76,'MoDi Initiatives'!$B:$B,MoDi!$B83)</f>
        <v>-1.9848889303259648E-2</v>
      </c>
      <c r="H83" s="9">
        <f>SUMIFS('MoDi Initiatives'!P:P,'MoDi Initiatives'!$A:$A,MoDi!$A$76,'MoDi Initiatives'!$B:$B,MoDi!$B83)</f>
        <v>-4.3608002548226662E-3</v>
      </c>
      <c r="I83" s="9">
        <f>SUMIFS('MoDi Initiatives'!Q:Q,'MoDi Initiatives'!$A:$A,MoDi!$A$76,'MoDi Initiatives'!$B:$B,MoDi!$B83)</f>
        <v>4.0167081297784672E-2</v>
      </c>
      <c r="J83" s="9">
        <f>SUMIFS('MoDi Initiatives'!R:R,'MoDi Initiatives'!$A:$A,MoDi!$A$76,'MoDi Initiatives'!$B:$B,MoDi!$B83)</f>
        <v>-3.8264517588016189E-2</v>
      </c>
      <c r="K83" s="9">
        <f>SUMIFS('MoDi Initiatives'!S:S,'MoDi Initiatives'!$A:$A,MoDi!$A$76,'MoDi Initiatives'!$B:$B,MoDi!$B83)</f>
        <v>-2.2724987389162433E-2</v>
      </c>
      <c r="L83" s="9">
        <f>SUMIFS('MoDi Initiatives'!T:T,'MoDi Initiatives'!$A:$A,MoDi!$A$76,'MoDi Initiatives'!$B:$B,MoDi!$B83)</f>
        <v>-2.3918919212763136E-3</v>
      </c>
      <c r="M83" s="9">
        <f>SUMIFS('MoDi Initiatives'!U:U,'MoDi Initiatives'!$A:$A,MoDi!$A$76,'MoDi Initiatives'!$B:$B,MoDi!$B83)</f>
        <v>3.9140049620885131E-2</v>
      </c>
      <c r="N83" s="9">
        <f>SUMIFS('MoDi Initiatives'!V:V,'MoDi Initiatives'!$A:$A,MoDi!$A$76,'MoDi Initiatives'!$B:$B,MoDi!$B83)</f>
        <v>0</v>
      </c>
      <c r="O83" s="9">
        <f>SUMIFS('MoDi Initiatives'!W:W,'MoDi Initiatives'!$A:$A,MoDi!$A$76,'MoDi Initiatives'!$B:$B,MoDi!$B83)</f>
        <v>0</v>
      </c>
      <c r="Q83" s="71"/>
    </row>
    <row r="84" spans="1:18">
      <c r="Q84" s="71"/>
    </row>
    <row r="85" spans="1:18">
      <c r="A85" s="36" t="s">
        <v>213</v>
      </c>
      <c r="B85" s="37"/>
      <c r="C85" s="37"/>
      <c r="D85" s="37"/>
      <c r="E85" s="37"/>
      <c r="F85" s="37"/>
      <c r="G85" s="37"/>
      <c r="H85" s="37"/>
      <c r="I85" s="37"/>
      <c r="J85" s="37"/>
      <c r="K85" s="37"/>
      <c r="L85" s="37"/>
      <c r="M85" s="37"/>
      <c r="N85" s="37"/>
      <c r="O85" s="37"/>
      <c r="P85" s="16" t="s">
        <v>214</v>
      </c>
      <c r="Q85" s="62" t="s">
        <v>215</v>
      </c>
    </row>
    <row r="86" spans="1:18">
      <c r="B86" s="12" t="s">
        <v>4</v>
      </c>
      <c r="C86" s="20">
        <f>'[4]MoDi Pricing'!$AE$571</f>
        <v>2.4448098383440682</v>
      </c>
      <c r="D86" s="53">
        <f>C86+D82</f>
        <v>2.4883887015970965</v>
      </c>
      <c r="E86" s="53">
        <f t="shared" ref="E86:O86" si="12">D86+E82</f>
        <v>2.3698572849210597</v>
      </c>
      <c r="F86" s="53">
        <f t="shared" si="12"/>
        <v>2.2362240331657373</v>
      </c>
      <c r="G86" s="53">
        <f t="shared" si="12"/>
        <v>2.2362240331657373</v>
      </c>
      <c r="H86" s="53">
        <f t="shared" si="12"/>
        <v>2.2362240331657373</v>
      </c>
      <c r="I86" s="53">
        <f t="shared" si="12"/>
        <v>2.2362240331657373</v>
      </c>
      <c r="J86" s="53">
        <f t="shared" si="12"/>
        <v>2.2285595155777211</v>
      </c>
      <c r="K86" s="53">
        <f t="shared" si="12"/>
        <v>2.2285595155777211</v>
      </c>
      <c r="L86" s="53">
        <f t="shared" si="12"/>
        <v>2.2218546076329435</v>
      </c>
      <c r="M86" s="53">
        <f t="shared" si="12"/>
        <v>2.2218546076329435</v>
      </c>
      <c r="N86" s="53">
        <f t="shared" si="12"/>
        <v>2.2218546076329435</v>
      </c>
      <c r="O86" s="53">
        <f t="shared" si="12"/>
        <v>2.2218546076329435</v>
      </c>
      <c r="P86" s="20">
        <f>SUMPRODUCT(D86:O86,$D$78:$O$78)/$P$78</f>
        <v>2.2669284526439895</v>
      </c>
      <c r="Q86" s="79">
        <f>P86*$P$78</f>
        <v>6.6636633896884394</v>
      </c>
      <c r="R86" t="s">
        <v>131</v>
      </c>
    </row>
    <row r="87" spans="1:18" ht="10" customHeight="1">
      <c r="B87" s="14"/>
      <c r="C87" s="5">
        <f>C86-'[4]MoDi Pricing'!AE571</f>
        <v>0</v>
      </c>
      <c r="D87" s="5">
        <f>D86-'[4]MoDi Pricing'!AF571</f>
        <v>0</v>
      </c>
      <c r="E87" s="5">
        <f>E86-'[4]MoDi Pricing'!AG571</f>
        <v>0</v>
      </c>
      <c r="F87" s="5">
        <f>F86-'[4]MoDi Pricing'!AH571</f>
        <v>0</v>
      </c>
      <c r="G87" s="5">
        <f>G86-'[4]MoDi Pricing'!AI571</f>
        <v>0</v>
      </c>
      <c r="H87" s="5">
        <f>H86-'[4]MoDi Pricing'!AJ571</f>
        <v>0</v>
      </c>
      <c r="I87" s="5">
        <f>I86-'[4]MoDi Pricing'!AK571</f>
        <v>0</v>
      </c>
      <c r="J87" s="5">
        <f>J86-'[4]MoDi Pricing'!AL571</f>
        <v>0</v>
      </c>
      <c r="K87" s="5">
        <f>K86-'[4]MoDi Pricing'!AM571</f>
        <v>0</v>
      </c>
      <c r="L87" s="5">
        <f>L86-'[4]MoDi Pricing'!AN571</f>
        <v>0</v>
      </c>
      <c r="M87" s="5">
        <f>M86-'[4]MoDi Pricing'!AO571</f>
        <v>0</v>
      </c>
      <c r="N87" s="5">
        <f>N86-'[4]MoDi Pricing'!AP571</f>
        <v>0</v>
      </c>
      <c r="O87" s="5">
        <f>O86-'[4]MoDi Pricing'!AQ571</f>
        <v>0</v>
      </c>
      <c r="Q87" s="71"/>
    </row>
    <row r="88" spans="1:18">
      <c r="B88" s="13" t="s">
        <v>5</v>
      </c>
      <c r="C88" s="20">
        <f>'[6]MoDi Pricing'!$AE$589</f>
        <v>2.4868060233725853</v>
      </c>
      <c r="D88" s="53">
        <f>C88+D83</f>
        <v>2.4868060233725853</v>
      </c>
      <c r="E88" s="53">
        <f t="shared" ref="E88:O88" si="13">D88+E83</f>
        <v>2.4753708390928577</v>
      </c>
      <c r="F88" s="53">
        <f t="shared" si="13"/>
        <v>2.4521657490271807</v>
      </c>
      <c r="G88" s="53">
        <f t="shared" si="13"/>
        <v>2.4323168597239211</v>
      </c>
      <c r="H88" s="53">
        <f t="shared" si="13"/>
        <v>2.4279560594690985</v>
      </c>
      <c r="I88" s="53">
        <f t="shared" si="13"/>
        <v>2.4681231407668833</v>
      </c>
      <c r="J88" s="53">
        <f t="shared" si="13"/>
        <v>2.429858623178867</v>
      </c>
      <c r="K88" s="53">
        <f t="shared" si="13"/>
        <v>2.4071336357897044</v>
      </c>
      <c r="L88" s="53">
        <f t="shared" si="13"/>
        <v>2.4047417438684282</v>
      </c>
      <c r="M88" s="53">
        <f t="shared" si="13"/>
        <v>2.4438817934893136</v>
      </c>
      <c r="N88" s="53">
        <f t="shared" si="13"/>
        <v>2.4438817934893136</v>
      </c>
      <c r="O88" s="53">
        <f t="shared" si="13"/>
        <v>2.4438817934893136</v>
      </c>
      <c r="P88" s="20">
        <f>SUMPRODUCT(D88:O88,$D$78:$O$78)/$P$78</f>
        <v>2.4438235758942932</v>
      </c>
      <c r="Q88" s="79">
        <f>P88*$P$78</f>
        <v>7.1836487272241856</v>
      </c>
      <c r="R88" t="s">
        <v>131</v>
      </c>
    </row>
    <row r="89" spans="1:18" ht="10.5" customHeight="1">
      <c r="C89" s="5">
        <f>C88-'[5]CoGS Tracker MoDi'!O289</f>
        <v>0</v>
      </c>
      <c r="D89" s="5">
        <f>D88-'[5]CoGS Tracker MoDi'!P289</f>
        <v>0</v>
      </c>
      <c r="E89" s="5">
        <f>E88-'[5]CoGS Tracker MoDi'!Q289</f>
        <v>0</v>
      </c>
      <c r="F89" s="5">
        <f>F88-'[5]CoGS Tracker MoDi'!R289</f>
        <v>0</v>
      </c>
      <c r="G89" s="5">
        <f>G88-'[5]CoGS Tracker MoDi'!S289</f>
        <v>0</v>
      </c>
      <c r="H89" s="5">
        <f>H88-'[5]CoGS Tracker MoDi'!T289</f>
        <v>2.0286750630083006E-4</v>
      </c>
      <c r="I89" s="123">
        <f>I88-'[5]CoGS Tracker MoDi'!U289</f>
        <v>-8.4197147802171912E-3</v>
      </c>
      <c r="J89" s="5">
        <f>J88-'[5]CoGS Tracker MoDi'!V289</f>
        <v>-3.8419714780216996E-2</v>
      </c>
      <c r="K89" s="5">
        <f>K88-'[5]CoGS Tracker MoDi'!W289</f>
        <v>-3.8419714780216996E-2</v>
      </c>
      <c r="L89" s="5">
        <f>L88-'[5]CoGS Tracker MoDi'!X289</f>
        <v>-3.8419714780216996E-2</v>
      </c>
      <c r="M89" s="5">
        <f>M88-'[5]CoGS Tracker MoDi'!Y289</f>
        <v>-3.8419714780216996E-2</v>
      </c>
      <c r="N89" s="5">
        <f>N88-'[5]CoGS Tracker MoDi'!Z289</f>
        <v>-3.8419714780216996E-2</v>
      </c>
      <c r="O89" s="5">
        <f>O88-'[5]CoGS Tracker MoDi'!AA289</f>
        <v>-3.8419714780216996E-2</v>
      </c>
      <c r="Q89" s="71"/>
    </row>
    <row r="90" spans="1:18">
      <c r="A90" s="49"/>
      <c r="B90" s="49" t="s">
        <v>221</v>
      </c>
      <c r="C90" s="50">
        <f>C88-C86</f>
        <v>4.1996185028517097E-2</v>
      </c>
      <c r="D90" s="50">
        <f t="shared" ref="D90:P90" si="14">D88-D86</f>
        <v>-1.5826782245111914E-3</v>
      </c>
      <c r="E90" s="50">
        <f t="shared" si="14"/>
        <v>0.10551355417179797</v>
      </c>
      <c r="F90" s="50">
        <f t="shared" si="14"/>
        <v>0.2159417158614434</v>
      </c>
      <c r="G90" s="50">
        <f t="shared" si="14"/>
        <v>0.19609282655818383</v>
      </c>
      <c r="H90" s="50">
        <f t="shared" si="14"/>
        <v>0.19173202630336128</v>
      </c>
      <c r="I90" s="50">
        <f t="shared" si="14"/>
        <v>0.23189910760114607</v>
      </c>
      <c r="J90" s="50">
        <f t="shared" si="14"/>
        <v>0.20129910760114589</v>
      </c>
      <c r="K90" s="50">
        <f t="shared" si="14"/>
        <v>0.17857412021198327</v>
      </c>
      <c r="L90" s="50">
        <f t="shared" si="14"/>
        <v>0.18288713623548469</v>
      </c>
      <c r="M90" s="50">
        <f t="shared" si="14"/>
        <v>0.22202718585637005</v>
      </c>
      <c r="N90" s="50">
        <f t="shared" si="14"/>
        <v>0.22202718585637005</v>
      </c>
      <c r="O90" s="50">
        <f t="shared" si="14"/>
        <v>0.22202718585637005</v>
      </c>
      <c r="P90" s="50">
        <f t="shared" si="14"/>
        <v>0.17689512325030377</v>
      </c>
      <c r="Q90" s="73">
        <f>Q88-Q86</f>
        <v>0.51998533753574616</v>
      </c>
    </row>
    <row r="91" spans="1:18">
      <c r="A91" s="74"/>
      <c r="B91" s="74"/>
      <c r="C91" s="75"/>
      <c r="D91" s="75"/>
      <c r="E91" s="75"/>
      <c r="F91" s="75"/>
      <c r="G91" s="75"/>
      <c r="H91" s="75"/>
      <c r="I91" s="75"/>
      <c r="J91" s="75"/>
      <c r="K91" s="75"/>
      <c r="L91" s="75"/>
      <c r="M91" s="75"/>
      <c r="N91" s="75"/>
      <c r="O91" s="75"/>
      <c r="P91" s="75"/>
      <c r="Q91" s="71"/>
    </row>
    <row r="92" spans="1:18">
      <c r="A92" s="56"/>
      <c r="B92" s="56"/>
      <c r="C92" s="57"/>
      <c r="D92" s="57"/>
      <c r="E92" s="57"/>
      <c r="F92" s="57"/>
      <c r="G92" s="57"/>
      <c r="H92" s="57"/>
      <c r="I92" s="57"/>
      <c r="J92" s="57"/>
      <c r="K92" s="57"/>
      <c r="L92" s="57"/>
      <c r="M92" s="57"/>
      <c r="N92" s="57"/>
      <c r="O92" s="57"/>
      <c r="P92" s="57"/>
    </row>
    <row r="93" spans="1:18">
      <c r="A93" s="56"/>
      <c r="B93" s="56"/>
      <c r="C93" s="57"/>
      <c r="D93" s="57"/>
      <c r="E93" s="57"/>
      <c r="F93" s="57"/>
      <c r="G93" s="57"/>
      <c r="H93" s="57"/>
      <c r="I93" s="57"/>
      <c r="J93" s="57"/>
      <c r="K93" s="57"/>
      <c r="L93" s="57"/>
      <c r="M93" s="57"/>
      <c r="N93" s="57"/>
      <c r="O93" s="57"/>
      <c r="P93" s="57"/>
    </row>
    <row r="94" spans="1:18">
      <c r="A94" s="71"/>
      <c r="B94" s="71"/>
      <c r="C94" s="71"/>
      <c r="D94" s="71"/>
      <c r="E94" s="71"/>
      <c r="F94" s="71"/>
      <c r="G94" s="71"/>
      <c r="H94" s="71"/>
      <c r="I94" s="71"/>
      <c r="J94" s="71"/>
      <c r="K94" s="71"/>
      <c r="L94" s="71"/>
      <c r="M94" s="71"/>
      <c r="N94" s="71"/>
      <c r="O94" s="71"/>
      <c r="P94" s="71"/>
      <c r="Q94" s="71"/>
    </row>
    <row r="95" spans="1:18">
      <c r="A95" s="52" t="s">
        <v>19</v>
      </c>
      <c r="B95" s="52"/>
      <c r="C95" s="52"/>
      <c r="D95" s="52"/>
      <c r="E95" s="52"/>
      <c r="F95" s="52"/>
      <c r="G95" s="52"/>
      <c r="H95" s="52"/>
      <c r="I95" s="52"/>
      <c r="J95" s="52"/>
      <c r="K95" s="52"/>
      <c r="L95" s="52"/>
      <c r="M95" s="52"/>
      <c r="N95" s="52"/>
      <c r="O95" s="52"/>
      <c r="P95" s="52"/>
      <c r="Q95" s="71"/>
    </row>
    <row r="96" spans="1:18">
      <c r="A96" s="80" t="s">
        <v>205</v>
      </c>
      <c r="B96" s="80"/>
      <c r="C96" s="80"/>
      <c r="D96" s="81">
        <v>45658</v>
      </c>
      <c r="E96" s="81">
        <v>45689</v>
      </c>
      <c r="F96" s="81">
        <v>45717</v>
      </c>
      <c r="G96" s="81">
        <v>45748</v>
      </c>
      <c r="H96" s="81">
        <v>45778</v>
      </c>
      <c r="I96" s="81">
        <v>45809</v>
      </c>
      <c r="J96" s="81">
        <v>45839</v>
      </c>
      <c r="K96" s="81">
        <v>45870</v>
      </c>
      <c r="L96" s="81">
        <v>45901</v>
      </c>
      <c r="M96" s="81">
        <v>45931</v>
      </c>
      <c r="N96" s="81">
        <v>45962</v>
      </c>
      <c r="O96" s="81">
        <v>45992</v>
      </c>
      <c r="P96" s="82" t="s">
        <v>206</v>
      </c>
      <c r="Q96" s="71"/>
    </row>
    <row r="97" spans="1:18">
      <c r="A97" s="1" t="s">
        <v>207</v>
      </c>
      <c r="B97" s="12" t="s">
        <v>4</v>
      </c>
      <c r="D97" s="3">
        <f>'[4]MoDi Vols'!AL87</f>
        <v>5.9473259999999968</v>
      </c>
      <c r="E97" s="3">
        <f>'[4]MoDi Vols'!AM87</f>
        <v>5.6008180000000021</v>
      </c>
      <c r="F97" s="3">
        <f>'[4]MoDi Vols'!AN87</f>
        <v>4.8702490000000003</v>
      </c>
      <c r="G97" s="3">
        <f>'[4]MoDi Vols'!AO87</f>
        <v>4.9080030000000017</v>
      </c>
      <c r="H97" s="3">
        <f>'[4]MoDi Vols'!AP87</f>
        <v>5.2819079999999952</v>
      </c>
      <c r="I97" s="3">
        <f>'[4]MoDi Vols'!AQ87</f>
        <v>5.6938559999999994</v>
      </c>
      <c r="J97" s="3">
        <f>'[4]MoDi Vols'!AR87</f>
        <v>6.2125979999999963</v>
      </c>
      <c r="K97" s="3">
        <f>'[4]MoDi Vols'!AS87</f>
        <v>6.0991299999999944</v>
      </c>
      <c r="L97" s="3">
        <f>'[4]MoDi Vols'!AT87</f>
        <v>5.7574929999999949</v>
      </c>
      <c r="M97" s="3">
        <f>'[4]MoDi Vols'!AU87</f>
        <v>5.8375599999999945</v>
      </c>
      <c r="N97" s="3">
        <f>'[4]MoDi Vols'!AV87</f>
        <v>5.7973089999999949</v>
      </c>
      <c r="O97" s="3">
        <f>'[4]MoDi Vols'!AW87</f>
        <v>8.7425010000000043</v>
      </c>
      <c r="P97" s="54">
        <f>SUM(D97:O97)</f>
        <v>70.74875099999997</v>
      </c>
      <c r="Q97" s="71"/>
    </row>
    <row r="98" spans="1:18">
      <c r="A98" s="1"/>
      <c r="B98" s="64" t="s">
        <v>169</v>
      </c>
      <c r="C98" s="65"/>
      <c r="D98" s="66">
        <f>'[5]Volume Summary'!L255</f>
        <v>2.4184910000000026</v>
      </c>
      <c r="E98" s="66">
        <f>'[5]Volume Summary'!M255</f>
        <v>2.404828000000002</v>
      </c>
      <c r="F98" s="66">
        <f>'[5]Volume Summary'!N255</f>
        <v>3.6221579999999998</v>
      </c>
      <c r="G98" s="66">
        <f>'[5]Volume Summary'!O255</f>
        <v>5.0082539999999964</v>
      </c>
      <c r="H98" s="66">
        <f>'[5]Volume Summary'!P255</f>
        <v>4.364573</v>
      </c>
      <c r="I98" s="66">
        <f>'[5]Volume Summary'!Q255</f>
        <v>7.3960779999999939</v>
      </c>
      <c r="J98" s="66">
        <f>'[5]Volume Summary'!R255</f>
        <v>3.4791559999999992</v>
      </c>
      <c r="K98" s="66">
        <f>'[5]Volume Summary'!S255</f>
        <v>3.497294000000001</v>
      </c>
      <c r="L98" s="66">
        <f>'[5]Volume Summary'!T255</f>
        <v>3.8626609999999988</v>
      </c>
      <c r="M98" s="66">
        <f>'[5]Volume Summary'!U255</f>
        <v>4.457454000000002</v>
      </c>
      <c r="N98" s="66">
        <f>'[5]Volume Summary'!V255</f>
        <v>5.0729620000000049</v>
      </c>
      <c r="O98" s="66">
        <f>'[5]Volume Summary'!W255</f>
        <v>8.0328790000000012</v>
      </c>
      <c r="P98" s="67">
        <f>SUM(D98:O98)</f>
        <v>53.616787999999993</v>
      </c>
      <c r="Q98" s="71"/>
      <c r="R98" t="s">
        <v>19</v>
      </c>
    </row>
    <row r="99" spans="1:18">
      <c r="Q99" s="71"/>
    </row>
    <row r="100" spans="1:18">
      <c r="A100" s="36" t="s">
        <v>209</v>
      </c>
      <c r="B100" s="37"/>
      <c r="C100" s="39">
        <v>45566</v>
      </c>
      <c r="D100" s="39">
        <v>45597</v>
      </c>
      <c r="E100" s="39">
        <v>45627</v>
      </c>
      <c r="F100" s="39">
        <v>45658</v>
      </c>
      <c r="G100" s="39">
        <v>45689</v>
      </c>
      <c r="H100" s="39">
        <v>45717</v>
      </c>
      <c r="I100" s="39">
        <v>45748</v>
      </c>
      <c r="J100" s="39">
        <v>45778</v>
      </c>
      <c r="K100" s="39">
        <v>45809</v>
      </c>
      <c r="L100" s="39">
        <v>45839</v>
      </c>
      <c r="M100" s="39">
        <v>45870</v>
      </c>
      <c r="N100" s="39">
        <v>45901</v>
      </c>
      <c r="O100" s="39">
        <v>45931</v>
      </c>
      <c r="P100" s="37"/>
      <c r="Q100" s="71"/>
    </row>
    <row r="101" spans="1:18">
      <c r="A101" s="8" t="s">
        <v>210</v>
      </c>
      <c r="B101" s="12" t="s">
        <v>4</v>
      </c>
      <c r="D101" s="9">
        <f>SUMIFS('MoDi Initiatives'!L:L,'MoDi Initiatives'!$A:$A,MoDi!$A$95,'MoDi Initiatives'!$B:$B,MoDi!$B101)</f>
        <v>1.5803713294458427E-2</v>
      </c>
      <c r="E101" s="9">
        <f>SUMIFS('MoDi Initiatives'!M:M,'MoDi Initiatives'!$A:$A,MoDi!$A$95,'MoDi Initiatives'!$B:$B,MoDi!$B101)</f>
        <v>-9.7544595697741081E-3</v>
      </c>
      <c r="F101" s="9">
        <f>SUMIFS('MoDi Initiatives'!N:N,'MoDi Initiatives'!$A:$A,MoDi!$A$95,'MoDi Initiatives'!$B:$B,MoDi!$B101)</f>
        <v>-3.4483928660736227E-2</v>
      </c>
      <c r="G101" s="9">
        <f>SUMIFS('MoDi Initiatives'!O:O,'MoDi Initiatives'!$A:$A,MoDi!$A$95,'MoDi Initiatives'!$B:$B,MoDi!$B101)</f>
        <v>-1.9508919139548195E-2</v>
      </c>
      <c r="H101" s="9">
        <f>SUMIFS('MoDi Initiatives'!P:P,'MoDi Initiatives'!$A:$A,MoDi!$A$95,'MoDi Initiatives'!$B:$B,MoDi!$B101)</f>
        <v>-9.5806469850202337E-3</v>
      </c>
      <c r="I101" s="9">
        <f>SUMIFS('MoDi Initiatives'!Q:Q,'MoDi Initiatives'!$A:$A,MoDi!$A$95,'MoDi Initiatives'!$B:$B,MoDi!$B101)</f>
        <v>0</v>
      </c>
      <c r="J101" s="9">
        <f>SUMIFS('MoDi Initiatives'!R:R,'MoDi Initiatives'!$A:$A,MoDi!$A$95,'MoDi Initiatives'!$B:$B,MoDi!$B101)</f>
        <v>-7.664517588016187E-3</v>
      </c>
      <c r="K101" s="9">
        <f>SUMIFS('MoDi Initiatives'!S:S,'MoDi Initiatives'!$A:$A,MoDi!$A$95,'MoDi Initiatives'!$B:$B,MoDi!$B101)</f>
        <v>0</v>
      </c>
      <c r="L101" s="9">
        <f>SUMIFS('MoDi Initiatives'!T:T,'MoDi Initiatives'!$A:$A,MoDi!$A$95,'MoDi Initiatives'!$B:$B,MoDi!$B101)</f>
        <v>-6.8495086836548981E-3</v>
      </c>
      <c r="M101" s="9">
        <f>SUMIFS('MoDi Initiatives'!U:U,'MoDi Initiatives'!$A:$A,MoDi!$A$95,'MoDi Initiatives'!$B:$B,MoDi!$B101)</f>
        <v>0</v>
      </c>
      <c r="N101" s="9">
        <f>SUMIFS('MoDi Initiatives'!V:V,'MoDi Initiatives'!$A:$A,MoDi!$A$95,'MoDi Initiatives'!$B:$B,MoDi!$B101)</f>
        <v>0</v>
      </c>
      <c r="O101" s="9">
        <f>SUMIFS('MoDi Initiatives'!W:W,'MoDi Initiatives'!$A:$A,MoDi!$A$95,'MoDi Initiatives'!$B:$B,MoDi!$B101)</f>
        <v>0</v>
      </c>
      <c r="Q101" s="71"/>
    </row>
    <row r="102" spans="1:18">
      <c r="A102" s="8" t="s">
        <v>210</v>
      </c>
      <c r="B102" s="13" t="s">
        <v>5</v>
      </c>
      <c r="D102" s="9">
        <f>SUMIFS('MoDi Initiatives'!L:L,'MoDi Initiatives'!$A:$A,MoDi!$A$95,'MoDi Initiatives'!$B:$B,MoDi!$B102)</f>
        <v>-2.9370693235512232E-3</v>
      </c>
      <c r="E102" s="9">
        <f>SUMIFS('MoDi Initiatives'!M:M,'MoDi Initiatives'!$A:$A,MoDi!$A$95,'MoDi Initiatives'!$B:$B,MoDi!$B102)</f>
        <v>2.0822610771781659E-3</v>
      </c>
      <c r="F102" s="9">
        <f>SUMIFS('MoDi Initiatives'!N:N,'MoDi Initiatives'!$A:$A,MoDi!$A$95,'MoDi Initiatives'!$B:$B,MoDi!$B102)</f>
        <v>-8.7673711150776379E-4</v>
      </c>
      <c r="G102" s="9">
        <f>SUMIFS('MoDi Initiatives'!O:O,'MoDi Initiatives'!$A:$A,MoDi!$A$95,'MoDi Initiatives'!$B:$B,MoDi!$B102)</f>
        <v>-1.6856980682675379E-2</v>
      </c>
      <c r="H102" s="9">
        <f>SUMIFS('MoDi Initiatives'!P:P,'MoDi Initiatives'!$A:$A,MoDi!$A$95,'MoDi Initiatives'!$B:$B,MoDi!$B102)</f>
        <v>-2.0540228078572351E-3</v>
      </c>
      <c r="I102" s="9">
        <f>SUMIFS('MoDi Initiatives'!Q:Q,'MoDi Initiatives'!$A:$A,MoDi!$A$95,'MoDi Initiatives'!$B:$B,MoDi!$B102)</f>
        <v>9.8560528808018626E-3</v>
      </c>
      <c r="J102" s="9">
        <f>SUMIFS('MoDi Initiatives'!R:R,'MoDi Initiatives'!$A:$A,MoDi!$A$95,'MoDi Initiatives'!$B:$B,MoDi!$B102)</f>
        <v>-1.3564517588016186E-2</v>
      </c>
      <c r="K102" s="9">
        <f>SUMIFS('MoDi Initiatives'!S:S,'MoDi Initiatives'!$A:$A,MoDi!$A$95,'MoDi Initiatives'!$B:$B,MoDi!$B102)</f>
        <v>3.4888693357364156E-3</v>
      </c>
      <c r="L102" s="9">
        <f>SUMIFS('MoDi Initiatives'!T:T,'MoDi Initiatives'!$A:$A,MoDi!$A$95,'MoDi Initiatives'!$B:$B,MoDi!$B102)</f>
        <v>-2.3918919212763136E-3</v>
      </c>
      <c r="M102" s="9">
        <f>SUMIFS('MoDi Initiatives'!U:U,'MoDi Initiatives'!$A:$A,MoDi!$A$95,'MoDi Initiatives'!$B:$B,MoDi!$B102)</f>
        <v>0</v>
      </c>
      <c r="N102" s="9">
        <f>SUMIFS('MoDi Initiatives'!V:V,'MoDi Initiatives'!$A:$A,MoDi!$A$95,'MoDi Initiatives'!$B:$B,MoDi!$B102)</f>
        <v>0</v>
      </c>
      <c r="O102" s="9">
        <f>SUMIFS('MoDi Initiatives'!W:W,'MoDi Initiatives'!$A:$A,MoDi!$A$95,'MoDi Initiatives'!$B:$B,MoDi!$B102)</f>
        <v>0</v>
      </c>
      <c r="Q102" s="71"/>
    </row>
    <row r="103" spans="1:18">
      <c r="Q103" s="71"/>
    </row>
    <row r="104" spans="1:18">
      <c r="A104" s="36" t="s">
        <v>213</v>
      </c>
      <c r="B104" s="37"/>
      <c r="C104" s="37"/>
      <c r="D104" s="37"/>
      <c r="E104" s="37"/>
      <c r="F104" s="37"/>
      <c r="G104" s="37"/>
      <c r="H104" s="37"/>
      <c r="I104" s="37"/>
      <c r="J104" s="37"/>
      <c r="K104" s="37"/>
      <c r="L104" s="37"/>
      <c r="M104" s="37"/>
      <c r="N104" s="37"/>
      <c r="O104" s="37"/>
      <c r="P104" s="16" t="s">
        <v>214</v>
      </c>
      <c r="Q104" s="62" t="s">
        <v>215</v>
      </c>
    </row>
    <row r="105" spans="1:18">
      <c r="B105" s="12" t="s">
        <v>4</v>
      </c>
      <c r="C105" s="180">
        <f>'[4]MoDi Pricing'!$AE$611</f>
        <v>0.92548714658574194</v>
      </c>
      <c r="D105" s="144">
        <f>C105+D101</f>
        <v>0.94129085988020034</v>
      </c>
      <c r="E105" s="144">
        <f t="shared" ref="E105:O105" si="15">D105+E101</f>
        <v>0.93153640031042628</v>
      </c>
      <c r="F105" s="144">
        <f t="shared" si="15"/>
        <v>0.89705247164969004</v>
      </c>
      <c r="G105" s="144">
        <f t="shared" si="15"/>
        <v>0.87754355251014182</v>
      </c>
      <c r="H105" s="144">
        <f>G105+H101</f>
        <v>0.86796290552512156</v>
      </c>
      <c r="I105" s="144">
        <f t="shared" si="15"/>
        <v>0.86796290552512156</v>
      </c>
      <c r="J105" s="144">
        <f t="shared" si="15"/>
        <v>0.86029838793710534</v>
      </c>
      <c r="K105" s="144">
        <f t="shared" si="15"/>
        <v>0.86029838793710534</v>
      </c>
      <c r="L105" s="144">
        <f t="shared" si="15"/>
        <v>0.85344887925345048</v>
      </c>
      <c r="M105" s="144">
        <f t="shared" si="15"/>
        <v>0.85344887925345048</v>
      </c>
      <c r="N105" s="144">
        <f t="shared" si="15"/>
        <v>0.85344887925345048</v>
      </c>
      <c r="O105" s="48">
        <f t="shared" si="15"/>
        <v>0.85344887925345048</v>
      </c>
      <c r="P105" s="212">
        <f>SUMPRODUCT(D105:O105,$D$97:$O$97)/$P$97</f>
        <v>0.87513163354787982</v>
      </c>
      <c r="Q105" s="79">
        <f>P105*$P$97</f>
        <v>61.914470034102173</v>
      </c>
      <c r="R105" t="s">
        <v>19</v>
      </c>
    </row>
    <row r="106" spans="1:18" ht="11.5" customHeight="1">
      <c r="B106" s="14"/>
      <c r="C106" s="5">
        <f>C105-'[4]MoDi Pricing'!AE611</f>
        <v>0</v>
      </c>
      <c r="D106" s="5">
        <f>D105-'[4]MoDi Pricing'!AF611</f>
        <v>0</v>
      </c>
      <c r="E106" s="5">
        <f>E105-'[4]MoDi Pricing'!AG611</f>
        <v>0</v>
      </c>
      <c r="F106" s="5">
        <f>F105-'[4]MoDi Pricing'!AH611</f>
        <v>0</v>
      </c>
      <c r="G106" s="5">
        <f>G105-'[4]MoDi Pricing'!AI611</f>
        <v>0</v>
      </c>
      <c r="H106" s="5">
        <f>H105-'[4]MoDi Pricing'!AJ611</f>
        <v>0</v>
      </c>
      <c r="I106" s="5">
        <f>I105-'[4]MoDi Pricing'!AK611</f>
        <v>0</v>
      </c>
      <c r="J106" s="5">
        <f>J105-'[4]MoDi Pricing'!AL611</f>
        <v>0</v>
      </c>
      <c r="K106" s="5">
        <f>K105-'[4]MoDi Pricing'!AM611</f>
        <v>0</v>
      </c>
      <c r="L106" s="5">
        <f>L105-'[4]MoDi Pricing'!AN611</f>
        <v>0</v>
      </c>
      <c r="M106" s="5">
        <f>M105-'[4]MoDi Pricing'!AO611</f>
        <v>0</v>
      </c>
      <c r="N106" s="5">
        <f>N105-'[4]MoDi Pricing'!AP611</f>
        <v>0</v>
      </c>
      <c r="O106" s="5">
        <f>O105-'[4]MoDi Pricing'!AQ611</f>
        <v>0</v>
      </c>
      <c r="P106" s="193"/>
      <c r="Q106" s="71"/>
    </row>
    <row r="107" spans="1:18">
      <c r="B107" s="13" t="s">
        <v>5</v>
      </c>
      <c r="C107" s="180">
        <f>'[6]MoDi Pricing'!$AE$640</f>
        <v>0.92983179350962808</v>
      </c>
      <c r="D107" s="144">
        <f>C107+D102</f>
        <v>0.92689472418607688</v>
      </c>
      <c r="E107" s="144">
        <f t="shared" ref="E107:O107" si="16">D107+E102</f>
        <v>0.92897698526325501</v>
      </c>
      <c r="F107" s="144">
        <f t="shared" si="16"/>
        <v>0.9281002481517473</v>
      </c>
      <c r="G107" s="144">
        <f t="shared" si="16"/>
        <v>0.91124326746907192</v>
      </c>
      <c r="H107" s="144">
        <f t="shared" si="16"/>
        <v>0.90918924466121465</v>
      </c>
      <c r="I107" s="144">
        <f t="shared" si="16"/>
        <v>0.91904529754201647</v>
      </c>
      <c r="J107" s="144">
        <f t="shared" si="16"/>
        <v>0.90548077995400034</v>
      </c>
      <c r="K107" s="144">
        <f t="shared" si="16"/>
        <v>0.90896964928973678</v>
      </c>
      <c r="L107" s="144">
        <f t="shared" si="16"/>
        <v>0.90657775736846047</v>
      </c>
      <c r="M107" s="144">
        <f t="shared" si="16"/>
        <v>0.90657775736846047</v>
      </c>
      <c r="N107" s="144">
        <f t="shared" si="16"/>
        <v>0.90657775736846047</v>
      </c>
      <c r="O107" s="144">
        <f t="shared" si="16"/>
        <v>0.90657775736846047</v>
      </c>
      <c r="P107" s="212">
        <f>SUMPRODUCT(D107:O107,$D$97:$O$97)/$P$97</f>
        <v>0.91317235074423031</v>
      </c>
      <c r="Q107" s="79">
        <f>P107*$P$97</f>
        <v>64.605803262888188</v>
      </c>
      <c r="R107" t="s">
        <v>19</v>
      </c>
    </row>
    <row r="108" spans="1:18" ht="11.5" customHeight="1">
      <c r="C108" s="5">
        <f>C107-'[5]CoGS Tracker MoDi'!O412</f>
        <v>0</v>
      </c>
      <c r="D108" s="5">
        <f>D107-'[5]CoGS Tracker MoDi'!P412</f>
        <v>0</v>
      </c>
      <c r="E108" s="5">
        <f>E107-'[5]CoGS Tracker MoDi'!Q412</f>
        <v>0</v>
      </c>
      <c r="F108" s="5">
        <f>F107-'[5]CoGS Tracker MoDi'!R412</f>
        <v>0</v>
      </c>
      <c r="G108" s="5">
        <f>G107-'[5]CoGS Tracker MoDi'!S412</f>
        <v>0</v>
      </c>
      <c r="H108" s="123">
        <f>H107-'[5]CoGS Tracker MoDi'!T412</f>
        <v>2.8553999054325985E-5</v>
      </c>
      <c r="I108" s="123">
        <f>I107-'[5]CoGS Tracker MoDi'!U412</f>
        <v>-5.8124641773387165E-3</v>
      </c>
      <c r="J108" s="5">
        <f>J107-'[5]CoGS Tracker MoDi'!V412</f>
        <v>-5.8124641773387165E-3</v>
      </c>
      <c r="K108" s="5">
        <f>K107-'[5]CoGS Tracker MoDi'!W412</f>
        <v>9.1875358226614079E-3</v>
      </c>
      <c r="L108" s="5">
        <f>L107-'[5]CoGS Tracker MoDi'!X412</f>
        <v>9.1875358226612969E-3</v>
      </c>
      <c r="M108" s="5">
        <f>M107-'[5]CoGS Tracker MoDi'!Y412</f>
        <v>9.1875358226612969E-3</v>
      </c>
      <c r="N108" s="5">
        <f>N107-'[5]CoGS Tracker MoDi'!Z412</f>
        <v>9.1875358226612969E-3</v>
      </c>
      <c r="O108" s="5">
        <f>O107-'[5]CoGS Tracker MoDi'!AA412</f>
        <v>9.1875358226612969E-3</v>
      </c>
      <c r="P108" s="193"/>
      <c r="Q108" s="71"/>
    </row>
    <row r="109" spans="1:18">
      <c r="A109" s="49"/>
      <c r="B109" s="49" t="s">
        <v>544</v>
      </c>
      <c r="C109" s="50">
        <f>C107-C105</f>
        <v>4.3446469238861418E-3</v>
      </c>
      <c r="D109" s="50">
        <f>D107-D105</f>
        <v>-1.4396135694123458E-2</v>
      </c>
      <c r="E109" s="50">
        <f t="shared" ref="E109:N109" si="17">E107-E105</f>
        <v>-2.5594150471712762E-3</v>
      </c>
      <c r="F109" s="50">
        <f t="shared" si="17"/>
        <v>3.1047776502057256E-2</v>
      </c>
      <c r="G109" s="50">
        <f t="shared" si="17"/>
        <v>3.3699714958930094E-2</v>
      </c>
      <c r="H109" s="50">
        <f t="shared" si="17"/>
        <v>4.1226339136093082E-2</v>
      </c>
      <c r="I109" s="50">
        <f t="shared" si="17"/>
        <v>5.1082392016894906E-2</v>
      </c>
      <c r="J109" s="50">
        <f t="shared" si="17"/>
        <v>4.5182392016895001E-2</v>
      </c>
      <c r="K109" s="50">
        <f t="shared" si="17"/>
        <v>4.8671261352631445E-2</v>
      </c>
      <c r="L109" s="50">
        <f t="shared" si="17"/>
        <v>5.3128878115009992E-2</v>
      </c>
      <c r="M109" s="50">
        <f t="shared" si="17"/>
        <v>5.3128878115009992E-2</v>
      </c>
      <c r="N109" s="50">
        <f t="shared" si="17"/>
        <v>5.3128878115009992E-2</v>
      </c>
      <c r="O109" s="50">
        <f>O107-O105</f>
        <v>5.3128878115009992E-2</v>
      </c>
      <c r="P109" s="327">
        <f>P107-P105</f>
        <v>3.8040717196350493E-2</v>
      </c>
      <c r="Q109" s="73">
        <f>Q107-Q105</f>
        <v>2.6913332287860143</v>
      </c>
    </row>
    <row r="110" spans="1:18" s="192" customFormat="1" ht="73.5">
      <c r="A110" s="188"/>
      <c r="B110" s="194" t="s">
        <v>6</v>
      </c>
      <c r="C110" s="189" t="s">
        <v>545</v>
      </c>
      <c r="D110" s="190"/>
      <c r="E110" s="190"/>
      <c r="F110" s="197" t="s">
        <v>546</v>
      </c>
      <c r="G110" s="190"/>
      <c r="H110" s="190"/>
      <c r="I110" s="190"/>
      <c r="J110" s="190"/>
      <c r="K110" s="190"/>
      <c r="L110" s="190"/>
      <c r="M110" s="190"/>
      <c r="N110" s="190"/>
      <c r="O110" s="190"/>
      <c r="P110" s="190"/>
      <c r="Q110" s="191"/>
    </row>
    <row r="111" spans="1:18">
      <c r="A111" s="56"/>
      <c r="B111" s="56"/>
      <c r="C111" s="57"/>
      <c r="D111" s="57"/>
      <c r="E111" s="57"/>
      <c r="F111" s="57"/>
      <c r="G111" s="57"/>
      <c r="H111" s="57"/>
      <c r="I111" s="57"/>
      <c r="J111" s="57"/>
      <c r="K111" s="57"/>
      <c r="L111" s="57"/>
      <c r="M111" s="57"/>
      <c r="N111" s="57"/>
      <c r="O111" s="57"/>
      <c r="P111" s="57"/>
      <c r="Q111" s="77"/>
    </row>
    <row r="112" spans="1:18">
      <c r="A112" s="56"/>
      <c r="B112" s="56"/>
      <c r="C112" s="57"/>
      <c r="D112" s="57"/>
      <c r="E112" s="57"/>
      <c r="F112" s="57"/>
      <c r="G112" s="57"/>
      <c r="H112" s="57"/>
      <c r="I112" s="57"/>
      <c r="J112" s="57"/>
      <c r="K112" s="57"/>
      <c r="L112" s="57"/>
      <c r="M112" s="57"/>
      <c r="N112" s="57"/>
      <c r="O112" s="57"/>
      <c r="P112" s="57"/>
      <c r="Q112" s="77"/>
    </row>
    <row r="113" spans="1:18">
      <c r="A113" s="71"/>
      <c r="B113" s="71"/>
      <c r="C113" s="71"/>
      <c r="D113" s="71"/>
      <c r="E113" s="71"/>
      <c r="F113" s="71"/>
      <c r="G113" s="71"/>
      <c r="H113" s="71"/>
      <c r="I113" s="71"/>
      <c r="J113" s="71"/>
      <c r="K113" s="71"/>
      <c r="L113" s="71"/>
      <c r="M113" s="71"/>
      <c r="N113" s="71"/>
      <c r="O113" s="71"/>
      <c r="P113" s="71"/>
      <c r="Q113" s="71"/>
    </row>
    <row r="114" spans="1:18">
      <c r="A114" s="52" t="s">
        <v>64</v>
      </c>
      <c r="B114" s="52"/>
      <c r="C114" s="52"/>
      <c r="D114" s="52"/>
      <c r="E114" s="52"/>
      <c r="F114" s="52"/>
      <c r="G114" s="52"/>
      <c r="H114" s="52"/>
      <c r="I114" s="52"/>
      <c r="J114" s="52"/>
      <c r="K114" s="52"/>
      <c r="L114" s="52"/>
      <c r="M114" s="52"/>
      <c r="N114" s="52"/>
      <c r="O114" s="52"/>
      <c r="P114" s="52"/>
      <c r="Q114" s="71"/>
    </row>
    <row r="115" spans="1:18">
      <c r="A115" s="80" t="s">
        <v>205</v>
      </c>
      <c r="B115" s="80"/>
      <c r="C115" s="80"/>
      <c r="D115" s="81">
        <v>45658</v>
      </c>
      <c r="E115" s="81">
        <v>45689</v>
      </c>
      <c r="F115" s="81">
        <v>45717</v>
      </c>
      <c r="G115" s="81">
        <v>45748</v>
      </c>
      <c r="H115" s="81">
        <v>45778</v>
      </c>
      <c r="I115" s="81">
        <v>45809</v>
      </c>
      <c r="J115" s="81">
        <v>45839</v>
      </c>
      <c r="K115" s="81">
        <v>45870</v>
      </c>
      <c r="L115" s="81">
        <v>45901</v>
      </c>
      <c r="M115" s="81">
        <v>45931</v>
      </c>
      <c r="N115" s="81">
        <v>45962</v>
      </c>
      <c r="O115" s="81">
        <v>45992</v>
      </c>
      <c r="P115" s="82" t="s">
        <v>206</v>
      </c>
      <c r="Q115" s="71"/>
    </row>
    <row r="116" spans="1:18">
      <c r="A116" s="1" t="s">
        <v>207</v>
      </c>
      <c r="B116" s="12" t="s">
        <v>4</v>
      </c>
      <c r="D116" s="3">
        <f>'[4]MoDi Vols'!AL88</f>
        <v>0.71319900000000025</v>
      </c>
      <c r="E116" s="3">
        <f>'[4]MoDi Vols'!AM88</f>
        <v>0.58001599999999998</v>
      </c>
      <c r="F116" s="3">
        <f>'[4]MoDi Vols'!AN88</f>
        <v>1.2392020000000001</v>
      </c>
      <c r="G116" s="3">
        <f>'[4]MoDi Vols'!AO88</f>
        <v>0.70384899999999995</v>
      </c>
      <c r="H116" s="3">
        <f>'[4]MoDi Vols'!AP88</f>
        <v>0.46793499999999993</v>
      </c>
      <c r="I116" s="3">
        <f>'[4]MoDi Vols'!AQ88</f>
        <v>0.32744799999999996</v>
      </c>
      <c r="J116" s="3">
        <f>'[4]MoDi Vols'!AR88</f>
        <v>1.5790689999999998</v>
      </c>
      <c r="K116" s="3">
        <f>'[4]MoDi Vols'!AS88</f>
        <v>0.87014000000000036</v>
      </c>
      <c r="L116" s="3">
        <f>'[4]MoDi Vols'!AT88</f>
        <v>0.97266200000000003</v>
      </c>
      <c r="M116" s="3">
        <f>'[4]MoDi Vols'!AU88</f>
        <v>1.192272</v>
      </c>
      <c r="N116" s="3">
        <f>'[4]MoDi Vols'!AV88</f>
        <v>0.5403190000000001</v>
      </c>
      <c r="O116" s="3">
        <f>'[4]MoDi Vols'!AW88</f>
        <v>0.88318200000000013</v>
      </c>
      <c r="P116" s="54">
        <f>SUM(D116:O116)</f>
        <v>10.069293</v>
      </c>
      <c r="Q116" s="71"/>
    </row>
    <row r="117" spans="1:18">
      <c r="A117" s="1"/>
      <c r="B117" s="64" t="s">
        <v>169</v>
      </c>
      <c r="C117" s="65"/>
      <c r="D117" s="66">
        <f>'[5]Volume Summary'!L256</f>
        <v>7.7666000000000013E-2</v>
      </c>
      <c r="E117" s="66">
        <f>'[5]Volume Summary'!M256</f>
        <v>9.0269999999999989E-2</v>
      </c>
      <c r="F117" s="66">
        <f>'[5]Volume Summary'!N256</f>
        <v>0.32211299999999998</v>
      </c>
      <c r="G117" s="66">
        <f>'[5]Volume Summary'!O256</f>
        <v>0.33710899999999994</v>
      </c>
      <c r="H117" s="66">
        <f>'[5]Volume Summary'!P256</f>
        <v>0.30290600000000001</v>
      </c>
      <c r="I117" s="66">
        <f>'[5]Volume Summary'!Q256</f>
        <v>0.75278</v>
      </c>
      <c r="J117" s="66">
        <f>'[5]Volume Summary'!R256</f>
        <v>0.72159899999999988</v>
      </c>
      <c r="K117" s="66">
        <f>'[5]Volume Summary'!S256</f>
        <v>0.78502699999999992</v>
      </c>
      <c r="L117" s="66">
        <f>'[5]Volume Summary'!T256</f>
        <v>0.84371099999999999</v>
      </c>
      <c r="M117" s="66">
        <f>'[5]Volume Summary'!U256</f>
        <v>0.86123700000000003</v>
      </c>
      <c r="N117" s="66">
        <f>'[5]Volume Summary'!V256</f>
        <v>0.88511699999999993</v>
      </c>
      <c r="O117" s="66">
        <f>'[5]Volume Summary'!W256</f>
        <v>0.95981799999999995</v>
      </c>
      <c r="P117" s="67">
        <f>SUM(D117:O117)</f>
        <v>6.9393530000000005</v>
      </c>
      <c r="Q117" s="71"/>
      <c r="R117" t="s">
        <v>64</v>
      </c>
    </row>
    <row r="118" spans="1:18">
      <c r="Q118" s="71"/>
    </row>
    <row r="119" spans="1:18">
      <c r="A119" s="36" t="s">
        <v>209</v>
      </c>
      <c r="B119" s="37"/>
      <c r="C119" s="39">
        <v>45566</v>
      </c>
      <c r="D119" s="39">
        <v>45597</v>
      </c>
      <c r="E119" s="39">
        <v>45627</v>
      </c>
      <c r="F119" s="39">
        <v>45658</v>
      </c>
      <c r="G119" s="39">
        <v>45689</v>
      </c>
      <c r="H119" s="39">
        <v>45717</v>
      </c>
      <c r="I119" s="39">
        <v>45748</v>
      </c>
      <c r="J119" s="39">
        <v>45778</v>
      </c>
      <c r="K119" s="39">
        <v>45809</v>
      </c>
      <c r="L119" s="39">
        <v>45839</v>
      </c>
      <c r="M119" s="39">
        <v>45870</v>
      </c>
      <c r="N119" s="39">
        <v>45901</v>
      </c>
      <c r="O119" s="39">
        <v>45931</v>
      </c>
      <c r="P119" s="37"/>
      <c r="Q119" s="71"/>
    </row>
    <row r="120" spans="1:18">
      <c r="A120" s="8" t="s">
        <v>210</v>
      </c>
      <c r="B120" s="12" t="s">
        <v>4</v>
      </c>
      <c r="D120" s="146">
        <f>SUMIFS('MoDi Initiatives'!L:L,'MoDi Initiatives'!$A:$A,MoDi!$A$114,'MoDi Initiatives'!$B:$B,MoDi!$B120)</f>
        <v>2.3171331007776939E-2</v>
      </c>
      <c r="E120" s="146">
        <f>SUMIFS('MoDi Initiatives'!M:M,'MoDi Initiatives'!$A:$A,MoDi!$A$114,'MoDi Initiatives'!$B:$B,MoDi!$B120)</f>
        <v>-9.7544595697741081E-3</v>
      </c>
      <c r="F120" s="146">
        <f>SUMIFS('MoDi Initiatives'!N:N,'MoDi Initiatives'!$A:$A,MoDi!$A$114,'MoDi Initiatives'!$B:$B,MoDi!$B120)</f>
        <v>-3.0651669866728133E-2</v>
      </c>
      <c r="G120" s="146">
        <f>SUMIFS('MoDi Initiatives'!O:O,'MoDi Initiatives'!$A:$A,MoDi!$A$114,'MoDi Initiatives'!$B:$B,MoDi!$B120)</f>
        <v>-1.9508919139548195E-2</v>
      </c>
      <c r="H120" s="146">
        <f>SUMIFS('MoDi Initiatives'!P:P,'MoDi Initiatives'!$A:$A,MoDi!$A$114,'MoDi Initiatives'!$B:$B,MoDi!$B120)</f>
        <v>0</v>
      </c>
      <c r="I120" s="146">
        <f>SUMIFS('MoDi Initiatives'!Q:Q,'MoDi Initiatives'!$A:$A,MoDi!$A$114,'MoDi Initiatives'!$B:$B,MoDi!$B120)</f>
        <v>0</v>
      </c>
      <c r="J120" s="146">
        <f>SUMIFS('MoDi Initiatives'!R:R,'MoDi Initiatives'!$A:$A,MoDi!$A$114,'MoDi Initiatives'!$B:$B,MoDi!$B120)</f>
        <v>0</v>
      </c>
      <c r="K120" s="146">
        <f>SUMIFS('MoDi Initiatives'!S:S,'MoDi Initiatives'!$A:$A,MoDi!$A$114,'MoDi Initiatives'!$B:$B,MoDi!$B120)</f>
        <v>-7.664517588016187E-3</v>
      </c>
      <c r="L120" s="146">
        <f>SUMIFS('MoDi Initiatives'!T:T,'MoDi Initiatives'!$A:$A,MoDi!$A$114,'MoDi Initiatives'!$B:$B,MoDi!$B120)</f>
        <v>-6.8495086836548981E-3</v>
      </c>
      <c r="M120" s="146">
        <f>SUMIFS('MoDi Initiatives'!U:U,'MoDi Initiatives'!$A:$A,MoDi!$A$114,'MoDi Initiatives'!$B:$B,MoDi!$B120)</f>
        <v>0</v>
      </c>
      <c r="N120" s="146">
        <f>SUMIFS('MoDi Initiatives'!V:V,'MoDi Initiatives'!$A:$A,MoDi!$A$114,'MoDi Initiatives'!$B:$B,MoDi!$B120)</f>
        <v>0</v>
      </c>
      <c r="O120" s="146">
        <f>SUMIFS('MoDi Initiatives'!W:W,'MoDi Initiatives'!$A:$A,MoDi!$A$114,'MoDi Initiatives'!$B:$B,MoDi!$B120)</f>
        <v>0</v>
      </c>
      <c r="P120" s="144"/>
      <c r="Q120" s="71"/>
    </row>
    <row r="121" spans="1:18">
      <c r="A121" s="8" t="s">
        <v>210</v>
      </c>
      <c r="B121" s="13" t="s">
        <v>5</v>
      </c>
      <c r="D121" s="9">
        <f>SUMIFS('MoDi Initiatives'!L:L,'MoDi Initiatives'!$A:$A,MoDi!$A$114,'MoDi Initiatives'!$B:$B,MoDi!$B121)</f>
        <v>0</v>
      </c>
      <c r="E121" s="9">
        <f>SUMIFS('MoDi Initiatives'!M:M,'MoDi Initiatives'!$A:$A,MoDi!$A$114,'MoDi Initiatives'!$B:$B,MoDi!$B121)</f>
        <v>-2.3014244803613686E-3</v>
      </c>
      <c r="F121" s="9">
        <f>SUMIFS('MoDi Initiatives'!N:N,'MoDi Initiatives'!$A:$A,MoDi!$A$114,'MoDi Initiatives'!$B:$B,MoDi!$B121)</f>
        <v>-1.320530478139195E-2</v>
      </c>
      <c r="G121" s="9">
        <f>SUMIFS('MoDi Initiatives'!O:O,'MoDi Initiatives'!$A:$A,MoDi!$A$114,'MoDi Initiatives'!$B:$B,MoDi!$B121)</f>
        <v>-1.6933695179929868E-2</v>
      </c>
      <c r="H121" s="9">
        <f>SUMIFS('MoDi Initiatives'!P:P,'MoDi Initiatives'!$A:$A,MoDi!$A$114,'MoDi Initiatives'!$B:$B,MoDi!$B121)</f>
        <v>-8.1577919144667291E-3</v>
      </c>
      <c r="I121" s="9">
        <f>SUMIFS('MoDi Initiatives'!Q:Q,'MoDi Initiatives'!$A:$A,MoDi!$A$114,'MoDi Initiatives'!$B:$B,MoDi!$B121)</f>
        <v>1.6636766371161415E-2</v>
      </c>
      <c r="J121" s="9">
        <f>SUMIFS('MoDi Initiatives'!R:R,'MoDi Initiatives'!$A:$A,MoDi!$A$114,'MoDi Initiatives'!$B:$B,MoDi!$B121)</f>
        <v>-1.2662490568335266E-2</v>
      </c>
      <c r="K121" s="9">
        <f>SUMIFS('MoDi Initiatives'!S:S,'MoDi Initiatives'!$A:$A,MoDi!$A$114,'MoDi Initiatives'!$B:$B,MoDi!$B121)</f>
        <v>-2.1423552410657305E-2</v>
      </c>
      <c r="L121" s="9">
        <f>SUMIFS('MoDi Initiatives'!T:T,'MoDi Initiatives'!$A:$A,MoDi!$A$114,'MoDi Initiatives'!$B:$B,MoDi!$B121)</f>
        <v>-2.3918919212763136E-3</v>
      </c>
      <c r="M121" s="9">
        <f>SUMIFS('MoDi Initiatives'!U:U,'MoDi Initiatives'!$A:$A,MoDi!$A$114,'MoDi Initiatives'!$B:$B,MoDi!$B121)</f>
        <v>0</v>
      </c>
      <c r="N121" s="9">
        <f>SUMIFS('MoDi Initiatives'!V:V,'MoDi Initiatives'!$A:$A,MoDi!$A$114,'MoDi Initiatives'!$B:$B,MoDi!$B121)</f>
        <v>0</v>
      </c>
      <c r="O121" s="9">
        <f>SUMIFS('MoDi Initiatives'!W:W,'MoDi Initiatives'!$A:$A,MoDi!$A$114,'MoDi Initiatives'!$B:$B,MoDi!$B121)</f>
        <v>0</v>
      </c>
      <c r="Q121" s="71"/>
    </row>
    <row r="122" spans="1:18">
      <c r="Q122" s="71"/>
    </row>
    <row r="123" spans="1:18">
      <c r="A123" s="36" t="s">
        <v>213</v>
      </c>
      <c r="B123" s="37"/>
      <c r="C123" s="37"/>
      <c r="D123" s="37"/>
      <c r="E123" s="37"/>
      <c r="F123" s="37"/>
      <c r="G123" s="37"/>
      <c r="H123" s="37"/>
      <c r="I123" s="37"/>
      <c r="J123" s="37"/>
      <c r="K123" s="37"/>
      <c r="L123" s="37"/>
      <c r="M123" s="37"/>
      <c r="N123" s="37"/>
      <c r="O123" s="37"/>
      <c r="P123" s="16" t="s">
        <v>214</v>
      </c>
      <c r="Q123" s="62" t="s">
        <v>215</v>
      </c>
    </row>
    <row r="124" spans="1:18">
      <c r="B124" s="12" t="s">
        <v>4</v>
      </c>
      <c r="C124" s="20">
        <f>'[4]MoDi Pricing'!$AE$668</f>
        <v>1.2623936016678194</v>
      </c>
      <c r="D124" s="53">
        <f>C124+D120</f>
        <v>1.2855649326755965</v>
      </c>
      <c r="E124" s="53">
        <f t="shared" ref="E124:O124" si="18">D124+E120</f>
        <v>1.2758104731058224</v>
      </c>
      <c r="F124" s="53">
        <f>E124+F120</f>
        <v>1.2451588032390943</v>
      </c>
      <c r="G124" s="53">
        <f t="shared" si="18"/>
        <v>1.2256498840995462</v>
      </c>
      <c r="H124" s="53">
        <f t="shared" si="18"/>
        <v>1.2256498840995462</v>
      </c>
      <c r="I124" s="53">
        <f t="shared" si="18"/>
        <v>1.2256498840995462</v>
      </c>
      <c r="J124" s="53">
        <f t="shared" si="18"/>
        <v>1.2256498840995462</v>
      </c>
      <c r="K124" s="53">
        <f t="shared" si="18"/>
        <v>1.2179853665115301</v>
      </c>
      <c r="L124" s="53">
        <f t="shared" si="18"/>
        <v>1.2111358578278753</v>
      </c>
      <c r="M124" s="53">
        <f t="shared" si="18"/>
        <v>1.2111358578278753</v>
      </c>
      <c r="N124" s="53">
        <f t="shared" si="18"/>
        <v>1.2111358578278753</v>
      </c>
      <c r="O124" s="53">
        <f t="shared" si="18"/>
        <v>1.2111358578278753</v>
      </c>
      <c r="P124" s="20">
        <f>SUMPRODUCT(D124:O124,$D$116:$O$116)/$P$116</f>
        <v>1.2293491453425949</v>
      </c>
      <c r="Q124" s="79">
        <f>P124*$P$116</f>
        <v>12.378676743754173</v>
      </c>
      <c r="R124" t="s">
        <v>64</v>
      </c>
    </row>
    <row r="125" spans="1:18" ht="12" customHeight="1">
      <c r="B125" s="14"/>
      <c r="C125" s="5">
        <f>C124-'[4]MoDi Pricing'!AE668</f>
        <v>0</v>
      </c>
      <c r="D125" s="5">
        <f>D124-'[4]MoDi Pricing'!AF668</f>
        <v>0</v>
      </c>
      <c r="E125" s="5">
        <f>E124-'[4]MoDi Pricing'!AG668</f>
        <v>0</v>
      </c>
      <c r="F125" s="5">
        <f>F124-'[4]MoDi Pricing'!AH668</f>
        <v>0</v>
      </c>
      <c r="G125" s="5">
        <f>G124-'[4]MoDi Pricing'!AI668</f>
        <v>0</v>
      </c>
      <c r="H125" s="5">
        <f>H124-'[4]MoDi Pricing'!AJ668</f>
        <v>0</v>
      </c>
      <c r="I125" s="5">
        <f>I124-'[4]MoDi Pricing'!AK668</f>
        <v>0</v>
      </c>
      <c r="J125" s="5">
        <f>J124-'[4]MoDi Pricing'!AL668</f>
        <v>0</v>
      </c>
      <c r="K125" s="5">
        <f>K124-'[4]MoDi Pricing'!AM668</f>
        <v>0</v>
      </c>
      <c r="L125" s="5">
        <f>L124-'[4]MoDi Pricing'!AN668</f>
        <v>0</v>
      </c>
      <c r="M125" s="5">
        <f>M124-'[4]MoDi Pricing'!AO668</f>
        <v>0</v>
      </c>
      <c r="N125" s="5">
        <f>N124-'[4]MoDi Pricing'!AP668</f>
        <v>0</v>
      </c>
      <c r="O125" s="5">
        <f>O124-'[4]MoDi Pricing'!AQ668</f>
        <v>0</v>
      </c>
      <c r="Q125" s="71"/>
    </row>
    <row r="126" spans="1:18">
      <c r="B126" s="13" t="s">
        <v>5</v>
      </c>
      <c r="C126" s="180">
        <f>'[6]MoDi Pricing'!$AE$699</f>
        <v>1.2657617987609118</v>
      </c>
      <c r="D126" s="144">
        <f>C126+D121</f>
        <v>1.2657617987609118</v>
      </c>
      <c r="E126" s="144">
        <f t="shared" ref="E126:O126" si="19">D126+E121</f>
        <v>1.2634603742805504</v>
      </c>
      <c r="F126" s="144">
        <f t="shared" si="19"/>
        <v>1.2502550694991583</v>
      </c>
      <c r="G126" s="144">
        <f t="shared" si="19"/>
        <v>1.2333213743192284</v>
      </c>
      <c r="H126" s="144">
        <f t="shared" si="19"/>
        <v>1.2251635824047618</v>
      </c>
      <c r="I126" s="144">
        <f t="shared" si="19"/>
        <v>1.2418003487759233</v>
      </c>
      <c r="J126" s="144">
        <f t="shared" si="19"/>
        <v>1.229137858207588</v>
      </c>
      <c r="K126" s="144">
        <f t="shared" si="19"/>
        <v>1.2077143057969306</v>
      </c>
      <c r="L126" s="144">
        <f t="shared" si="19"/>
        <v>1.2053224138756542</v>
      </c>
      <c r="M126" s="144">
        <f t="shared" si="19"/>
        <v>1.2053224138756542</v>
      </c>
      <c r="N126" s="144">
        <f t="shared" si="19"/>
        <v>1.2053224138756542</v>
      </c>
      <c r="O126" s="144">
        <f t="shared" si="19"/>
        <v>1.2053224138756542</v>
      </c>
      <c r="P126" s="180">
        <f>SUMPRODUCT(D126:O126,$D$116:$O$116)/$P$116</f>
        <v>1.2264887904873238</v>
      </c>
      <c r="Q126" s="79">
        <f>P126*$P$116</f>
        <v>12.349874992632477</v>
      </c>
      <c r="R126" t="s">
        <v>64</v>
      </c>
    </row>
    <row r="127" spans="1:18" ht="10" customHeight="1">
      <c r="C127" s="55">
        <f>C126-'[5]CoGS Tracker MoDi'!O344</f>
        <v>0</v>
      </c>
      <c r="D127" s="55">
        <f>D126-'[5]CoGS Tracker MoDi'!P344</f>
        <v>0</v>
      </c>
      <c r="E127" s="55">
        <f>E126-'[5]CoGS Tracker MoDi'!Q344</f>
        <v>0</v>
      </c>
      <c r="F127" s="55">
        <f>F126-'[5]CoGS Tracker MoDi'!R344</f>
        <v>0</v>
      </c>
      <c r="G127" s="55">
        <f>G126-'[5]CoGS Tracker MoDi'!S344</f>
        <v>0</v>
      </c>
      <c r="H127" s="55">
        <f>H126-'[5]CoGS Tracker MoDi'!T344</f>
        <v>5.4810150098427712E-3</v>
      </c>
      <c r="I127" s="55">
        <f>I126-'[5]CoGS Tracker MoDi'!U344</f>
        <v>-3.600031665502712E-4</v>
      </c>
      <c r="J127" s="55">
        <f>J126-'[5]CoGS Tracker MoDi'!V344</f>
        <v>-3.600031665502712E-4</v>
      </c>
      <c r="K127" s="55">
        <f>K126-'[5]CoGS Tracker MoDi'!W344</f>
        <v>-3.600031665502712E-4</v>
      </c>
      <c r="L127" s="231">
        <f>L126-'[5]CoGS Tracker MoDi'!X344</f>
        <v>-3.6000316655049325E-4</v>
      </c>
      <c r="M127" s="230">
        <f>M126-'[5]CoGS Tracker MoDi'!Y344</f>
        <v>-3.6000316655049325E-4</v>
      </c>
      <c r="N127" s="230">
        <f>N126-'[5]CoGS Tracker MoDi'!Z344</f>
        <v>-3.6000316655049325E-4</v>
      </c>
      <c r="O127" s="230">
        <f>O126-'[5]CoGS Tracker MoDi'!AA344</f>
        <v>-3.6000316655049325E-4</v>
      </c>
      <c r="Q127" s="71"/>
    </row>
    <row r="128" spans="1:18">
      <c r="A128" s="49"/>
      <c r="B128" s="49" t="s">
        <v>221</v>
      </c>
      <c r="C128" s="327">
        <f t="shared" ref="C128:Q128" si="20">C126-C124</f>
        <v>3.3681970930923288E-3</v>
      </c>
      <c r="D128" s="327">
        <f t="shared" si="20"/>
        <v>-1.980313391468469E-2</v>
      </c>
      <c r="E128" s="327">
        <f t="shared" si="20"/>
        <v>-1.2350098825272049E-2</v>
      </c>
      <c r="F128" s="327">
        <f t="shared" si="20"/>
        <v>5.0962662600639863E-3</v>
      </c>
      <c r="G128" s="327">
        <f t="shared" si="20"/>
        <v>7.6714902196821644E-3</v>
      </c>
      <c r="H128" s="327">
        <f t="shared" si="20"/>
        <v>-4.8630169478447449E-4</v>
      </c>
      <c r="I128" s="327">
        <f t="shared" si="20"/>
        <v>1.6150464676377041E-2</v>
      </c>
      <c r="J128" s="327">
        <f t="shared" si="20"/>
        <v>3.4879741080418025E-3</v>
      </c>
      <c r="K128" s="327">
        <f t="shared" si="20"/>
        <v>-1.0271060714599489E-2</v>
      </c>
      <c r="L128" s="327">
        <f t="shared" si="20"/>
        <v>-5.8134439522210535E-3</v>
      </c>
      <c r="M128" s="327">
        <f t="shared" si="20"/>
        <v>-5.8134439522210535E-3</v>
      </c>
      <c r="N128" s="327">
        <f t="shared" si="20"/>
        <v>-5.8134439522210535E-3</v>
      </c>
      <c r="O128" s="327">
        <f t="shared" si="20"/>
        <v>-5.8134439522210535E-3</v>
      </c>
      <c r="P128" s="327">
        <f t="shared" si="20"/>
        <v>-2.8603548552710301E-3</v>
      </c>
      <c r="Q128" s="73">
        <f t="shared" si="20"/>
        <v>-2.8801751121696029E-2</v>
      </c>
    </row>
    <row r="129" spans="1:19">
      <c r="A129" s="71"/>
      <c r="B129" s="71"/>
      <c r="C129" s="71"/>
      <c r="D129" s="71"/>
      <c r="E129" s="71"/>
      <c r="F129" s="71"/>
      <c r="G129" s="71"/>
      <c r="H129" s="71"/>
      <c r="I129" s="71"/>
      <c r="J129" s="71"/>
      <c r="K129" s="71"/>
      <c r="L129" s="71"/>
      <c r="M129" s="71"/>
      <c r="N129" s="71"/>
      <c r="O129" s="71"/>
      <c r="P129" s="71"/>
      <c r="Q129" s="71"/>
    </row>
    <row r="132" spans="1:19">
      <c r="O132" s="104" t="s">
        <v>547</v>
      </c>
      <c r="P132" s="105">
        <f>SUM(P4,P22,P40,P59,P78,P97,P116)</f>
        <v>123.65049799999998</v>
      </c>
    </row>
    <row r="133" spans="1:19">
      <c r="O133" s="104" t="s">
        <v>548</v>
      </c>
      <c r="P133" s="105">
        <f>SUM(P5,P23,P41,P60,P79,P98,P117)</f>
        <v>83.116333999999995</v>
      </c>
    </row>
    <row r="137" spans="1:19">
      <c r="K137" t="s">
        <v>549</v>
      </c>
      <c r="L137" t="s">
        <v>550</v>
      </c>
      <c r="M137" t="s">
        <v>551</v>
      </c>
      <c r="N137" t="s">
        <v>552</v>
      </c>
      <c r="O137" t="s">
        <v>553</v>
      </c>
    </row>
    <row r="138" spans="1:19">
      <c r="K138" s="3">
        <f>SUM(K4+K22+K40+K59+K78+K97+K116)</f>
        <v>10.651550999999996</v>
      </c>
      <c r="L138" s="3">
        <f>SUM(L4+L22+L40+L59+L78+L97+L116)</f>
        <v>10.561114999999996</v>
      </c>
      <c r="M138" s="3">
        <f>SUM(M4+M22+M40+M59+M78+M97+M116)</f>
        <v>10.742892999999995</v>
      </c>
      <c r="N138" s="3">
        <f>SUM(N4+N22+N40+N59+N78+N97+N116)</f>
        <v>10.035732999999995</v>
      </c>
      <c r="O138" s="3">
        <f>SUM(O4+O22+O40+O59+O78+O97+O116)</f>
        <v>13.775783000000004</v>
      </c>
      <c r="P138" s="3">
        <f>SUM(K138:O138)</f>
        <v>55.767074999999984</v>
      </c>
      <c r="Q138">
        <v>28000000</v>
      </c>
      <c r="R138" s="3">
        <f>(P138*1000000)</f>
        <v>55767074.999999985</v>
      </c>
      <c r="S138" s="3"/>
    </row>
  </sheetData>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E831-F2F3-458A-8FBD-3A928637001A}">
  <sheetPr>
    <tabColor theme="5"/>
  </sheetPr>
  <dimension ref="A1:AF449"/>
  <sheetViews>
    <sheetView zoomScale="80" zoomScaleNormal="80" workbookViewId="0">
      <pane ySplit="2" topLeftCell="A3" activePane="bottomLeft" state="frozen"/>
      <selection pane="bottomLeft" activeCell="F6" sqref="F6"/>
    </sheetView>
  </sheetViews>
  <sheetFormatPr defaultRowHeight="14" outlineLevelRow="1" outlineLevelCol="1"/>
  <cols>
    <col min="1" max="1" width="19.4140625" customWidth="1"/>
    <col min="3" max="3" width="13.4140625" customWidth="1"/>
    <col min="4" max="4" width="56.1640625" customWidth="1"/>
    <col min="5" max="6" width="18" style="24" customWidth="1"/>
    <col min="7" max="11" width="15.4140625" style="24" customWidth="1" outlineLevel="1"/>
    <col min="12" max="13" width="9.5" customWidth="1"/>
    <col min="14" max="14" width="8.75" customWidth="1"/>
    <col min="15" max="17" width="10.1640625" bestFit="1" customWidth="1"/>
    <col min="18" max="18" width="9.5" bestFit="1" customWidth="1"/>
    <col min="19" max="19" width="12" customWidth="1"/>
    <col min="20" max="24" width="9.5" bestFit="1" customWidth="1"/>
    <col min="29" max="29" width="9.5" bestFit="1" customWidth="1"/>
  </cols>
  <sheetData>
    <row r="1" spans="1:26" ht="14.5">
      <c r="E1" s="24" t="s">
        <v>554</v>
      </c>
      <c r="L1" s="154" t="s">
        <v>11</v>
      </c>
      <c r="M1" s="154" t="s">
        <v>11</v>
      </c>
      <c r="N1" s="154" t="s">
        <v>11</v>
      </c>
      <c r="O1" s="154" t="s">
        <v>11</v>
      </c>
      <c r="P1" s="154" t="s">
        <v>11</v>
      </c>
      <c r="Q1" s="155" t="s">
        <v>12</v>
      </c>
      <c r="R1" s="155" t="s">
        <v>12</v>
      </c>
      <c r="S1" s="155" t="s">
        <v>12</v>
      </c>
      <c r="T1" s="155" t="s">
        <v>12</v>
      </c>
      <c r="U1" s="155" t="s">
        <v>12</v>
      </c>
      <c r="V1" s="155" t="s">
        <v>12</v>
      </c>
      <c r="W1" s="155" t="s">
        <v>12</v>
      </c>
      <c r="Y1" s="112">
        <v>8.81203</v>
      </c>
      <c r="Z1" t="s">
        <v>159</v>
      </c>
    </row>
    <row r="2" spans="1:26" ht="14.5">
      <c r="A2" s="1" t="s">
        <v>13</v>
      </c>
      <c r="B2" s="1" t="s">
        <v>224</v>
      </c>
      <c r="C2" s="4" t="s">
        <v>210</v>
      </c>
      <c r="D2" s="11"/>
      <c r="E2" s="35" t="s">
        <v>770</v>
      </c>
      <c r="F2" s="35" t="s">
        <v>771</v>
      </c>
      <c r="G2" s="156">
        <v>45444</v>
      </c>
      <c r="H2" s="156">
        <v>45474</v>
      </c>
      <c r="I2" s="156">
        <v>45505</v>
      </c>
      <c r="J2" s="156">
        <v>45536</v>
      </c>
      <c r="K2" s="156">
        <v>45566</v>
      </c>
      <c r="L2" s="2">
        <v>45597</v>
      </c>
      <c r="M2" s="2">
        <v>45627</v>
      </c>
      <c r="N2" s="2">
        <v>45658</v>
      </c>
      <c r="O2" s="2">
        <v>45689</v>
      </c>
      <c r="P2" s="2">
        <v>45717</v>
      </c>
      <c r="Q2" s="2">
        <v>45748</v>
      </c>
      <c r="R2" s="2">
        <v>45778</v>
      </c>
      <c r="S2" s="2">
        <v>45809</v>
      </c>
      <c r="T2" s="2">
        <v>45839</v>
      </c>
      <c r="U2" s="2">
        <v>45870</v>
      </c>
      <c r="V2" s="2">
        <v>45901</v>
      </c>
      <c r="W2" s="2">
        <v>45931</v>
      </c>
      <c r="Y2" s="112">
        <v>9.1977399999999996</v>
      </c>
      <c r="Z2" t="s">
        <v>165</v>
      </c>
    </row>
    <row r="3" spans="1:26" s="152" customFormat="1">
      <c r="A3" s="148" t="s">
        <v>82</v>
      </c>
      <c r="B3" s="148" t="s">
        <v>225</v>
      </c>
      <c r="C3" s="151"/>
      <c r="D3" s="148"/>
      <c r="E3" s="148"/>
      <c r="F3" s="148"/>
      <c r="G3" s="199">
        <v>0.95806469850202469</v>
      </c>
      <c r="H3" s="199">
        <v>0.95806469850202336</v>
      </c>
      <c r="I3" s="199">
        <v>0.95806469850202358</v>
      </c>
      <c r="J3" s="199">
        <v>0.95806469850202358</v>
      </c>
      <c r="K3" s="199">
        <v>0.95806469850202358</v>
      </c>
      <c r="L3" s="199">
        <f>MoDi!D11</f>
        <v>0.95806469850202336</v>
      </c>
      <c r="M3" s="199">
        <f>MoDi!E11</f>
        <v>0.95789088591726945</v>
      </c>
      <c r="N3" s="199">
        <f>MoDi!F11</f>
        <v>0.92372004197884483</v>
      </c>
      <c r="O3" s="199">
        <f>MoDi!G11</f>
        <v>0.90421112283929661</v>
      </c>
      <c r="P3" s="199">
        <f>MoDi!H11</f>
        <v>0.88984015236176628</v>
      </c>
      <c r="Q3" s="199">
        <f>MoDi!I11</f>
        <v>0.88984015236176628</v>
      </c>
      <c r="R3" s="199">
        <f>MoDi!J11</f>
        <v>0.88217563477375005</v>
      </c>
      <c r="S3" s="199">
        <f>MoDi!K11</f>
        <v>0.88217563477375005</v>
      </c>
      <c r="T3" s="199">
        <f>MoDi!L11</f>
        <v>0.87532612609009519</v>
      </c>
      <c r="U3" s="199">
        <f>MoDi!M11</f>
        <v>0.87532612609009519</v>
      </c>
      <c r="V3" s="199">
        <f>MoDi!N11</f>
        <v>0.87532612609009519</v>
      </c>
      <c r="W3" s="199">
        <f>MoDi!O11</f>
        <v>0.87532612609009519</v>
      </c>
    </row>
    <row r="4" spans="1:26">
      <c r="A4" s="15" t="s">
        <v>82</v>
      </c>
      <c r="B4" s="12" t="s">
        <v>4</v>
      </c>
      <c r="C4" s="22" t="s">
        <v>555</v>
      </c>
      <c r="D4" s="21" t="s">
        <v>556</v>
      </c>
      <c r="E4" s="84" t="s">
        <v>58</v>
      </c>
      <c r="F4" s="84"/>
      <c r="G4" s="157"/>
      <c r="H4" s="157"/>
      <c r="I4" s="157"/>
      <c r="J4" s="157"/>
      <c r="K4" s="157"/>
      <c r="L4" s="117">
        <v>-1.6076459494170317E-2</v>
      </c>
      <c r="M4" s="117">
        <v>9.5806469850202337E-3</v>
      </c>
      <c r="N4" s="117">
        <v>5.1034082148217735E-3</v>
      </c>
      <c r="O4" s="117">
        <v>0</v>
      </c>
      <c r="P4" s="117">
        <v>0</v>
      </c>
      <c r="Q4" s="117">
        <v>0</v>
      </c>
      <c r="R4" s="117">
        <v>0</v>
      </c>
      <c r="S4" s="117">
        <v>0</v>
      </c>
      <c r="T4" s="117">
        <v>0</v>
      </c>
      <c r="U4" s="117">
        <v>0</v>
      </c>
      <c r="V4" s="117">
        <v>0</v>
      </c>
      <c r="W4" s="118">
        <v>0</v>
      </c>
    </row>
    <row r="5" spans="1:26">
      <c r="A5" s="15" t="s">
        <v>82</v>
      </c>
      <c r="B5" s="12" t="s">
        <v>4</v>
      </c>
      <c r="C5" s="22" t="s">
        <v>557</v>
      </c>
      <c r="D5" s="21" t="s">
        <v>558</v>
      </c>
      <c r="E5" s="23" t="s">
        <v>53</v>
      </c>
      <c r="F5" s="23" t="s">
        <v>776</v>
      </c>
      <c r="G5" s="157"/>
      <c r="H5" s="157"/>
      <c r="I5" s="157"/>
      <c r="J5" s="157"/>
      <c r="K5" s="157"/>
      <c r="L5" s="117">
        <v>0</v>
      </c>
      <c r="M5" s="117">
        <v>0</v>
      </c>
      <c r="N5" s="117">
        <v>0</v>
      </c>
      <c r="O5" s="117">
        <v>0</v>
      </c>
      <c r="P5" s="117">
        <v>0</v>
      </c>
      <c r="Q5" s="117">
        <v>0</v>
      </c>
      <c r="R5" s="117">
        <v>-7.664517588016187E-3</v>
      </c>
      <c r="S5" s="117">
        <v>0</v>
      </c>
      <c r="T5" s="117">
        <v>0</v>
      </c>
      <c r="U5" s="117">
        <v>0</v>
      </c>
      <c r="V5" s="117">
        <v>0</v>
      </c>
      <c r="W5" s="118">
        <v>0</v>
      </c>
    </row>
    <row r="6" spans="1:26">
      <c r="A6" s="15" t="s">
        <v>82</v>
      </c>
      <c r="B6" s="12" t="s">
        <v>4</v>
      </c>
      <c r="C6" s="22" t="s">
        <v>559</v>
      </c>
      <c r="D6" s="21" t="s">
        <v>560</v>
      </c>
      <c r="E6" s="23" t="s">
        <v>33</v>
      </c>
      <c r="F6" s="23" t="s">
        <v>782</v>
      </c>
      <c r="G6" s="157"/>
      <c r="H6" s="157"/>
      <c r="I6" s="157"/>
      <c r="J6" s="157"/>
      <c r="K6" s="157"/>
      <c r="L6" s="117">
        <v>0</v>
      </c>
      <c r="M6" s="117">
        <v>0</v>
      </c>
      <c r="N6" s="117">
        <v>-1.532550387377769E-2</v>
      </c>
      <c r="O6" s="117">
        <v>0</v>
      </c>
      <c r="P6" s="117">
        <v>0</v>
      </c>
      <c r="Q6" s="117">
        <v>0</v>
      </c>
      <c r="R6" s="117">
        <v>0</v>
      </c>
      <c r="S6" s="117">
        <v>0</v>
      </c>
      <c r="T6" s="117">
        <v>0</v>
      </c>
      <c r="U6" s="117">
        <v>0</v>
      </c>
      <c r="V6" s="117">
        <v>0</v>
      </c>
      <c r="W6" s="118">
        <v>0</v>
      </c>
    </row>
    <row r="7" spans="1:26">
      <c r="A7" s="15" t="s">
        <v>82</v>
      </c>
      <c r="B7" s="12" t="s">
        <v>4</v>
      </c>
      <c r="C7" s="22" t="s">
        <v>561</v>
      </c>
      <c r="D7" s="21" t="s">
        <v>562</v>
      </c>
      <c r="E7" s="23" t="s">
        <v>33</v>
      </c>
      <c r="F7" s="23" t="s">
        <v>781</v>
      </c>
      <c r="G7" s="157"/>
      <c r="H7" s="157"/>
      <c r="I7" s="157"/>
      <c r="J7" s="157"/>
      <c r="K7" s="157"/>
      <c r="L7" s="117">
        <v>0</v>
      </c>
      <c r="M7" s="117">
        <v>0</v>
      </c>
      <c r="N7" s="117">
        <v>-1.2451971897444373E-2</v>
      </c>
      <c r="O7" s="117">
        <v>0</v>
      </c>
      <c r="P7" s="117">
        <v>0</v>
      </c>
      <c r="Q7" s="117">
        <v>0</v>
      </c>
      <c r="R7" s="117">
        <v>0</v>
      </c>
      <c r="S7" s="117">
        <v>0</v>
      </c>
      <c r="T7" s="117">
        <v>0</v>
      </c>
      <c r="U7" s="117">
        <v>0</v>
      </c>
      <c r="V7" s="117">
        <v>0</v>
      </c>
      <c r="W7" s="118">
        <v>0</v>
      </c>
    </row>
    <row r="8" spans="1:26">
      <c r="A8" s="15" t="s">
        <v>82</v>
      </c>
      <c r="B8" s="12" t="s">
        <v>4</v>
      </c>
      <c r="C8" s="22" t="s">
        <v>563</v>
      </c>
      <c r="D8" s="21" t="s">
        <v>564</v>
      </c>
      <c r="E8" s="23" t="s">
        <v>33</v>
      </c>
      <c r="F8" s="23" t="s">
        <v>781</v>
      </c>
      <c r="G8" s="157"/>
      <c r="H8" s="157"/>
      <c r="I8" s="157"/>
      <c r="J8" s="157"/>
      <c r="K8" s="157"/>
      <c r="L8" s="117">
        <v>0</v>
      </c>
      <c r="M8" s="117">
        <v>0</v>
      </c>
      <c r="N8" s="117">
        <v>0</v>
      </c>
      <c r="O8" s="117">
        <v>0</v>
      </c>
      <c r="P8" s="117">
        <v>0</v>
      </c>
      <c r="Q8" s="117">
        <v>0</v>
      </c>
      <c r="R8" s="117">
        <v>0</v>
      </c>
      <c r="S8" s="117">
        <v>0</v>
      </c>
      <c r="T8" s="117">
        <v>-6.8495086836548981E-3</v>
      </c>
      <c r="U8" s="117">
        <v>0</v>
      </c>
      <c r="V8" s="117">
        <v>0</v>
      </c>
      <c r="W8" s="118">
        <v>0</v>
      </c>
    </row>
    <row r="9" spans="1:26">
      <c r="A9" s="15" t="s">
        <v>82</v>
      </c>
      <c r="B9" s="12" t="s">
        <v>4</v>
      </c>
      <c r="C9" s="22" t="s">
        <v>565</v>
      </c>
      <c r="D9" s="21" t="s">
        <v>566</v>
      </c>
      <c r="E9" s="23" t="s">
        <v>772</v>
      </c>
      <c r="F9" s="23" t="s">
        <v>777</v>
      </c>
      <c r="G9" s="157"/>
      <c r="H9" s="157"/>
      <c r="I9" s="157"/>
      <c r="J9" s="157"/>
      <c r="K9" s="157"/>
      <c r="L9" s="117">
        <v>0</v>
      </c>
      <c r="M9" s="373">
        <v>-9.7544595697741081E-3</v>
      </c>
      <c r="N9" s="117">
        <v>0</v>
      </c>
      <c r="O9" s="117">
        <v>0</v>
      </c>
      <c r="P9" s="117">
        <v>0</v>
      </c>
      <c r="Q9" s="117">
        <v>0</v>
      </c>
      <c r="R9" s="117">
        <v>0</v>
      </c>
      <c r="S9" s="117">
        <v>0</v>
      </c>
      <c r="T9" s="117">
        <v>0</v>
      </c>
      <c r="U9" s="117">
        <v>0</v>
      </c>
      <c r="V9" s="117">
        <v>0</v>
      </c>
      <c r="W9" s="118">
        <v>0</v>
      </c>
    </row>
    <row r="10" spans="1:26">
      <c r="A10" s="15" t="s">
        <v>82</v>
      </c>
      <c r="B10" s="12" t="s">
        <v>4</v>
      </c>
      <c r="C10" s="22" t="s">
        <v>567</v>
      </c>
      <c r="D10" s="21" t="s">
        <v>568</v>
      </c>
      <c r="E10" s="23" t="s">
        <v>772</v>
      </c>
      <c r="F10" s="23" t="s">
        <v>777</v>
      </c>
      <c r="G10" s="157"/>
      <c r="H10" s="157"/>
      <c r="I10" s="157"/>
      <c r="J10" s="157"/>
      <c r="K10" s="157"/>
      <c r="L10" s="117">
        <v>0</v>
      </c>
      <c r="M10" s="117">
        <v>0</v>
      </c>
      <c r="N10" s="117">
        <v>0</v>
      </c>
      <c r="O10" s="373">
        <v>-1.9508919139548195E-2</v>
      </c>
      <c r="P10" s="117">
        <v>0</v>
      </c>
      <c r="Q10" s="117">
        <v>0</v>
      </c>
      <c r="R10" s="117">
        <v>0</v>
      </c>
      <c r="S10" s="117">
        <v>0</v>
      </c>
      <c r="T10" s="117">
        <v>0</v>
      </c>
      <c r="U10" s="117">
        <v>0</v>
      </c>
      <c r="V10" s="117">
        <v>0</v>
      </c>
      <c r="W10" s="118">
        <v>0</v>
      </c>
    </row>
    <row r="11" spans="1:26">
      <c r="A11" s="15" t="s">
        <v>82</v>
      </c>
      <c r="B11" s="12" t="s">
        <v>4</v>
      </c>
      <c r="C11" s="22" t="s">
        <v>569</v>
      </c>
      <c r="D11" s="21" t="s">
        <v>570</v>
      </c>
      <c r="E11" s="23" t="s">
        <v>772</v>
      </c>
      <c r="F11" s="23" t="s">
        <v>777</v>
      </c>
      <c r="G11" s="157"/>
      <c r="H11" s="157"/>
      <c r="I11" s="157"/>
      <c r="J11" s="157"/>
      <c r="K11" s="157"/>
      <c r="L11" s="117">
        <v>0</v>
      </c>
      <c r="M11" s="117">
        <v>0</v>
      </c>
      <c r="N11" s="374">
        <v>-4.7903234925101169E-3</v>
      </c>
      <c r="O11" s="117">
        <v>0</v>
      </c>
      <c r="P11" s="117">
        <v>0</v>
      </c>
      <c r="Q11" s="117">
        <v>0</v>
      </c>
      <c r="R11" s="117">
        <v>0</v>
      </c>
      <c r="S11" s="117">
        <v>0</v>
      </c>
      <c r="T11" s="117">
        <v>0</v>
      </c>
      <c r="U11" s="117">
        <v>0</v>
      </c>
      <c r="V11" s="117">
        <v>0</v>
      </c>
      <c r="W11" s="118">
        <v>0</v>
      </c>
    </row>
    <row r="12" spans="1:26">
      <c r="A12" s="15" t="s">
        <v>82</v>
      </c>
      <c r="B12" s="12" t="s">
        <v>4</v>
      </c>
      <c r="C12" s="22" t="s">
        <v>571</v>
      </c>
      <c r="D12" s="21" t="s">
        <v>570</v>
      </c>
      <c r="E12" s="23" t="s">
        <v>772</v>
      </c>
      <c r="F12" s="23" t="s">
        <v>777</v>
      </c>
      <c r="G12" s="157"/>
      <c r="H12" s="157"/>
      <c r="I12" s="157"/>
      <c r="J12" s="157"/>
      <c r="K12" s="157"/>
      <c r="L12" s="117">
        <v>0</v>
      </c>
      <c r="M12" s="117">
        <v>0</v>
      </c>
      <c r="N12" s="117">
        <v>0</v>
      </c>
      <c r="O12" s="117">
        <v>0</v>
      </c>
      <c r="P12" s="374">
        <v>-1.4370970477530351E-2</v>
      </c>
      <c r="Q12" s="117">
        <v>0</v>
      </c>
      <c r="R12" s="117">
        <v>0</v>
      </c>
      <c r="S12" s="117">
        <v>0</v>
      </c>
      <c r="T12" s="117">
        <v>0</v>
      </c>
      <c r="U12" s="117">
        <v>0</v>
      </c>
      <c r="V12" s="117">
        <v>0</v>
      </c>
      <c r="W12" s="118">
        <v>0</v>
      </c>
    </row>
    <row r="13" spans="1:26">
      <c r="A13" s="15" t="s">
        <v>82</v>
      </c>
      <c r="B13" s="12" t="s">
        <v>4</v>
      </c>
      <c r="C13" s="22" t="s">
        <v>572</v>
      </c>
      <c r="D13" s="21" t="s">
        <v>573</v>
      </c>
      <c r="E13" s="23" t="s">
        <v>43</v>
      </c>
      <c r="F13" s="23" t="s">
        <v>778</v>
      </c>
      <c r="G13" s="157"/>
      <c r="H13" s="157"/>
      <c r="I13" s="157"/>
      <c r="J13" s="157"/>
      <c r="K13" s="157"/>
      <c r="L13" s="117">
        <v>0</v>
      </c>
      <c r="M13" s="117">
        <v>0</v>
      </c>
      <c r="N13" s="117">
        <v>-3.8322587940080935E-3</v>
      </c>
      <c r="O13" s="117">
        <v>0</v>
      </c>
      <c r="P13" s="117">
        <v>0</v>
      </c>
      <c r="Q13" s="117">
        <v>0</v>
      </c>
      <c r="R13" s="117">
        <v>0</v>
      </c>
      <c r="S13" s="117">
        <v>0</v>
      </c>
      <c r="T13" s="117">
        <v>0</v>
      </c>
      <c r="U13" s="117">
        <v>0</v>
      </c>
      <c r="V13" s="117">
        <v>0</v>
      </c>
      <c r="W13" s="118">
        <v>0</v>
      </c>
    </row>
    <row r="14" spans="1:26">
      <c r="A14" s="15" t="s">
        <v>82</v>
      </c>
      <c r="B14" s="12" t="s">
        <v>4</v>
      </c>
      <c r="C14" s="22" t="s">
        <v>574</v>
      </c>
      <c r="D14" s="21" t="s">
        <v>52</v>
      </c>
      <c r="E14" s="23" t="s">
        <v>142</v>
      </c>
      <c r="F14" s="23" t="s">
        <v>529</v>
      </c>
      <c r="G14" s="157"/>
      <c r="H14" s="157"/>
      <c r="I14" s="157"/>
      <c r="J14" s="157"/>
      <c r="K14" s="157"/>
      <c r="L14" s="117">
        <v>0</v>
      </c>
      <c r="M14" s="117">
        <v>0</v>
      </c>
      <c r="N14" s="339">
        <v>-2.8741940955060706E-3</v>
      </c>
      <c r="O14" s="117">
        <v>0</v>
      </c>
      <c r="P14" s="117">
        <v>0</v>
      </c>
      <c r="Q14" s="117">
        <v>0</v>
      </c>
      <c r="R14" s="117">
        <v>0</v>
      </c>
      <c r="S14" s="117">
        <v>0</v>
      </c>
      <c r="T14" s="117">
        <v>0</v>
      </c>
      <c r="U14" s="117">
        <v>0</v>
      </c>
      <c r="V14" s="117">
        <v>0</v>
      </c>
      <c r="W14" s="118">
        <v>0</v>
      </c>
    </row>
    <row r="15" spans="1:26">
      <c r="A15" s="15" t="s">
        <v>82</v>
      </c>
      <c r="B15" s="12" t="s">
        <v>4</v>
      </c>
      <c r="C15" s="28" t="s">
        <v>22</v>
      </c>
      <c r="D15" s="6" t="s">
        <v>24</v>
      </c>
      <c r="E15" s="7" t="s">
        <v>772</v>
      </c>
      <c r="F15" s="7" t="s">
        <v>777</v>
      </c>
      <c r="G15" s="157"/>
      <c r="H15" s="157"/>
      <c r="I15" s="157"/>
      <c r="J15" s="157"/>
      <c r="K15" s="157"/>
      <c r="L15" s="95">
        <v>2.1490822745587538E-3</v>
      </c>
      <c r="M15" s="117">
        <v>0</v>
      </c>
      <c r="N15" s="117">
        <v>0</v>
      </c>
      <c r="O15" s="117">
        <v>0</v>
      </c>
      <c r="P15" s="117">
        <v>0</v>
      </c>
      <c r="Q15" s="117">
        <v>0</v>
      </c>
      <c r="R15" s="117">
        <v>0</v>
      </c>
      <c r="S15" s="117">
        <v>0</v>
      </c>
      <c r="T15" s="117">
        <v>0</v>
      </c>
      <c r="U15" s="117">
        <v>0</v>
      </c>
      <c r="V15" s="117">
        <v>0</v>
      </c>
      <c r="W15" s="118">
        <v>0</v>
      </c>
    </row>
    <row r="16" spans="1:26">
      <c r="A16" s="15" t="s">
        <v>82</v>
      </c>
      <c r="B16" s="12" t="s">
        <v>4</v>
      </c>
      <c r="C16" s="28" t="s">
        <v>22</v>
      </c>
      <c r="D16" s="6" t="s">
        <v>145</v>
      </c>
      <c r="E16" s="7" t="s">
        <v>53</v>
      </c>
      <c r="F16" s="7" t="s">
        <v>776</v>
      </c>
      <c r="G16" s="157"/>
      <c r="H16" s="157"/>
      <c r="I16" s="157"/>
      <c r="J16" s="157"/>
      <c r="K16" s="157"/>
      <c r="L16" s="95">
        <v>0</v>
      </c>
      <c r="M16" s="117">
        <v>0</v>
      </c>
      <c r="N16" s="117">
        <v>0</v>
      </c>
      <c r="O16" s="117">
        <v>0</v>
      </c>
      <c r="P16" s="117">
        <v>0</v>
      </c>
      <c r="Q16" s="117">
        <v>0</v>
      </c>
      <c r="R16" s="117">
        <v>0</v>
      </c>
      <c r="S16" s="117">
        <v>0</v>
      </c>
      <c r="T16" s="117">
        <v>0</v>
      </c>
      <c r="U16" s="117">
        <v>0</v>
      </c>
      <c r="V16" s="117">
        <v>0</v>
      </c>
      <c r="W16" s="118">
        <v>0</v>
      </c>
    </row>
    <row r="17" spans="1:23">
      <c r="A17" s="15" t="s">
        <v>82</v>
      </c>
      <c r="B17" s="12" t="s">
        <v>4</v>
      </c>
      <c r="C17" s="28" t="s">
        <v>22</v>
      </c>
      <c r="D17" s="6" t="s">
        <v>140</v>
      </c>
      <c r="E17" s="7" t="s">
        <v>43</v>
      </c>
      <c r="F17" s="7" t="s">
        <v>778</v>
      </c>
      <c r="G17" s="157"/>
      <c r="H17" s="157"/>
      <c r="I17" s="157"/>
      <c r="J17" s="157"/>
      <c r="K17" s="157"/>
      <c r="L17" s="95">
        <v>6.7924715947337679E-4</v>
      </c>
      <c r="M17" s="117">
        <v>0</v>
      </c>
      <c r="N17" s="117">
        <v>0</v>
      </c>
      <c r="O17" s="117">
        <v>0</v>
      </c>
      <c r="P17" s="117">
        <v>0</v>
      </c>
      <c r="Q17" s="117">
        <v>0</v>
      </c>
      <c r="R17" s="117">
        <v>0</v>
      </c>
      <c r="S17" s="117">
        <v>0</v>
      </c>
      <c r="T17" s="117">
        <v>0</v>
      </c>
      <c r="U17" s="117">
        <v>0</v>
      </c>
      <c r="V17" s="117">
        <v>0</v>
      </c>
      <c r="W17" s="118">
        <v>0</v>
      </c>
    </row>
    <row r="18" spans="1:23">
      <c r="A18" s="15" t="s">
        <v>82</v>
      </c>
      <c r="B18" s="12" t="s">
        <v>4</v>
      </c>
      <c r="C18" s="28" t="s">
        <v>22</v>
      </c>
      <c r="D18" s="6" t="s">
        <v>49</v>
      </c>
      <c r="E18" s="7" t="s">
        <v>142</v>
      </c>
      <c r="F18" s="7" t="s">
        <v>529</v>
      </c>
      <c r="G18" s="157"/>
      <c r="H18" s="157"/>
      <c r="I18" s="157"/>
      <c r="J18" s="157"/>
      <c r="K18" s="157"/>
      <c r="L18" s="95">
        <v>9.5795741928312043E-4</v>
      </c>
      <c r="M18" s="117">
        <v>0</v>
      </c>
      <c r="N18" s="117">
        <v>0</v>
      </c>
      <c r="O18" s="117">
        <v>0</v>
      </c>
      <c r="P18" s="117">
        <v>0</v>
      </c>
      <c r="Q18" s="117">
        <v>0</v>
      </c>
      <c r="R18" s="117">
        <v>0</v>
      </c>
      <c r="S18" s="117">
        <v>0</v>
      </c>
      <c r="T18" s="117">
        <v>0</v>
      </c>
      <c r="U18" s="117">
        <v>0</v>
      </c>
      <c r="V18" s="117">
        <v>0</v>
      </c>
      <c r="W18" s="118">
        <v>0</v>
      </c>
    </row>
    <row r="19" spans="1:23">
      <c r="A19" s="15" t="s">
        <v>82</v>
      </c>
      <c r="B19" s="12" t="s">
        <v>4</v>
      </c>
      <c r="C19" s="28" t="s">
        <v>22</v>
      </c>
      <c r="D19" s="6" t="s">
        <v>58</v>
      </c>
      <c r="E19" s="7" t="s">
        <v>58</v>
      </c>
      <c r="F19" s="7"/>
      <c r="G19" s="157"/>
      <c r="H19" s="157"/>
      <c r="I19" s="157"/>
      <c r="J19" s="157"/>
      <c r="K19" s="157"/>
      <c r="L19" s="95">
        <v>4.8549222423873908E-3</v>
      </c>
      <c r="M19" s="117">
        <v>0</v>
      </c>
      <c r="N19" s="117">
        <v>0</v>
      </c>
      <c r="O19" s="117">
        <v>0</v>
      </c>
      <c r="P19" s="117">
        <v>0</v>
      </c>
      <c r="Q19" s="117">
        <v>0</v>
      </c>
      <c r="R19" s="117">
        <v>0</v>
      </c>
      <c r="S19" s="117">
        <v>0</v>
      </c>
      <c r="T19" s="117">
        <v>0</v>
      </c>
      <c r="U19" s="117">
        <v>0</v>
      </c>
      <c r="V19" s="117">
        <v>0</v>
      </c>
      <c r="W19" s="118">
        <v>0</v>
      </c>
    </row>
    <row r="20" spans="1:23" s="10" customFormat="1">
      <c r="A20" s="19" t="s">
        <v>82</v>
      </c>
      <c r="B20" s="18" t="s">
        <v>4</v>
      </c>
      <c r="C20" s="40" t="s">
        <v>22</v>
      </c>
      <c r="D20" s="41" t="s">
        <v>33</v>
      </c>
      <c r="E20" s="42" t="s">
        <v>33</v>
      </c>
      <c r="F20" s="42"/>
      <c r="G20" s="158"/>
      <c r="H20" s="158"/>
      <c r="I20" s="158"/>
      <c r="J20" s="158"/>
      <c r="K20" s="158"/>
      <c r="L20" s="130">
        <v>7.4352503984674379E-3</v>
      </c>
      <c r="M20" s="121">
        <v>0</v>
      </c>
      <c r="N20" s="121">
        <v>0</v>
      </c>
      <c r="O20" s="121">
        <v>0</v>
      </c>
      <c r="P20" s="121">
        <v>0</v>
      </c>
      <c r="Q20" s="121">
        <v>0</v>
      </c>
      <c r="R20" s="121">
        <v>0</v>
      </c>
      <c r="S20" s="121">
        <v>0</v>
      </c>
      <c r="T20" s="121">
        <v>0</v>
      </c>
      <c r="U20" s="121">
        <v>0</v>
      </c>
      <c r="V20" s="121">
        <v>0</v>
      </c>
      <c r="W20" s="122">
        <v>0</v>
      </c>
    </row>
    <row r="21" spans="1:23" outlineLevel="1">
      <c r="A21" s="15" t="s">
        <v>82</v>
      </c>
      <c r="B21" s="12" t="s">
        <v>4</v>
      </c>
      <c r="C21" s="22" t="s">
        <v>575</v>
      </c>
      <c r="D21" s="21" t="s">
        <v>576</v>
      </c>
      <c r="E21" s="23" t="s">
        <v>142</v>
      </c>
      <c r="F21" s="23" t="s">
        <v>529</v>
      </c>
      <c r="G21" s="316">
        <v>-1.3102533625155871E-2</v>
      </c>
      <c r="H21" s="316">
        <v>0</v>
      </c>
      <c r="I21" s="316">
        <v>0</v>
      </c>
      <c r="J21" s="316">
        <v>0</v>
      </c>
      <c r="K21" s="316">
        <v>0</v>
      </c>
      <c r="L21" s="170"/>
      <c r="M21" s="317"/>
      <c r="N21" s="317"/>
      <c r="O21" s="317"/>
      <c r="P21" s="317"/>
      <c r="Q21" s="317"/>
      <c r="R21" s="317"/>
      <c r="S21" s="317"/>
      <c r="T21" s="317"/>
      <c r="U21" s="317"/>
      <c r="V21" s="317"/>
      <c r="W21" s="317"/>
    </row>
    <row r="22" spans="1:23" outlineLevel="1">
      <c r="A22" s="15" t="s">
        <v>82</v>
      </c>
      <c r="B22" s="12" t="s">
        <v>4</v>
      </c>
      <c r="C22" s="22" t="s">
        <v>577</v>
      </c>
      <c r="D22" s="21" t="s">
        <v>578</v>
      </c>
      <c r="E22" s="23" t="s">
        <v>33</v>
      </c>
      <c r="F22" s="23" t="s">
        <v>789</v>
      </c>
      <c r="G22" s="316">
        <v>0</v>
      </c>
      <c r="H22" s="316">
        <v>0</v>
      </c>
      <c r="I22" s="316">
        <v>-1.2611793766729653E-2</v>
      </c>
      <c r="J22" s="316">
        <v>0</v>
      </c>
      <c r="K22" s="316">
        <v>0</v>
      </c>
      <c r="L22" s="170"/>
      <c r="M22" s="317"/>
      <c r="N22" s="317"/>
      <c r="O22" s="317"/>
      <c r="P22" s="317"/>
      <c r="Q22" s="317"/>
      <c r="R22" s="317"/>
      <c r="S22" s="317"/>
      <c r="T22" s="317"/>
      <c r="U22" s="317"/>
      <c r="V22" s="317"/>
      <c r="W22" s="317"/>
    </row>
    <row r="23" spans="1:23" outlineLevel="1">
      <c r="A23" s="15" t="s">
        <v>82</v>
      </c>
      <c r="B23" s="12" t="s">
        <v>4</v>
      </c>
      <c r="C23" s="22" t="s">
        <v>579</v>
      </c>
      <c r="D23" s="21" t="s">
        <v>580</v>
      </c>
      <c r="E23" s="23" t="s">
        <v>58</v>
      </c>
      <c r="F23" s="23" t="s">
        <v>775</v>
      </c>
      <c r="G23" s="316">
        <v>-9.0239558848151831E-3</v>
      </c>
      <c r="H23" s="316">
        <v>0</v>
      </c>
      <c r="I23" s="316">
        <v>0</v>
      </c>
      <c r="J23" s="316">
        <v>0</v>
      </c>
      <c r="K23" s="316">
        <v>0</v>
      </c>
      <c r="L23" s="170"/>
      <c r="M23" s="317"/>
      <c r="N23" s="317"/>
      <c r="O23" s="317"/>
      <c r="P23" s="317"/>
      <c r="Q23" s="317"/>
      <c r="R23" s="317"/>
      <c r="S23" s="317"/>
      <c r="T23" s="317"/>
      <c r="U23" s="317"/>
      <c r="V23" s="317"/>
      <c r="W23" s="317"/>
    </row>
    <row r="24" spans="1:23" outlineLevel="1">
      <c r="A24" s="15" t="s">
        <v>82</v>
      </c>
      <c r="B24" s="12" t="s">
        <v>4</v>
      </c>
      <c r="C24" s="22" t="s">
        <v>581</v>
      </c>
      <c r="D24" s="21" t="s">
        <v>582</v>
      </c>
      <c r="E24" s="23" t="s">
        <v>53</v>
      </c>
      <c r="F24" s="23" t="s">
        <v>776</v>
      </c>
      <c r="G24" s="316">
        <v>0</v>
      </c>
      <c r="H24" s="316">
        <v>0</v>
      </c>
      <c r="I24" s="316">
        <v>0</v>
      </c>
      <c r="J24" s="316">
        <v>0</v>
      </c>
      <c r="K24" s="316">
        <v>-7.664517588016187E-3</v>
      </c>
      <c r="L24" s="170"/>
      <c r="M24" s="317"/>
      <c r="N24" s="317"/>
      <c r="O24" s="317"/>
      <c r="P24" s="317"/>
      <c r="Q24" s="317"/>
      <c r="R24" s="317"/>
      <c r="S24" s="317"/>
      <c r="T24" s="317"/>
      <c r="U24" s="317"/>
      <c r="V24" s="317"/>
      <c r="W24" s="317"/>
    </row>
    <row r="25" spans="1:23" outlineLevel="1">
      <c r="A25" s="15" t="s">
        <v>82</v>
      </c>
      <c r="B25" s="12" t="s">
        <v>4</v>
      </c>
      <c r="C25" s="22" t="s">
        <v>583</v>
      </c>
      <c r="D25" s="21" t="s">
        <v>61</v>
      </c>
      <c r="E25" s="23" t="s">
        <v>58</v>
      </c>
      <c r="F25" s="23" t="s">
        <v>416</v>
      </c>
      <c r="G25" s="316">
        <v>-1.6953431506480056E-3</v>
      </c>
      <c r="H25" s="316">
        <v>0</v>
      </c>
      <c r="I25" s="316">
        <v>0</v>
      </c>
      <c r="J25" s="316">
        <v>0</v>
      </c>
      <c r="K25" s="316">
        <v>0</v>
      </c>
      <c r="L25" s="170"/>
      <c r="M25" s="317"/>
      <c r="N25" s="317"/>
      <c r="O25" s="317"/>
      <c r="P25" s="317"/>
      <c r="Q25" s="317"/>
      <c r="R25" s="317"/>
      <c r="S25" s="317"/>
      <c r="T25" s="317"/>
      <c r="U25" s="317"/>
      <c r="V25" s="317"/>
      <c r="W25" s="317"/>
    </row>
    <row r="26" spans="1:23" outlineLevel="1">
      <c r="A26" s="15" t="s">
        <v>82</v>
      </c>
      <c r="B26" s="12" t="s">
        <v>4</v>
      </c>
      <c r="C26" s="22" t="s">
        <v>555</v>
      </c>
      <c r="D26" s="21" t="s">
        <v>556</v>
      </c>
      <c r="E26" s="84" t="s">
        <v>58</v>
      </c>
      <c r="F26" s="84"/>
      <c r="G26" s="316">
        <v>2.286507589210816E-2</v>
      </c>
      <c r="H26" s="316">
        <v>8.1541770043497969E-3</v>
      </c>
      <c r="I26" s="316">
        <v>1.2611793766729783E-2</v>
      </c>
      <c r="J26" s="316">
        <v>0</v>
      </c>
      <c r="K26" s="316">
        <v>7.6645175880161974E-3</v>
      </c>
      <c r="L26" s="170"/>
      <c r="M26" s="317"/>
      <c r="N26" s="317"/>
      <c r="O26" s="317"/>
      <c r="P26" s="317"/>
      <c r="Q26" s="317"/>
      <c r="R26" s="317"/>
      <c r="S26" s="317"/>
      <c r="T26" s="317"/>
      <c r="U26" s="317"/>
      <c r="V26" s="317"/>
      <c r="W26" s="317"/>
    </row>
    <row r="27" spans="1:23" outlineLevel="1">
      <c r="A27" s="15" t="s">
        <v>82</v>
      </c>
      <c r="B27" s="12" t="s">
        <v>4</v>
      </c>
      <c r="C27" s="22" t="s">
        <v>584</v>
      </c>
      <c r="D27" s="21" t="s">
        <v>584</v>
      </c>
      <c r="E27" s="23" t="s">
        <v>772</v>
      </c>
      <c r="F27" s="23" t="s">
        <v>779</v>
      </c>
      <c r="G27" s="316">
        <v>9.5675676851080243E-4</v>
      </c>
      <c r="H27" s="316">
        <v>0</v>
      </c>
      <c r="I27" s="316">
        <v>0</v>
      </c>
      <c r="J27" s="316">
        <v>0</v>
      </c>
      <c r="K27" s="316">
        <v>0</v>
      </c>
      <c r="L27" s="170"/>
      <c r="M27" s="317"/>
      <c r="N27" s="317"/>
      <c r="O27" s="317"/>
      <c r="P27" s="317"/>
      <c r="Q27" s="317"/>
      <c r="R27" s="317"/>
      <c r="S27" s="317"/>
      <c r="T27" s="317"/>
      <c r="U27" s="317"/>
      <c r="V27" s="317"/>
      <c r="W27" s="317"/>
    </row>
    <row r="28" spans="1:23" outlineLevel="1">
      <c r="A28" s="15" t="s">
        <v>82</v>
      </c>
      <c r="B28" s="12" t="s">
        <v>4</v>
      </c>
      <c r="C28" s="22" t="s">
        <v>585</v>
      </c>
      <c r="D28" s="21" t="s">
        <v>586</v>
      </c>
      <c r="E28" s="23" t="s">
        <v>33</v>
      </c>
      <c r="F28" s="23" t="s">
        <v>781</v>
      </c>
      <c r="G28" s="316">
        <v>0</v>
      </c>
      <c r="H28" s="316">
        <v>-8.1541770043510684E-3</v>
      </c>
      <c r="I28" s="316">
        <v>0</v>
      </c>
      <c r="J28" s="316">
        <v>0</v>
      </c>
      <c r="K28" s="316">
        <v>0</v>
      </c>
      <c r="L28" s="170"/>
      <c r="M28" s="317"/>
      <c r="N28" s="317"/>
      <c r="O28" s="317"/>
      <c r="P28" s="317"/>
      <c r="Q28" s="317"/>
      <c r="R28" s="317"/>
      <c r="S28" s="317"/>
      <c r="T28" s="317"/>
      <c r="U28" s="317"/>
      <c r="V28" s="317"/>
      <c r="W28" s="317"/>
    </row>
    <row r="29" spans="1:23">
      <c r="A29" s="200" t="s">
        <v>82</v>
      </c>
      <c r="B29" s="200" t="s">
        <v>251</v>
      </c>
      <c r="C29" s="200"/>
      <c r="D29" s="200"/>
      <c r="E29" s="200"/>
      <c r="F29" s="200"/>
      <c r="G29" s="201">
        <v>0.95806469850202469</v>
      </c>
      <c r="H29" s="201">
        <v>0.9580646985020248</v>
      </c>
      <c r="I29" s="201">
        <v>0.95806469850202491</v>
      </c>
      <c r="J29" s="201">
        <v>0.95806469850202569</v>
      </c>
      <c r="K29" s="201">
        <v>0.95806469850202569</v>
      </c>
      <c r="L29" s="201">
        <f>MoDi!D13</f>
        <v>0.9580646985020258</v>
      </c>
      <c r="M29" s="201">
        <f>MoDi!E13</f>
        <v>0.96014694914185283</v>
      </c>
      <c r="N29" s="201">
        <f>MoDi!F13</f>
        <v>0.95907392078093001</v>
      </c>
      <c r="O29" s="201">
        <f>MoDi!G13</f>
        <v>0.94218406245657316</v>
      </c>
      <c r="P29" s="235">
        <f>MoDi!H13</f>
        <v>0.94051784466489452</v>
      </c>
      <c r="Q29" s="201">
        <f>MoDi!I13</f>
        <v>0.95043505805802719</v>
      </c>
      <c r="R29" s="201">
        <f>MoDi!J13</f>
        <v>0.93727054047001102</v>
      </c>
      <c r="S29" s="201">
        <f>MoDi!K13</f>
        <v>0.92564403684568497</v>
      </c>
      <c r="T29" s="201">
        <f>MoDi!L13</f>
        <v>0.92325214492440866</v>
      </c>
      <c r="U29" s="201">
        <f>MoDi!M13</f>
        <v>0.92325214492440866</v>
      </c>
      <c r="V29" s="201">
        <f>MoDi!N13</f>
        <v>0.92325214492440866</v>
      </c>
      <c r="W29" s="201">
        <f>MoDi!O13</f>
        <v>0.92325214492440866</v>
      </c>
    </row>
    <row r="30" spans="1:23" outlineLevel="1">
      <c r="A30" s="15" t="s">
        <v>82</v>
      </c>
      <c r="B30" s="13" t="s">
        <v>5</v>
      </c>
      <c r="C30" s="34" t="s">
        <v>575</v>
      </c>
      <c r="D30" s="34" t="s">
        <v>576</v>
      </c>
      <c r="E30" s="31" t="s">
        <v>142</v>
      </c>
      <c r="F30" s="31" t="s">
        <v>529</v>
      </c>
      <c r="G30" s="316">
        <v>-1.3102533625155871E-2</v>
      </c>
      <c r="H30" s="316"/>
      <c r="I30" s="316"/>
      <c r="J30" s="316"/>
      <c r="K30" s="316"/>
      <c r="L30" s="170"/>
      <c r="M30" s="317"/>
      <c r="N30" s="317"/>
      <c r="O30" s="317"/>
      <c r="P30" s="317"/>
      <c r="Q30" s="317"/>
      <c r="R30" s="317"/>
      <c r="S30" s="317"/>
      <c r="T30" s="317"/>
      <c r="U30" s="317"/>
      <c r="V30" s="317"/>
      <c r="W30" s="317"/>
    </row>
    <row r="31" spans="1:23" outlineLevel="1">
      <c r="A31" s="15" t="s">
        <v>82</v>
      </c>
      <c r="B31" s="13" t="s">
        <v>5</v>
      </c>
      <c r="C31" s="34" t="s">
        <v>587</v>
      </c>
      <c r="D31" s="34" t="s">
        <v>578</v>
      </c>
      <c r="E31" s="31" t="s">
        <v>33</v>
      </c>
      <c r="F31" s="31"/>
      <c r="G31" s="316"/>
      <c r="H31" s="316">
        <v>-7.3931204839449531E-3</v>
      </c>
      <c r="I31" s="316">
        <v>-1.087223600580144E-3</v>
      </c>
      <c r="J31" s="316"/>
      <c r="K31" s="316"/>
      <c r="L31" s="170"/>
      <c r="M31" s="317"/>
      <c r="N31" s="317"/>
      <c r="O31" s="317"/>
      <c r="P31" s="317"/>
      <c r="Q31" s="317"/>
      <c r="R31" s="317"/>
      <c r="S31" s="317"/>
      <c r="T31" s="317"/>
      <c r="U31" s="317"/>
      <c r="V31" s="317"/>
      <c r="W31" s="317"/>
    </row>
    <row r="32" spans="1:23" outlineLevel="1">
      <c r="A32" s="15" t="s">
        <v>82</v>
      </c>
      <c r="B32" s="13" t="s">
        <v>5</v>
      </c>
      <c r="C32" s="34" t="s">
        <v>579</v>
      </c>
      <c r="D32" s="34" t="s">
        <v>580</v>
      </c>
      <c r="E32" s="31" t="s">
        <v>58</v>
      </c>
      <c r="F32" s="31" t="s">
        <v>775</v>
      </c>
      <c r="G32" s="316">
        <v>-9.02395588481519E-3</v>
      </c>
      <c r="H32" s="316"/>
      <c r="I32" s="316"/>
      <c r="J32" s="316"/>
      <c r="K32" s="316"/>
      <c r="L32" s="170"/>
      <c r="M32" s="317"/>
      <c r="N32" s="317"/>
      <c r="O32" s="317"/>
      <c r="P32" s="317"/>
      <c r="Q32" s="317"/>
      <c r="R32" s="317"/>
      <c r="S32" s="317"/>
      <c r="T32" s="317"/>
      <c r="U32" s="317"/>
      <c r="V32" s="317"/>
      <c r="W32" s="317"/>
    </row>
    <row r="33" spans="1:23" outlineLevel="1">
      <c r="A33" s="15" t="s">
        <v>82</v>
      </c>
      <c r="B33" s="13" t="s">
        <v>5</v>
      </c>
      <c r="C33" s="34" t="s">
        <v>581</v>
      </c>
      <c r="D33" s="34" t="s">
        <v>582</v>
      </c>
      <c r="E33" s="31" t="s">
        <v>53</v>
      </c>
      <c r="F33" s="31" t="s">
        <v>776</v>
      </c>
      <c r="G33" s="316"/>
      <c r="H33" s="316"/>
      <c r="I33" s="316"/>
      <c r="J33" s="316">
        <v>-7.6105652040609787E-3</v>
      </c>
      <c r="K33" s="316"/>
      <c r="L33" s="170"/>
      <c r="M33" s="317"/>
      <c r="N33" s="317"/>
      <c r="O33" s="317"/>
      <c r="P33" s="317"/>
      <c r="Q33" s="317"/>
      <c r="R33" s="317"/>
      <c r="S33" s="317"/>
      <c r="T33" s="317"/>
      <c r="U33" s="317"/>
      <c r="V33" s="317"/>
      <c r="W33" s="317"/>
    </row>
    <row r="34" spans="1:23" outlineLevel="1">
      <c r="A34" s="15" t="s">
        <v>82</v>
      </c>
      <c r="B34" s="13" t="s">
        <v>5</v>
      </c>
      <c r="C34" s="34" t="s">
        <v>583</v>
      </c>
      <c r="D34" s="34" t="s">
        <v>61</v>
      </c>
      <c r="E34" s="31" t="s">
        <v>58</v>
      </c>
      <c r="F34" s="31" t="s">
        <v>416</v>
      </c>
      <c r="G34" s="316">
        <v>-1.6953431506480056E-3</v>
      </c>
      <c r="H34" s="316">
        <v>-1.2002948550404783E-4</v>
      </c>
      <c r="I34" s="316">
        <v>7.0463119122260659E-4</v>
      </c>
      <c r="J34" s="316">
        <v>-6.0884521632479807E-5</v>
      </c>
      <c r="K34" s="316"/>
      <c r="L34" s="170"/>
      <c r="M34" s="317"/>
      <c r="N34" s="317"/>
      <c r="O34" s="317"/>
      <c r="P34" s="317"/>
      <c r="Q34" s="317"/>
      <c r="R34" s="317"/>
      <c r="S34" s="317"/>
      <c r="T34" s="317"/>
      <c r="U34" s="317"/>
      <c r="V34" s="317"/>
      <c r="W34" s="317"/>
    </row>
    <row r="35" spans="1:23" outlineLevel="1">
      <c r="A35" s="15" t="s">
        <v>82</v>
      </c>
      <c r="B35" s="13" t="s">
        <v>5</v>
      </c>
      <c r="C35" s="34" t="s">
        <v>555</v>
      </c>
      <c r="D35" s="34" t="s">
        <v>556</v>
      </c>
      <c r="E35" s="84" t="s">
        <v>58</v>
      </c>
      <c r="F35" s="84"/>
      <c r="G35" s="316">
        <v>2.286507589210816E-2</v>
      </c>
      <c r="H35" s="316">
        <v>1.5123715173509997E-2</v>
      </c>
      <c r="I35" s="316">
        <v>1.2719975996614036E-3</v>
      </c>
      <c r="J35" s="316">
        <v>7.6714497256939853E-3</v>
      </c>
      <c r="K35" s="316"/>
      <c r="L35" s="170"/>
      <c r="M35" s="317"/>
      <c r="N35" s="317"/>
      <c r="O35" s="317"/>
      <c r="P35" s="317"/>
      <c r="Q35" s="317"/>
      <c r="R35" s="317"/>
      <c r="S35" s="317"/>
      <c r="T35" s="317"/>
      <c r="U35" s="317"/>
      <c r="V35" s="317"/>
      <c r="W35" s="317"/>
    </row>
    <row r="36" spans="1:23" outlineLevel="1">
      <c r="A36" s="15" t="s">
        <v>82</v>
      </c>
      <c r="B36" s="13" t="s">
        <v>5</v>
      </c>
      <c r="C36" s="34" t="s">
        <v>588</v>
      </c>
      <c r="D36" s="34" t="s">
        <v>584</v>
      </c>
      <c r="E36" s="31" t="s">
        <v>772</v>
      </c>
      <c r="F36" s="31" t="s">
        <v>779</v>
      </c>
      <c r="G36" s="316">
        <v>9.5675676851080199E-4</v>
      </c>
      <c r="H36" s="316"/>
      <c r="I36" s="316"/>
      <c r="J36" s="316"/>
      <c r="K36" s="316"/>
      <c r="L36" s="170"/>
      <c r="M36" s="317"/>
      <c r="N36" s="317"/>
      <c r="O36" s="317"/>
      <c r="P36" s="317"/>
      <c r="Q36" s="317"/>
      <c r="R36" s="317"/>
      <c r="S36" s="317"/>
      <c r="T36" s="317"/>
      <c r="U36" s="317"/>
      <c r="V36" s="317"/>
      <c r="W36" s="317"/>
    </row>
    <row r="37" spans="1:23" outlineLevel="1">
      <c r="A37" s="15" t="s">
        <v>82</v>
      </c>
      <c r="B37" s="13" t="s">
        <v>5</v>
      </c>
      <c r="C37" s="34" t="s">
        <v>585</v>
      </c>
      <c r="D37" s="34" t="s">
        <v>586</v>
      </c>
      <c r="E37" s="31" t="s">
        <v>33</v>
      </c>
      <c r="F37" s="31" t="s">
        <v>781</v>
      </c>
      <c r="G37" s="316"/>
      <c r="H37" s="316">
        <v>-7.6105652040610273E-3</v>
      </c>
      <c r="I37" s="316"/>
      <c r="J37" s="316"/>
      <c r="K37" s="316"/>
      <c r="L37" s="170"/>
      <c r="M37" s="317"/>
      <c r="N37" s="317"/>
      <c r="O37" s="317"/>
      <c r="P37" s="317"/>
      <c r="Q37" s="317"/>
      <c r="R37" s="317"/>
      <c r="S37" s="317"/>
      <c r="T37" s="317"/>
      <c r="U37" s="317"/>
      <c r="V37" s="317"/>
      <c r="W37" s="317"/>
    </row>
    <row r="38" spans="1:23" outlineLevel="1">
      <c r="A38" s="15" t="s">
        <v>82</v>
      </c>
      <c r="B38" s="13" t="s">
        <v>5</v>
      </c>
      <c r="C38" s="34" t="s">
        <v>272</v>
      </c>
      <c r="D38" s="34" t="s">
        <v>51</v>
      </c>
      <c r="E38" s="31" t="s">
        <v>142</v>
      </c>
      <c r="F38" s="31" t="s">
        <v>529</v>
      </c>
      <c r="G38" s="316"/>
      <c r="H38" s="316"/>
      <c r="I38" s="316">
        <v>-1.7467878003601185E-4</v>
      </c>
      <c r="J38" s="316"/>
      <c r="K38" s="316"/>
      <c r="L38" s="170"/>
      <c r="M38" s="317"/>
      <c r="N38" s="317"/>
      <c r="O38" s="317"/>
      <c r="P38" s="317"/>
      <c r="Q38" s="317"/>
      <c r="R38" s="317"/>
      <c r="S38" s="317"/>
      <c r="T38" s="317"/>
      <c r="U38" s="317"/>
      <c r="V38" s="317"/>
      <c r="W38" s="317"/>
    </row>
    <row r="39" spans="1:23" outlineLevel="1">
      <c r="A39" s="15" t="s">
        <v>82</v>
      </c>
      <c r="B39" s="13" t="s">
        <v>5</v>
      </c>
      <c r="C39" s="34" t="s">
        <v>464</v>
      </c>
      <c r="D39" s="34" t="s">
        <v>589</v>
      </c>
      <c r="E39" s="31" t="s">
        <v>58</v>
      </c>
      <c r="F39" s="31"/>
      <c r="G39" s="316"/>
      <c r="H39" s="316"/>
      <c r="I39" s="316">
        <v>-7.1472641026757648E-4</v>
      </c>
      <c r="J39" s="316"/>
      <c r="K39" s="316"/>
      <c r="L39" s="170"/>
      <c r="M39" s="317"/>
      <c r="N39" s="317"/>
      <c r="O39" s="317"/>
      <c r="P39" s="317"/>
      <c r="Q39" s="317"/>
      <c r="R39" s="317"/>
      <c r="S39" s="317"/>
      <c r="T39" s="317"/>
      <c r="U39" s="317"/>
      <c r="V39" s="317"/>
      <c r="W39" s="317"/>
    </row>
    <row r="40" spans="1:23">
      <c r="A40" s="15" t="s">
        <v>82</v>
      </c>
      <c r="B40" s="13" t="s">
        <v>5</v>
      </c>
      <c r="C40" s="31" t="s">
        <v>587</v>
      </c>
      <c r="D40" s="31" t="s">
        <v>578</v>
      </c>
      <c r="E40" s="29" t="s">
        <v>33</v>
      </c>
      <c r="F40" s="29"/>
      <c r="G40" s="159"/>
      <c r="H40" s="159"/>
      <c r="I40" s="159"/>
      <c r="J40" s="159"/>
      <c r="K40" s="159"/>
      <c r="L40" s="43">
        <v>-2.9137592495547845E-3</v>
      </c>
      <c r="M40" s="43"/>
      <c r="N40" s="43"/>
      <c r="O40" s="43"/>
      <c r="P40" s="43"/>
      <c r="Q40" s="43"/>
      <c r="R40" s="43"/>
      <c r="S40" s="43"/>
      <c r="T40" s="43"/>
      <c r="U40" s="43"/>
      <c r="V40" s="43"/>
      <c r="W40" s="43"/>
    </row>
    <row r="41" spans="1:23">
      <c r="A41" s="15" t="s">
        <v>82</v>
      </c>
      <c r="B41" s="13" t="s">
        <v>5</v>
      </c>
      <c r="C41" s="31" t="s">
        <v>583</v>
      </c>
      <c r="D41" s="31" t="s">
        <v>61</v>
      </c>
      <c r="E41" s="29" t="s">
        <v>58</v>
      </c>
      <c r="F41" s="31" t="s">
        <v>416</v>
      </c>
      <c r="G41" s="159"/>
      <c r="H41" s="159"/>
      <c r="I41" s="159"/>
      <c r="J41" s="159"/>
      <c r="K41" s="159"/>
      <c r="L41" s="43">
        <v>-5.7162316347114661E-5</v>
      </c>
      <c r="M41" s="43">
        <v>1.652579872479798E-5</v>
      </c>
      <c r="N41" s="43">
        <v>2.5067475658679103E-5</v>
      </c>
      <c r="O41" s="43">
        <v>-1.3404649463788498E-4</v>
      </c>
      <c r="P41" s="43"/>
      <c r="Q41" s="43"/>
      <c r="R41" s="43"/>
      <c r="S41" s="43"/>
      <c r="T41" s="43"/>
      <c r="U41" s="43"/>
      <c r="V41" s="43"/>
      <c r="W41" s="43"/>
    </row>
    <row r="42" spans="1:23">
      <c r="A42" s="15" t="s">
        <v>82</v>
      </c>
      <c r="B42" s="13" t="s">
        <v>5</v>
      </c>
      <c r="C42" s="31" t="s">
        <v>555</v>
      </c>
      <c r="D42" s="31" t="s">
        <v>556</v>
      </c>
      <c r="E42" s="84" t="s">
        <v>58</v>
      </c>
      <c r="F42" s="84"/>
      <c r="G42" s="159"/>
      <c r="H42" s="159"/>
      <c r="I42" s="159"/>
      <c r="J42" s="159"/>
      <c r="K42" s="159"/>
      <c r="L42" s="43">
        <v>2.9709215659020601E-3</v>
      </c>
      <c r="M42" s="43"/>
      <c r="N42" s="43"/>
      <c r="O42" s="43"/>
      <c r="P42" s="43"/>
      <c r="Q42" s="43"/>
      <c r="R42" s="43"/>
      <c r="S42" s="43"/>
      <c r="T42" s="43"/>
      <c r="U42" s="43"/>
      <c r="V42" s="43"/>
      <c r="W42" s="43"/>
    </row>
    <row r="43" spans="1:23">
      <c r="A43" s="15" t="s">
        <v>82</v>
      </c>
      <c r="B43" s="13" t="s">
        <v>5</v>
      </c>
      <c r="C43" s="31" t="s">
        <v>557</v>
      </c>
      <c r="D43" s="31" t="s">
        <v>558</v>
      </c>
      <c r="E43" s="29" t="s">
        <v>53</v>
      </c>
      <c r="F43" s="31" t="s">
        <v>776</v>
      </c>
      <c r="G43" s="159"/>
      <c r="H43" s="159"/>
      <c r="I43" s="159"/>
      <c r="J43" s="159"/>
      <c r="K43" s="159"/>
      <c r="L43" s="43"/>
      <c r="M43" s="43"/>
      <c r="N43" s="43"/>
      <c r="O43" s="43"/>
      <c r="P43" s="43"/>
      <c r="Q43" s="43"/>
      <c r="R43" s="43">
        <v>-7.664517588016187E-3</v>
      </c>
      <c r="S43" s="43"/>
      <c r="T43" s="43"/>
      <c r="U43" s="43"/>
      <c r="V43" s="43"/>
      <c r="W43" s="43"/>
    </row>
    <row r="44" spans="1:23">
      <c r="A44" s="15" t="s">
        <v>82</v>
      </c>
      <c r="B44" s="13" t="s">
        <v>5</v>
      </c>
      <c r="C44" s="31" t="s">
        <v>561</v>
      </c>
      <c r="D44" s="31" t="s">
        <v>562</v>
      </c>
      <c r="E44" s="29" t="s">
        <v>33</v>
      </c>
      <c r="F44" s="31" t="s">
        <v>781</v>
      </c>
      <c r="G44" s="159"/>
      <c r="H44" s="159"/>
      <c r="I44" s="159"/>
      <c r="J44" s="159"/>
      <c r="K44" s="159"/>
      <c r="L44" s="43"/>
      <c r="M44" s="43"/>
      <c r="N44" s="43"/>
      <c r="O44" s="43">
        <v>-1.609090928858611E-2</v>
      </c>
      <c r="P44" s="43"/>
      <c r="Q44" s="43"/>
      <c r="R44" s="43"/>
      <c r="S44" s="43"/>
      <c r="T44" s="43"/>
      <c r="U44" s="43"/>
      <c r="V44" s="43"/>
      <c r="W44" s="43"/>
    </row>
    <row r="45" spans="1:23">
      <c r="A45" s="15" t="s">
        <v>82</v>
      </c>
      <c r="B45" s="13" t="s">
        <v>5</v>
      </c>
      <c r="C45" s="31" t="s">
        <v>563</v>
      </c>
      <c r="D45" s="31" t="s">
        <v>564</v>
      </c>
      <c r="E45" s="29" t="s">
        <v>33</v>
      </c>
      <c r="F45" s="31" t="s">
        <v>781</v>
      </c>
      <c r="G45" s="159"/>
      <c r="H45" s="159"/>
      <c r="I45" s="159"/>
      <c r="J45" s="159"/>
      <c r="K45" s="159"/>
      <c r="L45" s="43"/>
      <c r="M45" s="43"/>
      <c r="N45" s="43"/>
      <c r="O45" s="43"/>
      <c r="P45" s="43"/>
      <c r="Q45" s="43"/>
      <c r="R45" s="43"/>
      <c r="S45" s="43"/>
      <c r="T45" s="43">
        <v>-2.3918919212763136E-3</v>
      </c>
      <c r="U45" s="43"/>
      <c r="V45" s="43"/>
      <c r="W45" s="43"/>
    </row>
    <row r="46" spans="1:23">
      <c r="A46" s="15" t="s">
        <v>82</v>
      </c>
      <c r="B46" s="13" t="s">
        <v>5</v>
      </c>
      <c r="C46" s="31" t="s">
        <v>588</v>
      </c>
      <c r="D46" s="31" t="s">
        <v>590</v>
      </c>
      <c r="E46" s="29" t="s">
        <v>43</v>
      </c>
      <c r="F46" s="29" t="s">
        <v>778</v>
      </c>
      <c r="G46" s="159"/>
      <c r="H46" s="159"/>
      <c r="I46" s="159"/>
      <c r="J46" s="159"/>
      <c r="K46" s="159"/>
      <c r="L46" s="43"/>
      <c r="M46" s="43">
        <v>2.0657248411022275E-3</v>
      </c>
      <c r="N46" s="43"/>
      <c r="O46" s="43"/>
      <c r="P46" s="43"/>
      <c r="Q46" s="43"/>
      <c r="R46" s="43"/>
      <c r="S46" s="43"/>
      <c r="T46" s="43"/>
      <c r="U46" s="43"/>
      <c r="V46" s="43"/>
      <c r="W46" s="43"/>
    </row>
    <row r="47" spans="1:23">
      <c r="A47" s="15" t="s">
        <v>82</v>
      </c>
      <c r="B47" s="13" t="s">
        <v>5</v>
      </c>
      <c r="C47" s="31" t="s">
        <v>588</v>
      </c>
      <c r="D47" s="31" t="s">
        <v>591</v>
      </c>
      <c r="E47" s="29" t="s">
        <v>43</v>
      </c>
      <c r="F47" s="29" t="s">
        <v>778</v>
      </c>
      <c r="G47" s="159"/>
      <c r="H47" s="159"/>
      <c r="I47" s="159"/>
      <c r="J47" s="159"/>
      <c r="K47" s="159"/>
      <c r="L47" s="43"/>
      <c r="M47" s="43"/>
      <c r="N47" s="43"/>
      <c r="O47" s="43"/>
      <c r="P47" s="43"/>
      <c r="Q47" s="195">
        <v>1.2454841080526305E-3</v>
      </c>
      <c r="R47" s="43"/>
      <c r="S47" s="43"/>
      <c r="T47" s="43"/>
      <c r="U47" s="43"/>
      <c r="V47" s="43"/>
      <c r="W47" s="43"/>
    </row>
    <row r="48" spans="1:23">
      <c r="A48" s="15" t="s">
        <v>82</v>
      </c>
      <c r="B48" s="13" t="s">
        <v>5</v>
      </c>
      <c r="C48" s="44" t="s">
        <v>22</v>
      </c>
      <c r="D48" s="44" t="s">
        <v>24</v>
      </c>
      <c r="E48" s="28" t="s">
        <v>772</v>
      </c>
      <c r="F48" s="28" t="s">
        <v>777</v>
      </c>
      <c r="G48" s="159"/>
      <c r="H48" s="159"/>
      <c r="I48" s="159"/>
      <c r="J48" s="159"/>
      <c r="K48" s="159"/>
      <c r="L48" s="43"/>
      <c r="M48" s="43"/>
      <c r="N48" s="43"/>
      <c r="O48" s="43"/>
      <c r="P48" s="43"/>
      <c r="Q48" s="45">
        <v>2.5996654929942142E-3</v>
      </c>
      <c r="R48" s="43"/>
      <c r="S48" s="43"/>
      <c r="T48" s="43"/>
      <c r="U48" s="43"/>
      <c r="V48" s="43"/>
      <c r="W48" s="43"/>
    </row>
    <row r="49" spans="1:23">
      <c r="A49" s="15" t="s">
        <v>82</v>
      </c>
      <c r="B49" s="13" t="s">
        <v>5</v>
      </c>
      <c r="C49" s="44" t="s">
        <v>22</v>
      </c>
      <c r="D49" s="44" t="s">
        <v>145</v>
      </c>
      <c r="E49" s="28" t="s">
        <v>53</v>
      </c>
      <c r="F49" s="7" t="s">
        <v>776</v>
      </c>
      <c r="G49" s="159"/>
      <c r="H49" s="159"/>
      <c r="I49" s="159"/>
      <c r="J49" s="159"/>
      <c r="K49" s="159"/>
      <c r="L49" s="43"/>
      <c r="M49" s="43"/>
      <c r="N49" s="43"/>
      <c r="O49" s="43"/>
      <c r="P49" s="43"/>
      <c r="Q49" s="45">
        <v>0</v>
      </c>
      <c r="R49" s="43"/>
      <c r="S49" s="43"/>
      <c r="T49" s="43"/>
      <c r="U49" s="43"/>
      <c r="V49" s="43"/>
      <c r="W49" s="43"/>
    </row>
    <row r="50" spans="1:23">
      <c r="A50" s="15" t="s">
        <v>82</v>
      </c>
      <c r="B50" s="13" t="s">
        <v>5</v>
      </c>
      <c r="C50" s="44" t="s">
        <v>22</v>
      </c>
      <c r="D50" s="44" t="s">
        <v>140</v>
      </c>
      <c r="E50" s="28" t="s">
        <v>43</v>
      </c>
      <c r="F50" s="28" t="s">
        <v>778</v>
      </c>
      <c r="G50" s="159"/>
      <c r="H50" s="159"/>
      <c r="I50" s="159"/>
      <c r="J50" s="159"/>
      <c r="K50" s="159"/>
      <c r="L50" s="43"/>
      <c r="M50" s="43"/>
      <c r="N50" s="43"/>
      <c r="O50" s="43"/>
      <c r="P50" s="43"/>
      <c r="Q50" s="45">
        <v>9.2224163420303814E-4</v>
      </c>
      <c r="R50" s="43"/>
      <c r="S50" s="43"/>
      <c r="T50" s="43"/>
      <c r="U50" s="43"/>
      <c r="V50" s="43"/>
      <c r="W50" s="43"/>
    </row>
    <row r="51" spans="1:23">
      <c r="A51" s="15" t="s">
        <v>82</v>
      </c>
      <c r="B51" s="13" t="s">
        <v>5</v>
      </c>
      <c r="C51" s="44" t="s">
        <v>22</v>
      </c>
      <c r="D51" s="44" t="s">
        <v>49</v>
      </c>
      <c r="E51" s="28" t="s">
        <v>142</v>
      </c>
      <c r="F51" s="7" t="s">
        <v>529</v>
      </c>
      <c r="G51" s="159"/>
      <c r="H51" s="159"/>
      <c r="I51" s="159"/>
      <c r="J51" s="159"/>
      <c r="K51" s="159"/>
      <c r="L51" s="43"/>
      <c r="M51" s="43"/>
      <c r="N51" s="43"/>
      <c r="O51" s="43"/>
      <c r="P51" s="43"/>
      <c r="Q51" s="45">
        <v>9.5222440542802242E-4</v>
      </c>
      <c r="R51" s="43"/>
      <c r="S51" s="43"/>
      <c r="T51" s="43"/>
      <c r="U51" s="43"/>
      <c r="V51" s="43"/>
      <c r="W51" s="43"/>
    </row>
    <row r="52" spans="1:23">
      <c r="A52" s="15" t="s">
        <v>82</v>
      </c>
      <c r="B52" s="13" t="s">
        <v>5</v>
      </c>
      <c r="C52" s="44" t="s">
        <v>22</v>
      </c>
      <c r="D52" s="44" t="s">
        <v>58</v>
      </c>
      <c r="E52" s="28" t="s">
        <v>58</v>
      </c>
      <c r="F52" s="28"/>
      <c r="G52" s="159"/>
      <c r="H52" s="159"/>
      <c r="I52" s="159"/>
      <c r="J52" s="159"/>
      <c r="K52" s="159"/>
      <c r="L52" s="43"/>
      <c r="M52" s="43"/>
      <c r="N52" s="43"/>
      <c r="O52" s="43"/>
      <c r="P52" s="43"/>
      <c r="Q52" s="43"/>
      <c r="R52" s="43"/>
      <c r="S52" s="45">
        <v>3.3734963756739777E-3</v>
      </c>
      <c r="T52" s="43"/>
      <c r="U52" s="43"/>
      <c r="V52" s="43"/>
      <c r="W52" s="43"/>
    </row>
    <row r="53" spans="1:23">
      <c r="A53" s="15" t="s">
        <v>82</v>
      </c>
      <c r="B53" s="13" t="s">
        <v>5</v>
      </c>
      <c r="C53" s="44" t="s">
        <v>22</v>
      </c>
      <c r="D53" s="44" t="s">
        <v>33</v>
      </c>
      <c r="E53" s="28" t="s">
        <v>33</v>
      </c>
      <c r="F53" s="28"/>
      <c r="G53" s="159"/>
      <c r="H53" s="159"/>
      <c r="I53" s="159"/>
      <c r="J53" s="159"/>
      <c r="K53" s="159"/>
      <c r="L53" s="43"/>
      <c r="M53" s="43"/>
      <c r="N53" s="43"/>
      <c r="O53" s="43"/>
      <c r="P53" s="43"/>
      <c r="Q53" s="45">
        <v>9.5879561602223128E-3</v>
      </c>
      <c r="R53" s="43"/>
      <c r="S53" s="43"/>
      <c r="T53" s="43"/>
      <c r="U53" s="43"/>
      <c r="V53" s="43"/>
      <c r="W53" s="43"/>
    </row>
    <row r="54" spans="1:23">
      <c r="A54" s="15" t="s">
        <v>82</v>
      </c>
      <c r="B54" s="13" t="s">
        <v>5</v>
      </c>
      <c r="C54" s="31" t="s">
        <v>479</v>
      </c>
      <c r="D54" s="31" t="s">
        <v>592</v>
      </c>
      <c r="E54" s="29" t="s">
        <v>33</v>
      </c>
      <c r="F54" s="29"/>
      <c r="G54" s="159"/>
      <c r="H54" s="159"/>
      <c r="I54" s="159"/>
      <c r="J54" s="159"/>
      <c r="K54" s="159"/>
      <c r="L54" s="43"/>
      <c r="M54" s="43"/>
      <c r="N54" s="43">
        <v>-4.3488944023205702E-4</v>
      </c>
      <c r="O54" s="43"/>
      <c r="P54" s="43"/>
      <c r="Q54" s="43"/>
      <c r="R54" s="43"/>
      <c r="S54" s="43"/>
      <c r="T54" s="43"/>
      <c r="U54" s="43"/>
      <c r="V54" s="43"/>
      <c r="W54" s="43"/>
    </row>
    <row r="55" spans="1:23">
      <c r="A55" s="15" t="s">
        <v>82</v>
      </c>
      <c r="B55" s="13" t="s">
        <v>5</v>
      </c>
      <c r="C55" s="31" t="s">
        <v>479</v>
      </c>
      <c r="D55" s="31" t="s">
        <v>593</v>
      </c>
      <c r="E55" s="29" t="s">
        <v>772</v>
      </c>
      <c r="F55" s="31" t="s">
        <v>779</v>
      </c>
      <c r="G55" s="159"/>
      <c r="H55" s="159"/>
      <c r="I55" s="159"/>
      <c r="J55" s="159"/>
      <c r="K55" s="159"/>
      <c r="L55" s="43"/>
      <c r="M55" s="43"/>
      <c r="N55" s="43">
        <v>-2.1744472011602851E-4</v>
      </c>
      <c r="O55" s="43"/>
      <c r="P55" s="43"/>
      <c r="Q55" s="43"/>
      <c r="R55" s="43"/>
      <c r="S55" s="43"/>
      <c r="T55" s="43"/>
      <c r="U55" s="43"/>
      <c r="V55" s="43"/>
      <c r="W55" s="43"/>
    </row>
    <row r="56" spans="1:23">
      <c r="A56" s="15" t="s">
        <v>82</v>
      </c>
      <c r="B56" s="13" t="s">
        <v>5</v>
      </c>
      <c r="C56" s="31" t="s">
        <v>479</v>
      </c>
      <c r="D56" s="31" t="s">
        <v>68</v>
      </c>
      <c r="E56" s="29" t="s">
        <v>772</v>
      </c>
      <c r="F56" s="29" t="s">
        <v>777</v>
      </c>
      <c r="G56" s="159"/>
      <c r="H56" s="159"/>
      <c r="I56" s="159"/>
      <c r="J56" s="159"/>
      <c r="K56" s="159"/>
      <c r="L56" s="43"/>
      <c r="M56" s="43"/>
      <c r="N56" s="43">
        <v>-2.2831695612182993E-4</v>
      </c>
      <c r="O56" s="43"/>
      <c r="P56" s="43"/>
      <c r="Q56" s="43"/>
      <c r="R56" s="43"/>
      <c r="S56" s="43"/>
      <c r="T56" s="43"/>
      <c r="U56" s="43"/>
      <c r="V56" s="43"/>
      <c r="W56" s="43"/>
    </row>
    <row r="57" spans="1:23">
      <c r="A57" s="15" t="s">
        <v>82</v>
      </c>
      <c r="B57" s="13" t="s">
        <v>5</v>
      </c>
      <c r="C57" s="31" t="s">
        <v>479</v>
      </c>
      <c r="D57" s="31" t="s">
        <v>464</v>
      </c>
      <c r="E57" s="29" t="s">
        <v>772</v>
      </c>
      <c r="F57" s="29"/>
      <c r="G57" s="159"/>
      <c r="H57" s="159"/>
      <c r="I57" s="159"/>
      <c r="J57" s="159"/>
      <c r="K57" s="159"/>
      <c r="L57" s="43"/>
      <c r="M57" s="43"/>
      <c r="N57" s="43">
        <v>-2.1744472011153704E-4</v>
      </c>
      <c r="O57" s="43">
        <v>-4.8925062026106538E-4</v>
      </c>
      <c r="P57" s="43"/>
      <c r="Q57" s="43"/>
      <c r="R57" s="43"/>
      <c r="S57" s="43"/>
      <c r="T57" s="43"/>
      <c r="U57" s="43"/>
      <c r="V57" s="43"/>
      <c r="W57" s="43"/>
    </row>
    <row r="58" spans="1:23">
      <c r="A58" s="15" t="s">
        <v>82</v>
      </c>
      <c r="B58" s="13" t="s">
        <v>5</v>
      </c>
      <c r="C58" s="31" t="s">
        <v>272</v>
      </c>
      <c r="D58" s="31" t="s">
        <v>51</v>
      </c>
      <c r="E58" s="29" t="s">
        <v>142</v>
      </c>
      <c r="F58" s="31" t="s">
        <v>529</v>
      </c>
      <c r="G58" s="159"/>
      <c r="H58" s="159"/>
      <c r="I58" s="159"/>
      <c r="J58" s="159"/>
      <c r="K58" s="159"/>
      <c r="L58" s="43"/>
      <c r="M58" s="43"/>
      <c r="N58" s="43"/>
      <c r="O58" s="43">
        <v>-1.7565192087183601E-4</v>
      </c>
      <c r="P58" s="43"/>
      <c r="Q58" s="43"/>
      <c r="R58" s="43"/>
      <c r="S58" s="43"/>
      <c r="T58" s="43"/>
      <c r="U58" s="43"/>
      <c r="V58" s="43"/>
      <c r="W58" s="43"/>
    </row>
    <row r="59" spans="1:23">
      <c r="A59" s="15" t="s">
        <v>82</v>
      </c>
      <c r="B59" s="13" t="s">
        <v>5</v>
      </c>
      <c r="C59" s="31" t="s">
        <v>594</v>
      </c>
      <c r="D59" s="31" t="s">
        <v>595</v>
      </c>
      <c r="E59" s="29" t="s">
        <v>33</v>
      </c>
      <c r="F59" s="31" t="s">
        <v>781</v>
      </c>
      <c r="G59" s="159"/>
      <c r="H59" s="159"/>
      <c r="I59" s="159"/>
      <c r="J59" s="159"/>
      <c r="K59" s="159"/>
      <c r="L59" s="43"/>
      <c r="M59" s="43"/>
      <c r="N59" s="43"/>
      <c r="O59" s="43"/>
      <c r="P59" s="43"/>
      <c r="Q59" s="43"/>
      <c r="R59" s="43"/>
      <c r="S59" s="43">
        <v>-1.4999999999999999E-2</v>
      </c>
      <c r="T59" s="43"/>
      <c r="U59" s="43"/>
      <c r="V59" s="43"/>
      <c r="W59" s="43"/>
    </row>
    <row r="60" spans="1:23">
      <c r="A60" s="15" t="s">
        <v>82</v>
      </c>
      <c r="B60" s="13" t="s">
        <v>5</v>
      </c>
      <c r="C60" s="31" t="s">
        <v>596</v>
      </c>
      <c r="D60" s="375" t="s">
        <v>597</v>
      </c>
      <c r="E60" s="29" t="s">
        <v>33</v>
      </c>
      <c r="F60" s="29" t="s">
        <v>782</v>
      </c>
      <c r="G60" s="159"/>
      <c r="H60" s="159"/>
      <c r="I60" s="159"/>
      <c r="J60" s="159"/>
      <c r="K60" s="159"/>
      <c r="L60" s="43"/>
      <c r="M60" s="43"/>
      <c r="N60" s="43"/>
      <c r="O60" s="43"/>
      <c r="P60" s="43"/>
      <c r="Q60" s="43"/>
      <c r="R60" s="43"/>
      <c r="S60" s="370">
        <f>-0.011234641734084*0</f>
        <v>0</v>
      </c>
      <c r="T60" s="43"/>
      <c r="U60" s="43"/>
      <c r="V60" s="43"/>
      <c r="W60" s="43"/>
    </row>
    <row r="61" spans="1:23">
      <c r="A61" s="15" t="s">
        <v>82</v>
      </c>
      <c r="B61" s="13" t="s">
        <v>5</v>
      </c>
      <c r="C61" s="31" t="s">
        <v>598</v>
      </c>
      <c r="D61" s="31" t="s">
        <v>599</v>
      </c>
      <c r="E61" s="29" t="s">
        <v>33</v>
      </c>
      <c r="F61" s="29" t="s">
        <v>789</v>
      </c>
      <c r="G61" s="159"/>
      <c r="H61" s="159"/>
      <c r="I61" s="159"/>
      <c r="J61" s="159"/>
      <c r="K61" s="159"/>
      <c r="L61" s="43"/>
      <c r="M61" s="43"/>
      <c r="N61" s="43"/>
      <c r="O61" s="43"/>
      <c r="P61" s="43"/>
      <c r="Q61" s="43">
        <v>-5.3903584077675598E-3</v>
      </c>
      <c r="R61" s="43"/>
      <c r="S61" s="43"/>
      <c r="T61" s="43"/>
      <c r="U61" s="43"/>
      <c r="V61" s="43"/>
      <c r="W61" s="43"/>
    </row>
    <row r="62" spans="1:23" ht="14.25" customHeight="1">
      <c r="A62" s="15" t="s">
        <v>82</v>
      </c>
      <c r="B62" s="13" t="s">
        <v>5</v>
      </c>
      <c r="C62" s="51" t="s">
        <v>291</v>
      </c>
      <c r="D62" s="46" t="s">
        <v>600</v>
      </c>
      <c r="E62" s="47" t="s">
        <v>772</v>
      </c>
      <c r="F62" s="47" t="s">
        <v>777</v>
      </c>
      <c r="G62" s="160"/>
      <c r="H62" s="160"/>
      <c r="I62" s="160"/>
      <c r="J62" s="160"/>
      <c r="K62" s="160"/>
      <c r="L62" s="46"/>
      <c r="M62" s="46"/>
      <c r="N62" s="46"/>
      <c r="O62" s="46"/>
      <c r="P62" s="216">
        <v>-1.7286855249224325E-3</v>
      </c>
      <c r="Q62" s="216"/>
      <c r="R62" s="216"/>
      <c r="S62" s="46"/>
      <c r="T62" s="46"/>
      <c r="U62" s="46"/>
      <c r="V62" s="46"/>
      <c r="W62" s="46"/>
    </row>
    <row r="63" spans="1:23">
      <c r="A63" s="15" t="s">
        <v>82</v>
      </c>
      <c r="B63" s="13" t="s">
        <v>5</v>
      </c>
      <c r="C63" s="51" t="s">
        <v>291</v>
      </c>
      <c r="D63" s="46" t="s">
        <v>601</v>
      </c>
      <c r="E63" s="47" t="s">
        <v>389</v>
      </c>
      <c r="F63" s="47" t="s">
        <v>786</v>
      </c>
      <c r="G63" s="160"/>
      <c r="H63" s="160"/>
      <c r="I63" s="160"/>
      <c r="J63" s="160"/>
      <c r="K63" s="160"/>
      <c r="L63" s="46"/>
      <c r="M63" s="46"/>
      <c r="N63" s="46"/>
      <c r="O63" s="46"/>
      <c r="P63" s="216"/>
      <c r="Q63" s="216"/>
      <c r="R63" s="216">
        <v>-1.5E-3</v>
      </c>
      <c r="S63" s="46"/>
      <c r="T63" s="46"/>
      <c r="U63" s="46"/>
      <c r="V63" s="46"/>
      <c r="W63" s="46"/>
    </row>
    <row r="64" spans="1:23">
      <c r="A64" s="15" t="s">
        <v>82</v>
      </c>
      <c r="B64" s="13" t="s">
        <v>5</v>
      </c>
      <c r="C64" s="51" t="s">
        <v>291</v>
      </c>
      <c r="D64" s="46" t="s">
        <v>602</v>
      </c>
      <c r="E64" s="47" t="s">
        <v>58</v>
      </c>
      <c r="F64" s="47" t="s">
        <v>416</v>
      </c>
      <c r="G64" s="160"/>
      <c r="H64" s="160"/>
      <c r="I64" s="160"/>
      <c r="J64" s="160"/>
      <c r="K64" s="160"/>
      <c r="L64" s="46"/>
      <c r="M64" s="46"/>
      <c r="N64" s="46"/>
      <c r="O64" s="46"/>
      <c r="P64" s="216">
        <v>6.2467733243818171E-5</v>
      </c>
      <c r="Q64" s="216"/>
      <c r="R64" s="216"/>
      <c r="S64" s="46"/>
      <c r="T64" s="46"/>
      <c r="U64" s="46"/>
      <c r="V64" s="46"/>
      <c r="W64" s="46"/>
    </row>
    <row r="65" spans="1:23">
      <c r="A65" s="15" t="s">
        <v>82</v>
      </c>
      <c r="B65" s="13" t="s">
        <v>5</v>
      </c>
      <c r="C65" s="51" t="s">
        <v>750</v>
      </c>
      <c r="D65" s="46" t="s">
        <v>755</v>
      </c>
      <c r="E65" s="47" t="s">
        <v>33</v>
      </c>
      <c r="F65" s="47"/>
      <c r="G65" s="160"/>
      <c r="H65" s="160"/>
      <c r="I65" s="160"/>
      <c r="J65" s="160"/>
      <c r="K65" s="160"/>
      <c r="L65" s="46"/>
      <c r="M65" s="46"/>
      <c r="N65" s="46"/>
      <c r="O65" s="46"/>
      <c r="P65" s="46"/>
      <c r="Q65" s="440">
        <f>-0.0117963760662946*0</f>
        <v>0</v>
      </c>
      <c r="R65" s="46"/>
      <c r="S65" s="46"/>
      <c r="T65" s="46"/>
      <c r="U65" s="46"/>
      <c r="V65" s="46"/>
      <c r="W65" s="46"/>
    </row>
    <row r="66" spans="1:23">
      <c r="A66" s="15" t="s">
        <v>82</v>
      </c>
      <c r="B66" s="13" t="s">
        <v>5</v>
      </c>
      <c r="C66" s="51" t="s">
        <v>750</v>
      </c>
      <c r="D66" s="46" t="s">
        <v>293</v>
      </c>
      <c r="E66" s="47" t="s">
        <v>142</v>
      </c>
      <c r="F66" s="47" t="s">
        <v>529</v>
      </c>
      <c r="G66" s="160"/>
      <c r="H66" s="160"/>
      <c r="I66" s="160"/>
      <c r="J66" s="160"/>
      <c r="K66" s="160"/>
      <c r="L66" s="46"/>
      <c r="M66" s="46"/>
      <c r="N66" s="46"/>
      <c r="O66" s="46"/>
      <c r="P66" s="46"/>
      <c r="Q66" s="46"/>
      <c r="R66" s="426">
        <v>-4.0000000000000001E-3</v>
      </c>
      <c r="S66" s="46"/>
      <c r="T66" s="46"/>
      <c r="U66" s="46"/>
      <c r="V66" s="46"/>
      <c r="W66" s="46"/>
    </row>
    <row r="67" spans="1:23">
      <c r="A67" s="15" t="s">
        <v>82</v>
      </c>
      <c r="B67" s="13" t="s">
        <v>5</v>
      </c>
      <c r="C67" s="51" t="s">
        <v>291</v>
      </c>
      <c r="D67" s="46"/>
      <c r="E67" s="47"/>
      <c r="F67" s="47"/>
      <c r="G67" s="160"/>
      <c r="H67" s="160"/>
      <c r="I67" s="160"/>
      <c r="J67" s="160"/>
      <c r="K67" s="160"/>
      <c r="L67" s="46"/>
      <c r="M67" s="46"/>
      <c r="N67" s="46"/>
      <c r="O67" s="46"/>
      <c r="P67" s="46"/>
      <c r="Q67" s="46"/>
      <c r="R67" s="46"/>
      <c r="S67" s="46"/>
      <c r="T67" s="46"/>
      <c r="U67" s="46"/>
      <c r="V67" s="46"/>
      <c r="W67" s="46"/>
    </row>
    <row r="68" spans="1:23">
      <c r="A68" s="15" t="s">
        <v>82</v>
      </c>
      <c r="B68" s="13" t="s">
        <v>5</v>
      </c>
      <c r="C68" s="51" t="s">
        <v>291</v>
      </c>
      <c r="D68" s="46"/>
      <c r="E68" s="47"/>
      <c r="F68" s="47"/>
      <c r="G68" s="160"/>
      <c r="H68" s="160"/>
      <c r="I68" s="160"/>
      <c r="J68" s="160"/>
      <c r="K68" s="160"/>
      <c r="L68" s="46"/>
      <c r="M68" s="46"/>
      <c r="N68" s="46"/>
      <c r="O68" s="46"/>
      <c r="P68" s="46"/>
      <c r="Q68" s="46"/>
      <c r="R68" s="46"/>
      <c r="S68" s="46"/>
      <c r="T68" s="46"/>
      <c r="U68" s="46"/>
      <c r="V68" s="46"/>
      <c r="W68" s="46"/>
    </row>
    <row r="69" spans="1:23">
      <c r="A69" s="15" t="s">
        <v>82</v>
      </c>
      <c r="B69" s="13" t="s">
        <v>5</v>
      </c>
      <c r="C69" s="51" t="s">
        <v>291</v>
      </c>
      <c r="D69" s="46"/>
      <c r="E69" s="47"/>
      <c r="F69" s="47"/>
      <c r="G69" s="160"/>
      <c r="H69" s="160"/>
      <c r="I69" s="160"/>
      <c r="J69" s="160"/>
      <c r="K69" s="160"/>
      <c r="L69" s="46"/>
      <c r="M69" s="46"/>
      <c r="N69" s="46"/>
      <c r="O69" s="46"/>
      <c r="P69" s="46"/>
      <c r="Q69" s="46"/>
      <c r="R69" s="46"/>
      <c r="S69" s="46"/>
      <c r="T69" s="46"/>
      <c r="U69" s="46"/>
      <c r="V69" s="46"/>
      <c r="W69" s="46"/>
    </row>
    <row r="70" spans="1:23" s="152" customFormat="1">
      <c r="A70" s="148" t="s">
        <v>93</v>
      </c>
      <c r="B70" s="148" t="s">
        <v>225</v>
      </c>
      <c r="C70" s="151"/>
      <c r="D70" s="148"/>
      <c r="E70" s="148"/>
      <c r="F70" s="148"/>
      <c r="G70" s="199">
        <v>1.4372366292162482</v>
      </c>
      <c r="H70" s="208">
        <v>1.429082452211897</v>
      </c>
      <c r="I70" s="208">
        <v>1.4232950530733968</v>
      </c>
      <c r="J70" s="199">
        <v>1.4232950530733968</v>
      </c>
      <c r="K70" s="199">
        <v>1.4156305354853806</v>
      </c>
      <c r="L70" s="199">
        <f>MoDi!D29</f>
        <v>1.4411690678900095</v>
      </c>
      <c r="M70" s="199">
        <f>MoDi!E29</f>
        <v>1.4314146083202355</v>
      </c>
      <c r="N70" s="199">
        <f>MoDi!F29</f>
        <v>1.4007629384535074</v>
      </c>
      <c r="O70" s="199">
        <f>MoDi!G29</f>
        <v>1.3812540193139593</v>
      </c>
      <c r="P70" s="199">
        <f>MoDi!H29</f>
        <v>1.3333507843888581</v>
      </c>
      <c r="Q70" s="199">
        <f>MoDi!I29</f>
        <v>1.3333507843888581</v>
      </c>
      <c r="R70" s="199">
        <f>MoDi!J29</f>
        <v>1.325686266800842</v>
      </c>
      <c r="S70" s="199">
        <f>MoDi!K29</f>
        <v>1.325686266800842</v>
      </c>
      <c r="T70" s="199">
        <f>MoDi!L29</f>
        <v>1.3188367581171871</v>
      </c>
      <c r="U70" s="199">
        <f>MoDi!M29</f>
        <v>1.3188367581171871</v>
      </c>
      <c r="V70" s="199">
        <f>MoDi!N29</f>
        <v>1.3188367581171871</v>
      </c>
      <c r="W70" s="199">
        <f>MoDi!O29</f>
        <v>1.3188367581171871</v>
      </c>
    </row>
    <row r="71" spans="1:23">
      <c r="A71" s="15" t="s">
        <v>93</v>
      </c>
      <c r="B71" s="12" t="s">
        <v>4</v>
      </c>
      <c r="C71" s="22" t="s">
        <v>575</v>
      </c>
      <c r="D71" s="21" t="s">
        <v>576</v>
      </c>
      <c r="E71" s="23" t="s">
        <v>142</v>
      </c>
      <c r="F71" s="23" t="s">
        <v>529</v>
      </c>
      <c r="G71" s="157"/>
      <c r="H71" s="157"/>
      <c r="I71" s="157"/>
      <c r="J71" s="157"/>
      <c r="K71" s="157"/>
      <c r="L71" s="117">
        <v>0</v>
      </c>
      <c r="M71" s="117">
        <v>0</v>
      </c>
      <c r="N71" s="117">
        <v>0</v>
      </c>
      <c r="O71" s="117">
        <v>0</v>
      </c>
      <c r="P71" s="117">
        <v>0</v>
      </c>
      <c r="Q71" s="117">
        <v>0</v>
      </c>
      <c r="R71" s="117">
        <v>0</v>
      </c>
      <c r="S71" s="117">
        <v>0</v>
      </c>
      <c r="T71" s="117">
        <v>0</v>
      </c>
      <c r="U71" s="117">
        <v>0</v>
      </c>
      <c r="V71" s="117">
        <v>0</v>
      </c>
      <c r="W71" s="118">
        <v>0</v>
      </c>
    </row>
    <row r="72" spans="1:23">
      <c r="A72" s="15" t="s">
        <v>93</v>
      </c>
      <c r="B72" s="12" t="s">
        <v>4</v>
      </c>
      <c r="C72" s="22" t="s">
        <v>557</v>
      </c>
      <c r="D72" s="21" t="s">
        <v>558</v>
      </c>
      <c r="E72" s="23" t="s">
        <v>53</v>
      </c>
      <c r="F72" s="23" t="s">
        <v>776</v>
      </c>
      <c r="G72" s="157"/>
      <c r="H72" s="157"/>
      <c r="I72" s="157"/>
      <c r="J72" s="157"/>
      <c r="K72" s="157"/>
      <c r="L72" s="117">
        <v>0</v>
      </c>
      <c r="M72" s="117">
        <v>0</v>
      </c>
      <c r="N72" s="117">
        <v>0</v>
      </c>
      <c r="O72" s="117">
        <v>0</v>
      </c>
      <c r="P72" s="117">
        <v>0</v>
      </c>
      <c r="Q72" s="117">
        <v>0</v>
      </c>
      <c r="R72" s="117">
        <v>-7.664517588016187E-3</v>
      </c>
      <c r="S72" s="117">
        <v>0</v>
      </c>
      <c r="T72" s="117">
        <v>0</v>
      </c>
      <c r="U72" s="117">
        <v>0</v>
      </c>
      <c r="V72" s="117">
        <v>0</v>
      </c>
      <c r="W72" s="118">
        <v>0</v>
      </c>
    </row>
    <row r="73" spans="1:23">
      <c r="A73" s="15" t="s">
        <v>93</v>
      </c>
      <c r="B73" s="12" t="s">
        <v>4</v>
      </c>
      <c r="C73" s="22" t="s">
        <v>559</v>
      </c>
      <c r="D73" s="21" t="s">
        <v>560</v>
      </c>
      <c r="E73" s="23" t="s">
        <v>33</v>
      </c>
      <c r="F73" s="23" t="s">
        <v>782</v>
      </c>
      <c r="G73" s="157"/>
      <c r="H73" s="157"/>
      <c r="I73" s="157"/>
      <c r="J73" s="157"/>
      <c r="K73" s="157"/>
      <c r="L73" s="117">
        <v>0</v>
      </c>
      <c r="M73" s="117">
        <v>0</v>
      </c>
      <c r="N73" s="117">
        <v>-1.532550387377769E-2</v>
      </c>
      <c r="O73" s="117">
        <v>0</v>
      </c>
      <c r="P73" s="117">
        <v>0</v>
      </c>
      <c r="Q73" s="117">
        <v>0</v>
      </c>
      <c r="R73" s="117">
        <v>0</v>
      </c>
      <c r="S73" s="117">
        <v>0</v>
      </c>
      <c r="T73" s="117">
        <v>0</v>
      </c>
      <c r="U73" s="117">
        <v>0</v>
      </c>
      <c r="V73" s="117">
        <v>0</v>
      </c>
      <c r="W73" s="118">
        <v>0</v>
      </c>
    </row>
    <row r="74" spans="1:23">
      <c r="A74" s="15" t="s">
        <v>93</v>
      </c>
      <c r="B74" s="12" t="s">
        <v>4</v>
      </c>
      <c r="C74" s="22" t="s">
        <v>561</v>
      </c>
      <c r="D74" s="21" t="s">
        <v>562</v>
      </c>
      <c r="E74" s="23" t="s">
        <v>33</v>
      </c>
      <c r="F74" s="23" t="s">
        <v>781</v>
      </c>
      <c r="G74" s="157"/>
      <c r="H74" s="157"/>
      <c r="I74" s="157"/>
      <c r="J74" s="157"/>
      <c r="K74" s="157"/>
      <c r="L74" s="117">
        <v>0</v>
      </c>
      <c r="M74" s="117">
        <v>0</v>
      </c>
      <c r="N74" s="117">
        <v>-1.2451971897444373E-2</v>
      </c>
      <c r="O74" s="117">
        <v>0</v>
      </c>
      <c r="P74" s="117">
        <v>0</v>
      </c>
      <c r="Q74" s="117">
        <v>0</v>
      </c>
      <c r="R74" s="117">
        <v>0</v>
      </c>
      <c r="S74" s="117">
        <v>0</v>
      </c>
      <c r="T74" s="117">
        <v>0</v>
      </c>
      <c r="U74" s="117">
        <v>0</v>
      </c>
      <c r="V74" s="117">
        <v>0</v>
      </c>
      <c r="W74" s="118">
        <v>0</v>
      </c>
    </row>
    <row r="75" spans="1:23">
      <c r="A75" s="15" t="s">
        <v>93</v>
      </c>
      <c r="B75" s="12" t="s">
        <v>4</v>
      </c>
      <c r="C75" s="22" t="s">
        <v>563</v>
      </c>
      <c r="D75" s="21" t="s">
        <v>564</v>
      </c>
      <c r="E75" s="23" t="s">
        <v>33</v>
      </c>
      <c r="F75" s="23" t="s">
        <v>781</v>
      </c>
      <c r="G75" s="157"/>
      <c r="H75" s="157"/>
      <c r="I75" s="157"/>
      <c r="J75" s="157"/>
      <c r="K75" s="157"/>
      <c r="L75" s="117">
        <v>0</v>
      </c>
      <c r="M75" s="117">
        <v>0</v>
      </c>
      <c r="N75" s="117">
        <v>0</v>
      </c>
      <c r="O75" s="117">
        <v>0</v>
      </c>
      <c r="P75" s="117">
        <v>0</v>
      </c>
      <c r="Q75" s="117">
        <v>0</v>
      </c>
      <c r="R75" s="117">
        <v>0</v>
      </c>
      <c r="S75" s="117">
        <v>0</v>
      </c>
      <c r="T75" s="117">
        <v>-6.8495086836548981E-3</v>
      </c>
      <c r="U75" s="117">
        <v>0</v>
      </c>
      <c r="V75" s="117">
        <v>0</v>
      </c>
      <c r="W75" s="118">
        <v>0</v>
      </c>
    </row>
    <row r="76" spans="1:23">
      <c r="A76" s="15" t="s">
        <v>93</v>
      </c>
      <c r="B76" s="12" t="s">
        <v>4</v>
      </c>
      <c r="C76" s="22" t="s">
        <v>565</v>
      </c>
      <c r="D76" s="21" t="s">
        <v>566</v>
      </c>
      <c r="E76" s="23" t="s">
        <v>772</v>
      </c>
      <c r="F76" s="23" t="s">
        <v>777</v>
      </c>
      <c r="G76" s="157"/>
      <c r="H76" s="157"/>
      <c r="I76" s="157"/>
      <c r="J76" s="157"/>
      <c r="K76" s="157"/>
      <c r="L76" s="117">
        <v>0</v>
      </c>
      <c r="M76" s="117">
        <v>-9.7544595697741081E-3</v>
      </c>
      <c r="N76" s="117">
        <v>0</v>
      </c>
      <c r="O76" s="117">
        <v>0</v>
      </c>
      <c r="P76" s="117">
        <v>0</v>
      </c>
      <c r="Q76" s="117">
        <v>0</v>
      </c>
      <c r="R76" s="117">
        <v>0</v>
      </c>
      <c r="S76" s="117">
        <v>0</v>
      </c>
      <c r="T76" s="117">
        <v>0</v>
      </c>
      <c r="U76" s="117">
        <v>0</v>
      </c>
      <c r="V76" s="117">
        <v>0</v>
      </c>
      <c r="W76" s="118">
        <v>0</v>
      </c>
    </row>
    <row r="77" spans="1:23">
      <c r="A77" s="15" t="s">
        <v>93</v>
      </c>
      <c r="B77" s="12" t="s">
        <v>4</v>
      </c>
      <c r="C77" s="22" t="s">
        <v>567</v>
      </c>
      <c r="D77" s="21" t="s">
        <v>568</v>
      </c>
      <c r="E77" s="23" t="s">
        <v>772</v>
      </c>
      <c r="F77" s="23" t="s">
        <v>777</v>
      </c>
      <c r="G77" s="157"/>
      <c r="H77" s="157"/>
      <c r="I77" s="157"/>
      <c r="J77" s="157"/>
      <c r="K77" s="157"/>
      <c r="L77" s="117">
        <v>0</v>
      </c>
      <c r="M77" s="117">
        <v>0</v>
      </c>
      <c r="N77" s="117">
        <v>0</v>
      </c>
      <c r="O77" s="117">
        <v>-1.9508919139548195E-2</v>
      </c>
      <c r="P77" s="117">
        <v>0</v>
      </c>
      <c r="Q77" s="117">
        <v>0</v>
      </c>
      <c r="R77" s="117">
        <v>0</v>
      </c>
      <c r="S77" s="117">
        <v>0</v>
      </c>
      <c r="T77" s="117">
        <v>0</v>
      </c>
      <c r="U77" s="117">
        <v>0</v>
      </c>
      <c r="V77" s="117">
        <v>0</v>
      </c>
      <c r="W77" s="118">
        <v>0</v>
      </c>
    </row>
    <row r="78" spans="1:23">
      <c r="A78" s="15" t="s">
        <v>93</v>
      </c>
      <c r="B78" s="12" t="s">
        <v>4</v>
      </c>
      <c r="C78" s="22" t="s">
        <v>574</v>
      </c>
      <c r="D78" s="21" t="s">
        <v>52</v>
      </c>
      <c r="E78" s="23" t="s">
        <v>142</v>
      </c>
      <c r="F78" s="23" t="s">
        <v>529</v>
      </c>
      <c r="G78" s="157"/>
      <c r="H78" s="157"/>
      <c r="I78" s="157"/>
      <c r="J78" s="157"/>
      <c r="K78" s="157"/>
      <c r="L78" s="117">
        <v>0</v>
      </c>
      <c r="M78" s="117">
        <v>0</v>
      </c>
      <c r="N78" s="117">
        <v>-2.8741940955060706E-3</v>
      </c>
      <c r="O78" s="117">
        <v>0</v>
      </c>
      <c r="P78" s="117">
        <v>0</v>
      </c>
      <c r="Q78" s="117">
        <v>0</v>
      </c>
      <c r="R78" s="117">
        <v>0</v>
      </c>
      <c r="S78" s="117">
        <v>0</v>
      </c>
      <c r="T78" s="117">
        <v>0</v>
      </c>
      <c r="U78" s="117">
        <v>0</v>
      </c>
      <c r="V78" s="117">
        <v>0</v>
      </c>
      <c r="W78" s="118">
        <v>0</v>
      </c>
    </row>
    <row r="79" spans="1:23">
      <c r="A79" s="15" t="s">
        <v>93</v>
      </c>
      <c r="B79" s="12" t="s">
        <v>4</v>
      </c>
      <c r="C79" s="22" t="s">
        <v>603</v>
      </c>
      <c r="D79" s="21" t="s">
        <v>604</v>
      </c>
      <c r="E79" s="23" t="s">
        <v>58</v>
      </c>
      <c r="F79" s="23"/>
      <c r="G79" s="157"/>
      <c r="H79" s="157"/>
      <c r="I79" s="157"/>
      <c r="J79" s="157"/>
      <c r="K79" s="157"/>
      <c r="L79" s="117">
        <v>0</v>
      </c>
      <c r="M79" s="117">
        <v>0</v>
      </c>
      <c r="N79" s="117">
        <v>0</v>
      </c>
      <c r="O79" s="117">
        <v>0</v>
      </c>
      <c r="P79" s="117">
        <v>-4.7903234925101172E-2</v>
      </c>
      <c r="Q79" s="117">
        <v>0</v>
      </c>
      <c r="R79" s="117">
        <v>0</v>
      </c>
      <c r="S79" s="117">
        <v>0</v>
      </c>
      <c r="T79" s="117">
        <v>0</v>
      </c>
      <c r="U79" s="117">
        <v>0</v>
      </c>
      <c r="V79" s="117">
        <v>0</v>
      </c>
      <c r="W79" s="118">
        <v>0</v>
      </c>
    </row>
    <row r="80" spans="1:23">
      <c r="A80" s="15" t="s">
        <v>93</v>
      </c>
      <c r="B80" s="12" t="s">
        <v>4</v>
      </c>
      <c r="C80" s="28" t="s">
        <v>22</v>
      </c>
      <c r="D80" s="6" t="s">
        <v>24</v>
      </c>
      <c r="E80" s="7" t="s">
        <v>772</v>
      </c>
      <c r="F80" s="7" t="s">
        <v>777</v>
      </c>
      <c r="G80" s="157"/>
      <c r="H80" s="157"/>
      <c r="I80" s="157"/>
      <c r="J80" s="157"/>
      <c r="K80" s="157"/>
      <c r="L80" s="95">
        <v>2.9716756507576891E-3</v>
      </c>
      <c r="M80" s="117">
        <v>0</v>
      </c>
      <c r="N80" s="117">
        <v>0</v>
      </c>
      <c r="O80" s="117">
        <v>0</v>
      </c>
      <c r="P80" s="117">
        <v>0</v>
      </c>
      <c r="Q80" s="117">
        <v>0</v>
      </c>
      <c r="R80" s="117">
        <v>0</v>
      </c>
      <c r="S80" s="117">
        <v>0</v>
      </c>
      <c r="T80" s="117">
        <v>0</v>
      </c>
      <c r="U80" s="117">
        <v>0</v>
      </c>
      <c r="V80" s="117">
        <v>0</v>
      </c>
      <c r="W80" s="118">
        <v>0</v>
      </c>
    </row>
    <row r="81" spans="1:23">
      <c r="A81" s="15" t="s">
        <v>93</v>
      </c>
      <c r="B81" s="12" t="s">
        <v>4</v>
      </c>
      <c r="C81" s="28" t="s">
        <v>22</v>
      </c>
      <c r="D81" s="6" t="s">
        <v>145</v>
      </c>
      <c r="E81" s="7" t="s">
        <v>53</v>
      </c>
      <c r="F81" s="7" t="s">
        <v>776</v>
      </c>
      <c r="G81" s="157"/>
      <c r="H81" s="157"/>
      <c r="I81" s="157"/>
      <c r="J81" s="157"/>
      <c r="K81" s="157"/>
      <c r="L81" s="95">
        <v>0</v>
      </c>
      <c r="M81" s="117">
        <v>0</v>
      </c>
      <c r="N81" s="117">
        <v>0</v>
      </c>
      <c r="O81" s="117">
        <v>0</v>
      </c>
      <c r="P81" s="117">
        <v>0</v>
      </c>
      <c r="Q81" s="117">
        <v>0</v>
      </c>
      <c r="R81" s="117">
        <v>0</v>
      </c>
      <c r="S81" s="117">
        <v>0</v>
      </c>
      <c r="T81" s="117">
        <v>0</v>
      </c>
      <c r="U81" s="117">
        <v>0</v>
      </c>
      <c r="V81" s="117">
        <v>0</v>
      </c>
      <c r="W81" s="118">
        <v>0</v>
      </c>
    </row>
    <row r="82" spans="1:23">
      <c r="A82" s="15" t="s">
        <v>93</v>
      </c>
      <c r="B82" s="12" t="s">
        <v>4</v>
      </c>
      <c r="C82" s="28" t="s">
        <v>22</v>
      </c>
      <c r="D82" s="6" t="s">
        <v>140</v>
      </c>
      <c r="E82" s="7" t="s">
        <v>43</v>
      </c>
      <c r="F82" s="7" t="s">
        <v>778</v>
      </c>
      <c r="G82" s="157"/>
      <c r="H82" s="157"/>
      <c r="I82" s="157"/>
      <c r="J82" s="157"/>
      <c r="K82" s="157"/>
      <c r="L82" s="95">
        <v>7.8606687823037588E-4</v>
      </c>
      <c r="M82" s="117">
        <v>0</v>
      </c>
      <c r="N82" s="117">
        <v>0</v>
      </c>
      <c r="O82" s="117">
        <v>0</v>
      </c>
      <c r="P82" s="117">
        <v>0</v>
      </c>
      <c r="Q82" s="117">
        <v>0</v>
      </c>
      <c r="R82" s="117">
        <v>0</v>
      </c>
      <c r="S82" s="117">
        <v>0</v>
      </c>
      <c r="T82" s="117">
        <v>0</v>
      </c>
      <c r="U82" s="117">
        <v>0</v>
      </c>
      <c r="V82" s="117">
        <v>0</v>
      </c>
      <c r="W82" s="118">
        <v>0</v>
      </c>
    </row>
    <row r="83" spans="1:23">
      <c r="A83" s="15" t="s">
        <v>93</v>
      </c>
      <c r="B83" s="12" t="s">
        <v>4</v>
      </c>
      <c r="C83" s="28" t="s">
        <v>22</v>
      </c>
      <c r="D83" s="6" t="s">
        <v>49</v>
      </c>
      <c r="E83" s="7" t="s">
        <v>142</v>
      </c>
      <c r="F83" s="7" t="s">
        <v>529</v>
      </c>
      <c r="G83" s="157"/>
      <c r="H83" s="157"/>
      <c r="I83" s="157"/>
      <c r="J83" s="157"/>
      <c r="K83" s="157"/>
      <c r="L83" s="95">
        <v>9.5795741928312065E-4</v>
      </c>
      <c r="M83" s="117">
        <v>0</v>
      </c>
      <c r="N83" s="117">
        <v>0</v>
      </c>
      <c r="O83" s="117">
        <v>0</v>
      </c>
      <c r="P83" s="117">
        <v>0</v>
      </c>
      <c r="Q83" s="117">
        <v>0</v>
      </c>
      <c r="R83" s="117">
        <v>0</v>
      </c>
      <c r="S83" s="117">
        <v>0</v>
      </c>
      <c r="T83" s="117">
        <v>0</v>
      </c>
      <c r="U83" s="117">
        <v>0</v>
      </c>
      <c r="V83" s="117">
        <v>0</v>
      </c>
      <c r="W83" s="118">
        <v>0</v>
      </c>
    </row>
    <row r="84" spans="1:23">
      <c r="A84" s="15" t="s">
        <v>93</v>
      </c>
      <c r="B84" s="12" t="s">
        <v>4</v>
      </c>
      <c r="C84" s="28" t="s">
        <v>22</v>
      </c>
      <c r="D84" s="6" t="s">
        <v>58</v>
      </c>
      <c r="E84" s="7" t="s">
        <v>58</v>
      </c>
      <c r="F84" s="7"/>
      <c r="G84" s="157"/>
      <c r="H84" s="157"/>
      <c r="I84" s="157"/>
      <c r="J84" s="157"/>
      <c r="K84" s="157"/>
      <c r="L84" s="95">
        <v>7.9764177101206302E-3</v>
      </c>
      <c r="M84" s="117">
        <v>0</v>
      </c>
      <c r="N84" s="117">
        <v>0</v>
      </c>
      <c r="O84" s="117">
        <v>0</v>
      </c>
      <c r="P84" s="117">
        <v>0</v>
      </c>
      <c r="Q84" s="117">
        <v>0</v>
      </c>
      <c r="R84" s="117">
        <v>0</v>
      </c>
      <c r="S84" s="117">
        <v>0</v>
      </c>
      <c r="T84" s="117">
        <v>0</v>
      </c>
      <c r="U84" s="117">
        <v>0</v>
      </c>
      <c r="V84" s="117">
        <v>0</v>
      </c>
      <c r="W84" s="118">
        <v>0</v>
      </c>
    </row>
    <row r="85" spans="1:23" s="10" customFormat="1">
      <c r="A85" s="19" t="s">
        <v>93</v>
      </c>
      <c r="B85" s="18" t="s">
        <v>4</v>
      </c>
      <c r="C85" s="40" t="s">
        <v>22</v>
      </c>
      <c r="D85" s="41" t="s">
        <v>33</v>
      </c>
      <c r="E85" s="42" t="s">
        <v>33</v>
      </c>
      <c r="F85" s="42"/>
      <c r="G85" s="158"/>
      <c r="H85" s="158"/>
      <c r="I85" s="158"/>
      <c r="J85" s="158"/>
      <c r="K85" s="158"/>
      <c r="L85" s="130">
        <v>1.284641474623706E-2</v>
      </c>
      <c r="M85" s="121">
        <v>0</v>
      </c>
      <c r="N85" s="121">
        <v>0</v>
      </c>
      <c r="O85" s="121">
        <v>0</v>
      </c>
      <c r="P85" s="121">
        <v>0</v>
      </c>
      <c r="Q85" s="121">
        <v>0</v>
      </c>
      <c r="R85" s="121">
        <v>0</v>
      </c>
      <c r="S85" s="121">
        <v>0</v>
      </c>
      <c r="T85" s="121">
        <v>0</v>
      </c>
      <c r="U85" s="121">
        <v>0</v>
      </c>
      <c r="V85" s="121">
        <v>0</v>
      </c>
      <c r="W85" s="122">
        <v>0</v>
      </c>
    </row>
    <row r="86" spans="1:23" outlineLevel="1">
      <c r="A86" s="15" t="s">
        <v>93</v>
      </c>
      <c r="B86" s="12" t="s">
        <v>4</v>
      </c>
      <c r="C86" s="22" t="s">
        <v>575</v>
      </c>
      <c r="D86" s="21" t="s">
        <v>576</v>
      </c>
      <c r="E86" s="23" t="s">
        <v>142</v>
      </c>
      <c r="F86" s="23" t="s">
        <v>529</v>
      </c>
      <c r="G86" s="316">
        <v>-1.3102533625155855E-2</v>
      </c>
      <c r="H86" s="316">
        <v>0</v>
      </c>
      <c r="I86" s="316">
        <v>0</v>
      </c>
      <c r="J86" s="316">
        <v>0</v>
      </c>
      <c r="K86" s="316">
        <v>0</v>
      </c>
      <c r="L86" s="170"/>
      <c r="M86" s="317"/>
      <c r="N86" s="317"/>
      <c r="O86" s="317"/>
      <c r="P86" s="317"/>
      <c r="Q86" s="317"/>
      <c r="R86" s="317"/>
      <c r="S86" s="317"/>
      <c r="T86" s="317"/>
      <c r="U86" s="317"/>
      <c r="V86" s="317"/>
      <c r="W86" s="317"/>
    </row>
    <row r="87" spans="1:23" outlineLevel="1">
      <c r="A87" s="15" t="s">
        <v>93</v>
      </c>
      <c r="B87" s="12" t="s">
        <v>4</v>
      </c>
      <c r="C87" s="22" t="s">
        <v>579</v>
      </c>
      <c r="D87" s="21" t="s">
        <v>580</v>
      </c>
      <c r="E87" s="23" t="s">
        <v>58</v>
      </c>
      <c r="F87" s="23" t="s">
        <v>775</v>
      </c>
      <c r="G87" s="316">
        <v>-9.0239558848151831E-3</v>
      </c>
      <c r="H87" s="316">
        <v>0</v>
      </c>
      <c r="I87" s="316">
        <v>0</v>
      </c>
      <c r="J87" s="316">
        <v>0</v>
      </c>
      <c r="K87" s="316">
        <v>0</v>
      </c>
      <c r="L87" s="170"/>
      <c r="M87" s="317"/>
      <c r="N87" s="317"/>
      <c r="O87" s="317"/>
      <c r="P87" s="317"/>
      <c r="Q87" s="317"/>
      <c r="R87" s="317"/>
      <c r="S87" s="317"/>
      <c r="T87" s="317"/>
      <c r="U87" s="317"/>
      <c r="V87" s="317"/>
      <c r="W87" s="317"/>
    </row>
    <row r="88" spans="1:23" outlineLevel="1">
      <c r="A88" s="15" t="s">
        <v>93</v>
      </c>
      <c r="B88" s="12" t="s">
        <v>4</v>
      </c>
      <c r="C88" s="22" t="s">
        <v>581</v>
      </c>
      <c r="D88" s="21" t="s">
        <v>582</v>
      </c>
      <c r="E88" s="23" t="s">
        <v>53</v>
      </c>
      <c r="F88" s="23" t="s">
        <v>776</v>
      </c>
      <c r="G88" s="316">
        <v>0</v>
      </c>
      <c r="H88" s="316">
        <v>0</v>
      </c>
      <c r="I88" s="316">
        <v>0</v>
      </c>
      <c r="J88" s="316">
        <v>0</v>
      </c>
      <c r="K88" s="316">
        <v>-7.664517588016187E-3</v>
      </c>
      <c r="L88" s="170"/>
      <c r="M88" s="317"/>
      <c r="N88" s="317"/>
      <c r="O88" s="317"/>
      <c r="P88" s="317"/>
      <c r="Q88" s="317"/>
      <c r="R88" s="317"/>
      <c r="S88" s="317"/>
      <c r="T88" s="317"/>
      <c r="U88" s="317"/>
      <c r="V88" s="317"/>
      <c r="W88" s="317"/>
    </row>
    <row r="89" spans="1:23" outlineLevel="1">
      <c r="A89" s="15" t="s">
        <v>93</v>
      </c>
      <c r="B89" s="12" t="s">
        <v>4</v>
      </c>
      <c r="C89" s="22" t="s">
        <v>605</v>
      </c>
      <c r="D89" s="21" t="s">
        <v>606</v>
      </c>
      <c r="E89" s="23" t="s">
        <v>772</v>
      </c>
      <c r="F89" s="23" t="s">
        <v>780</v>
      </c>
      <c r="G89" s="316">
        <v>-1.0872236005801425E-3</v>
      </c>
      <c r="H89" s="316">
        <v>0</v>
      </c>
      <c r="I89" s="316">
        <v>0</v>
      </c>
      <c r="J89" s="316">
        <v>0</v>
      </c>
      <c r="K89" s="316">
        <v>0</v>
      </c>
      <c r="L89" s="170"/>
      <c r="M89" s="317"/>
      <c r="N89" s="317"/>
      <c r="O89" s="317"/>
      <c r="P89" s="317"/>
      <c r="Q89" s="317"/>
      <c r="R89" s="317"/>
      <c r="S89" s="317"/>
      <c r="T89" s="317"/>
      <c r="U89" s="317"/>
      <c r="V89" s="317"/>
      <c r="W89" s="317"/>
    </row>
    <row r="90" spans="1:23" outlineLevel="1">
      <c r="A90" s="15" t="s">
        <v>93</v>
      </c>
      <c r="B90" s="12" t="s">
        <v>4</v>
      </c>
      <c r="C90" s="22" t="s">
        <v>607</v>
      </c>
      <c r="D90" s="21" t="s">
        <v>608</v>
      </c>
      <c r="E90" s="23" t="s">
        <v>58</v>
      </c>
      <c r="F90" s="23" t="s">
        <v>775</v>
      </c>
      <c r="G90" s="316">
        <v>-1.3818364867101049E-2</v>
      </c>
      <c r="H90" s="316">
        <v>0</v>
      </c>
      <c r="I90" s="316">
        <v>0</v>
      </c>
      <c r="J90" s="316">
        <v>0</v>
      </c>
      <c r="K90" s="316">
        <v>0</v>
      </c>
      <c r="L90" s="170"/>
      <c r="M90" s="317"/>
      <c r="N90" s="317"/>
      <c r="O90" s="317"/>
      <c r="P90" s="317"/>
      <c r="Q90" s="317"/>
      <c r="R90" s="317"/>
      <c r="S90" s="317"/>
      <c r="T90" s="317"/>
      <c r="U90" s="317"/>
      <c r="V90" s="317"/>
      <c r="W90" s="317"/>
    </row>
    <row r="91" spans="1:23" outlineLevel="1">
      <c r="A91" s="15" t="s">
        <v>93</v>
      </c>
      <c r="B91" s="12" t="s">
        <v>4</v>
      </c>
      <c r="C91" s="22" t="s">
        <v>609</v>
      </c>
      <c r="D91" s="21" t="s">
        <v>610</v>
      </c>
      <c r="E91" s="23" t="s">
        <v>58</v>
      </c>
      <c r="F91" s="23" t="s">
        <v>416</v>
      </c>
      <c r="G91" s="316">
        <v>-2.3690800291820929E-3</v>
      </c>
      <c r="H91" s="316">
        <v>0</v>
      </c>
      <c r="I91" s="316">
        <v>0</v>
      </c>
      <c r="J91" s="316">
        <v>0</v>
      </c>
      <c r="K91" s="316">
        <v>0</v>
      </c>
      <c r="L91" s="170"/>
      <c r="M91" s="317"/>
      <c r="N91" s="317"/>
      <c r="O91" s="317"/>
      <c r="P91" s="317"/>
      <c r="Q91" s="317"/>
      <c r="R91" s="317"/>
      <c r="S91" s="317"/>
      <c r="T91" s="317"/>
      <c r="U91" s="317"/>
      <c r="V91" s="317"/>
      <c r="W91" s="317"/>
    </row>
    <row r="92" spans="1:23" outlineLevel="1">
      <c r="A92" s="15" t="s">
        <v>93</v>
      </c>
      <c r="B92" s="12" t="s">
        <v>4</v>
      </c>
      <c r="C92" s="22" t="s">
        <v>389</v>
      </c>
      <c r="D92" s="21" t="s">
        <v>611</v>
      </c>
      <c r="E92" s="23" t="s">
        <v>58</v>
      </c>
      <c r="F92" s="23"/>
      <c r="G92" s="316">
        <v>0</v>
      </c>
      <c r="H92" s="316">
        <v>0</v>
      </c>
      <c r="I92" s="316">
        <v>6.7064528895141636E-3</v>
      </c>
      <c r="J92" s="316">
        <v>0</v>
      </c>
      <c r="K92" s="316">
        <v>0</v>
      </c>
      <c r="L92" s="170"/>
      <c r="M92" s="317"/>
      <c r="N92" s="317"/>
      <c r="O92" s="317"/>
      <c r="P92" s="317"/>
      <c r="Q92" s="317"/>
      <c r="R92" s="317"/>
      <c r="S92" s="317"/>
      <c r="T92" s="317"/>
      <c r="U92" s="317"/>
      <c r="V92" s="317"/>
      <c r="W92" s="317"/>
    </row>
    <row r="93" spans="1:23" outlineLevel="1">
      <c r="A93" s="15" t="s">
        <v>93</v>
      </c>
      <c r="B93" s="12" t="s">
        <v>4</v>
      </c>
      <c r="C93" s="22" t="s">
        <v>584</v>
      </c>
      <c r="D93" s="21" t="s">
        <v>584</v>
      </c>
      <c r="E93" s="23" t="s">
        <v>772</v>
      </c>
      <c r="F93" s="23" t="s">
        <v>779</v>
      </c>
      <c r="G93" s="316">
        <v>9.5675676851080243E-4</v>
      </c>
      <c r="H93" s="316">
        <v>0</v>
      </c>
      <c r="I93" s="316">
        <v>0</v>
      </c>
      <c r="J93" s="316">
        <v>0</v>
      </c>
      <c r="K93" s="316">
        <v>0</v>
      </c>
      <c r="L93" s="170"/>
      <c r="M93" s="317"/>
      <c r="N93" s="317"/>
      <c r="O93" s="317"/>
      <c r="P93" s="317"/>
      <c r="Q93" s="317"/>
      <c r="R93" s="317"/>
      <c r="S93" s="317"/>
      <c r="T93" s="317"/>
      <c r="U93" s="317"/>
      <c r="V93" s="317"/>
      <c r="W93" s="317"/>
    </row>
    <row r="94" spans="1:23" outlineLevel="1">
      <c r="A94" s="15" t="s">
        <v>93</v>
      </c>
      <c r="B94" s="12" t="s">
        <v>4</v>
      </c>
      <c r="C94" s="22" t="s">
        <v>585</v>
      </c>
      <c r="D94" s="21" t="s">
        <v>586</v>
      </c>
      <c r="E94" s="23" t="s">
        <v>33</v>
      </c>
      <c r="F94" s="23" t="s">
        <v>781</v>
      </c>
      <c r="G94" s="316">
        <v>0</v>
      </c>
      <c r="H94" s="316">
        <v>-8.1541770043510684E-3</v>
      </c>
      <c r="I94" s="316">
        <v>0</v>
      </c>
      <c r="J94" s="316">
        <v>0</v>
      </c>
      <c r="K94" s="316">
        <v>0</v>
      </c>
      <c r="L94" s="170"/>
      <c r="M94" s="317"/>
      <c r="N94" s="317"/>
      <c r="O94" s="317"/>
      <c r="P94" s="317"/>
      <c r="Q94" s="317"/>
      <c r="R94" s="317"/>
      <c r="S94" s="317"/>
      <c r="T94" s="317"/>
      <c r="U94" s="317"/>
      <c r="V94" s="317"/>
      <c r="W94" s="317"/>
    </row>
    <row r="95" spans="1:23" outlineLevel="1">
      <c r="A95" s="15" t="s">
        <v>93</v>
      </c>
      <c r="B95" s="12" t="s">
        <v>4</v>
      </c>
      <c r="C95" s="22" t="s">
        <v>612</v>
      </c>
      <c r="D95" s="21" t="s">
        <v>613</v>
      </c>
      <c r="E95" s="23" t="s">
        <v>33</v>
      </c>
      <c r="F95" s="23"/>
      <c r="G95" s="316">
        <v>0</v>
      </c>
      <c r="H95" s="316">
        <v>0</v>
      </c>
      <c r="I95" s="316">
        <v>-1.2493852028014684E-2</v>
      </c>
      <c r="J95" s="316">
        <v>0</v>
      </c>
      <c r="K95" s="316">
        <v>0</v>
      </c>
      <c r="L95" s="170"/>
      <c r="M95" s="317"/>
      <c r="N95" s="317"/>
      <c r="O95" s="317"/>
      <c r="P95" s="317"/>
      <c r="Q95" s="317"/>
      <c r="R95" s="317"/>
      <c r="S95" s="317"/>
      <c r="T95" s="317"/>
      <c r="U95" s="317"/>
      <c r="V95" s="317"/>
      <c r="W95" s="317"/>
    </row>
    <row r="96" spans="1:23">
      <c r="A96" s="200" t="s">
        <v>93</v>
      </c>
      <c r="B96" s="200" t="s">
        <v>251</v>
      </c>
      <c r="C96" s="200"/>
      <c r="D96" s="200"/>
      <c r="E96" s="200"/>
      <c r="F96" s="200"/>
      <c r="G96" s="201">
        <v>1.4372366292162482</v>
      </c>
      <c r="H96" s="201">
        <v>1.4304028902222181</v>
      </c>
      <c r="I96" s="201">
        <v>1.4375035832855003</v>
      </c>
      <c r="J96" s="201">
        <v>1.4298321335598072</v>
      </c>
      <c r="K96" s="201">
        <v>1.4298321335598072</v>
      </c>
      <c r="L96" s="201">
        <f>MoDi!D31</f>
        <v>1.4298321335598072</v>
      </c>
      <c r="M96" s="201">
        <f>MoDi!E31</f>
        <v>1.4212601701308503</v>
      </c>
      <c r="N96" s="201">
        <f>MoDi!F31</f>
        <v>1.40248977653416</v>
      </c>
      <c r="O96" s="201">
        <f>MoDi!G31</f>
        <v>1.3837917586164481</v>
      </c>
      <c r="P96" s="235">
        <f>MoDi!H31</f>
        <v>1.381935948128455</v>
      </c>
      <c r="Q96" s="201">
        <f>MoDi!I31</f>
        <v>1.4003857422878794</v>
      </c>
      <c r="R96" s="201">
        <f>MoDi!J31</f>
        <v>1.3874212246998632</v>
      </c>
      <c r="S96" s="201">
        <f>MoDi!K31</f>
        <v>1.3665109520540688</v>
      </c>
      <c r="T96" s="201">
        <f>MoDi!L31</f>
        <v>1.3641190601327924</v>
      </c>
      <c r="U96" s="201">
        <f>MoDi!M31</f>
        <v>1.3641190601327924</v>
      </c>
      <c r="V96" s="201">
        <f>MoDi!N31</f>
        <v>1.3641190601327924</v>
      </c>
      <c r="W96" s="201">
        <f>MoDi!O31</f>
        <v>1.3641190601327924</v>
      </c>
    </row>
    <row r="97" spans="1:23" outlineLevel="1">
      <c r="A97" s="15" t="s">
        <v>93</v>
      </c>
      <c r="B97" s="13" t="s">
        <v>5</v>
      </c>
      <c r="C97" s="34" t="s">
        <v>575</v>
      </c>
      <c r="D97" s="34" t="s">
        <v>576</v>
      </c>
      <c r="E97" s="31" t="s">
        <v>142</v>
      </c>
      <c r="F97" s="31" t="s">
        <v>529</v>
      </c>
      <c r="G97" s="316">
        <v>-1.3102533625155871E-2</v>
      </c>
      <c r="H97" s="316"/>
      <c r="I97" s="316"/>
      <c r="J97" s="316"/>
      <c r="K97" s="316"/>
      <c r="L97" s="170"/>
      <c r="M97" s="317"/>
      <c r="N97" s="317"/>
      <c r="O97" s="317"/>
      <c r="P97" s="317"/>
      <c r="Q97" s="317"/>
      <c r="R97" s="317"/>
      <c r="S97" s="317"/>
      <c r="T97" s="317"/>
      <c r="U97" s="317"/>
      <c r="V97" s="317"/>
      <c r="W97" s="317"/>
    </row>
    <row r="98" spans="1:23" outlineLevel="1">
      <c r="A98" s="15" t="s">
        <v>93</v>
      </c>
      <c r="B98" s="13" t="s">
        <v>5</v>
      </c>
      <c r="C98" s="34" t="s">
        <v>579</v>
      </c>
      <c r="D98" s="34" t="s">
        <v>580</v>
      </c>
      <c r="E98" s="31" t="s">
        <v>58</v>
      </c>
      <c r="F98" s="31" t="s">
        <v>775</v>
      </c>
      <c r="G98" s="316">
        <v>-9.02395588481519E-3</v>
      </c>
      <c r="H98" s="316"/>
      <c r="I98" s="316"/>
      <c r="J98" s="316"/>
      <c r="K98" s="316"/>
      <c r="L98" s="170"/>
      <c r="M98" s="317"/>
      <c r="N98" s="317"/>
      <c r="O98" s="317"/>
      <c r="P98" s="317"/>
      <c r="Q98" s="317"/>
      <c r="R98" s="317"/>
      <c r="S98" s="317"/>
      <c r="T98" s="317"/>
      <c r="U98" s="317"/>
      <c r="V98" s="317"/>
      <c r="W98" s="317"/>
    </row>
    <row r="99" spans="1:23" outlineLevel="1">
      <c r="A99" s="15" t="s">
        <v>93</v>
      </c>
      <c r="B99" s="13" t="s">
        <v>5</v>
      </c>
      <c r="C99" s="34" t="s">
        <v>581</v>
      </c>
      <c r="D99" s="34" t="s">
        <v>582</v>
      </c>
      <c r="E99" s="31" t="s">
        <v>53</v>
      </c>
      <c r="F99" s="31" t="s">
        <v>776</v>
      </c>
      <c r="G99" s="316"/>
      <c r="H99" s="316"/>
      <c r="I99" s="316"/>
      <c r="J99" s="316">
        <v>-7.6105652040609787E-3</v>
      </c>
      <c r="K99" s="316"/>
      <c r="L99" s="170"/>
      <c r="M99" s="317"/>
      <c r="N99" s="317"/>
      <c r="O99" s="317"/>
      <c r="P99" s="317"/>
      <c r="Q99" s="317"/>
      <c r="R99" s="317"/>
      <c r="S99" s="317"/>
      <c r="T99" s="317"/>
      <c r="U99" s="317"/>
      <c r="V99" s="317"/>
      <c r="W99" s="317"/>
    </row>
    <row r="100" spans="1:23" outlineLevel="1">
      <c r="A100" s="15" t="s">
        <v>93</v>
      </c>
      <c r="B100" s="13" t="s">
        <v>5</v>
      </c>
      <c r="C100" s="34" t="s">
        <v>605</v>
      </c>
      <c r="D100" s="34" t="s">
        <v>606</v>
      </c>
      <c r="E100" s="31" t="s">
        <v>772</v>
      </c>
      <c r="F100" s="31" t="s">
        <v>780</v>
      </c>
      <c r="G100" s="316">
        <v>-1.087223600580144E-3</v>
      </c>
      <c r="H100" s="316">
        <v>-3.517168347876758E-3</v>
      </c>
      <c r="I100" s="316">
        <v>-1.6418174574417562E-5</v>
      </c>
      <c r="J100" s="316"/>
      <c r="K100" s="316"/>
      <c r="L100" s="170"/>
      <c r="M100" s="317"/>
      <c r="N100" s="317"/>
      <c r="O100" s="317"/>
      <c r="P100" s="317"/>
      <c r="Q100" s="317"/>
      <c r="R100" s="317"/>
      <c r="S100" s="317"/>
      <c r="T100" s="317"/>
      <c r="U100" s="317"/>
      <c r="V100" s="317"/>
      <c r="W100" s="317"/>
    </row>
    <row r="101" spans="1:23" outlineLevel="1">
      <c r="A101" s="15" t="s">
        <v>93</v>
      </c>
      <c r="B101" s="13" t="s">
        <v>5</v>
      </c>
      <c r="C101" s="34" t="s">
        <v>614</v>
      </c>
      <c r="D101" s="34" t="s">
        <v>615</v>
      </c>
      <c r="E101" s="31" t="s">
        <v>58</v>
      </c>
      <c r="F101" s="31" t="s">
        <v>775</v>
      </c>
      <c r="G101" s="316">
        <v>-1.3818364867101052E-2</v>
      </c>
      <c r="H101" s="316"/>
      <c r="I101" s="316"/>
      <c r="J101" s="316"/>
      <c r="K101" s="316"/>
      <c r="L101" s="170"/>
      <c r="M101" s="317"/>
      <c r="N101" s="317"/>
      <c r="O101" s="317"/>
      <c r="P101" s="317"/>
      <c r="Q101" s="317"/>
      <c r="R101" s="317"/>
      <c r="S101" s="317"/>
      <c r="T101" s="317"/>
      <c r="U101" s="317"/>
      <c r="V101" s="317"/>
      <c r="W101" s="317"/>
    </row>
    <row r="102" spans="1:23" outlineLevel="1">
      <c r="A102" s="15" t="s">
        <v>93</v>
      </c>
      <c r="B102" s="13" t="s">
        <v>5</v>
      </c>
      <c r="C102" s="34" t="s">
        <v>609</v>
      </c>
      <c r="D102" s="34" t="s">
        <v>610</v>
      </c>
      <c r="E102" s="31" t="s">
        <v>58</v>
      </c>
      <c r="F102" s="31" t="s">
        <v>416</v>
      </c>
      <c r="G102" s="316">
        <v>-2.3690800291820972E-3</v>
      </c>
      <c r="H102" s="316">
        <v>-5.9458084268526827E-5</v>
      </c>
      <c r="I102" s="316">
        <v>3.1288902679049418E-6</v>
      </c>
      <c r="J102" s="316">
        <v>-6.0884521631996937E-5</v>
      </c>
      <c r="K102" s="316"/>
      <c r="L102" s="170"/>
      <c r="M102" s="317"/>
      <c r="N102" s="317"/>
      <c r="O102" s="317"/>
      <c r="P102" s="317"/>
      <c r="Q102" s="317"/>
      <c r="R102" s="317"/>
      <c r="S102" s="317"/>
      <c r="T102" s="317"/>
      <c r="U102" s="317"/>
      <c r="V102" s="317"/>
      <c r="W102" s="317"/>
    </row>
    <row r="103" spans="1:23" outlineLevel="1">
      <c r="A103" s="15" t="s">
        <v>93</v>
      </c>
      <c r="B103" s="13" t="s">
        <v>5</v>
      </c>
      <c r="C103" s="34" t="s">
        <v>389</v>
      </c>
      <c r="D103" s="34" t="s">
        <v>611</v>
      </c>
      <c r="E103" s="31" t="s">
        <v>58</v>
      </c>
      <c r="F103" s="31"/>
      <c r="G103" s="316"/>
      <c r="H103" s="316">
        <v>6.5797962380437908E-4</v>
      </c>
      <c r="I103" s="316">
        <v>6.706452889513847E-3</v>
      </c>
      <c r="J103" s="316"/>
      <c r="K103" s="316"/>
      <c r="L103" s="170"/>
      <c r="M103" s="317"/>
      <c r="N103" s="317"/>
      <c r="O103" s="317"/>
      <c r="P103" s="317"/>
      <c r="Q103" s="317"/>
      <c r="R103" s="317"/>
      <c r="S103" s="317"/>
      <c r="T103" s="317"/>
      <c r="U103" s="317"/>
      <c r="V103" s="317"/>
      <c r="W103" s="317"/>
    </row>
    <row r="104" spans="1:23" outlineLevel="1">
      <c r="A104" s="15" t="s">
        <v>93</v>
      </c>
      <c r="B104" s="13" t="s">
        <v>5</v>
      </c>
      <c r="C104" s="34" t="s">
        <v>584</v>
      </c>
      <c r="D104" s="34" t="s">
        <v>584</v>
      </c>
      <c r="E104" s="31" t="s">
        <v>772</v>
      </c>
      <c r="F104" s="31" t="s">
        <v>779</v>
      </c>
      <c r="G104" s="316">
        <v>9.5675676851080199E-4</v>
      </c>
      <c r="H104" s="316"/>
      <c r="I104" s="316"/>
      <c r="J104" s="316"/>
      <c r="K104" s="316"/>
      <c r="L104" s="170"/>
      <c r="M104" s="317"/>
      <c r="N104" s="317"/>
      <c r="O104" s="317"/>
      <c r="P104" s="317"/>
      <c r="Q104" s="317"/>
      <c r="R104" s="317"/>
      <c r="S104" s="317"/>
      <c r="T104" s="317"/>
      <c r="U104" s="317"/>
      <c r="V104" s="317"/>
      <c r="W104" s="317"/>
    </row>
    <row r="105" spans="1:23" outlineLevel="1">
      <c r="A105" s="15" t="s">
        <v>93</v>
      </c>
      <c r="B105" s="13" t="s">
        <v>5</v>
      </c>
      <c r="C105" s="34" t="s">
        <v>585</v>
      </c>
      <c r="D105" s="34" t="s">
        <v>586</v>
      </c>
      <c r="E105" s="31" t="s">
        <v>33</v>
      </c>
      <c r="F105" s="31" t="s">
        <v>781</v>
      </c>
      <c r="G105" s="316"/>
      <c r="H105" s="316">
        <v>-7.6105652040610273E-3</v>
      </c>
      <c r="I105" s="316"/>
      <c r="J105" s="316"/>
      <c r="K105" s="316"/>
      <c r="L105" s="170"/>
      <c r="M105" s="317"/>
      <c r="N105" s="317"/>
      <c r="O105" s="317"/>
      <c r="P105" s="317"/>
      <c r="Q105" s="317"/>
      <c r="R105" s="317"/>
      <c r="S105" s="317"/>
      <c r="T105" s="317"/>
      <c r="U105" s="317"/>
      <c r="V105" s="317"/>
      <c r="W105" s="317"/>
    </row>
    <row r="106" spans="1:23" outlineLevel="1">
      <c r="A106" s="15" t="s">
        <v>93</v>
      </c>
      <c r="B106" s="13" t="s">
        <v>5</v>
      </c>
      <c r="C106" s="34" t="s">
        <v>616</v>
      </c>
      <c r="D106" s="34" t="s">
        <v>617</v>
      </c>
      <c r="E106" s="31" t="s">
        <v>772</v>
      </c>
      <c r="F106" s="29" t="s">
        <v>777</v>
      </c>
      <c r="G106" s="316"/>
      <c r="H106" s="316">
        <v>3.6954730183719037E-3</v>
      </c>
      <c r="I106" s="316">
        <v>5.8220823811066689E-4</v>
      </c>
      <c r="J106" s="316"/>
      <c r="K106" s="316"/>
      <c r="L106" s="170"/>
      <c r="M106" s="317"/>
      <c r="N106" s="317"/>
      <c r="O106" s="317"/>
      <c r="P106" s="317"/>
      <c r="Q106" s="317"/>
      <c r="R106" s="317"/>
      <c r="S106" s="317"/>
      <c r="T106" s="317"/>
      <c r="U106" s="317"/>
      <c r="V106" s="317"/>
      <c r="W106" s="317"/>
    </row>
    <row r="107" spans="1:23" outlineLevel="1">
      <c r="A107" s="15" t="s">
        <v>93</v>
      </c>
      <c r="B107" s="13" t="s">
        <v>5</v>
      </c>
      <c r="C107" s="34" t="s">
        <v>272</v>
      </c>
      <c r="D107" s="34" t="s">
        <v>51</v>
      </c>
      <c r="E107" s="31" t="s">
        <v>142</v>
      </c>
      <c r="F107" s="31" t="s">
        <v>529</v>
      </c>
      <c r="G107" s="316"/>
      <c r="H107" s="316"/>
      <c r="I107" s="316">
        <v>-1.7467878003601185E-4</v>
      </c>
      <c r="J107" s="316"/>
      <c r="K107" s="316"/>
      <c r="L107" s="170"/>
      <c r="M107" s="317"/>
      <c r="N107" s="317"/>
      <c r="O107" s="317"/>
      <c r="P107" s="317"/>
      <c r="Q107" s="317"/>
      <c r="R107" s="317"/>
      <c r="S107" s="317"/>
      <c r="T107" s="317"/>
      <c r="U107" s="317"/>
      <c r="V107" s="317"/>
      <c r="W107" s="317"/>
    </row>
    <row r="108" spans="1:23">
      <c r="A108" s="15" t="s">
        <v>93</v>
      </c>
      <c r="B108" s="13" t="s">
        <v>5</v>
      </c>
      <c r="C108" s="34" t="s">
        <v>557</v>
      </c>
      <c r="D108" s="31" t="s">
        <v>558</v>
      </c>
      <c r="E108" s="34" t="s">
        <v>53</v>
      </c>
      <c r="F108" s="31" t="s">
        <v>776</v>
      </c>
      <c r="G108" s="157"/>
      <c r="H108" s="157"/>
      <c r="I108" s="157"/>
      <c r="J108" s="157"/>
      <c r="K108" s="157"/>
      <c r="L108" s="43"/>
      <c r="M108" s="32"/>
      <c r="N108" s="43"/>
      <c r="O108" s="43"/>
      <c r="P108" s="43"/>
      <c r="Q108" s="43"/>
      <c r="R108" s="43">
        <v>-7.664517588016187E-3</v>
      </c>
      <c r="S108" s="43"/>
      <c r="T108" s="43"/>
      <c r="U108" s="43"/>
      <c r="V108" s="43"/>
      <c r="W108" s="43"/>
    </row>
    <row r="109" spans="1:23">
      <c r="A109" s="15" t="s">
        <v>93</v>
      </c>
      <c r="B109" s="13" t="s">
        <v>5</v>
      </c>
      <c r="C109" s="34" t="s">
        <v>609</v>
      </c>
      <c r="D109" s="31" t="s">
        <v>610</v>
      </c>
      <c r="E109" s="34" t="s">
        <v>58</v>
      </c>
      <c r="F109" s="31" t="s">
        <v>416</v>
      </c>
      <c r="G109" s="157"/>
      <c r="H109" s="157"/>
      <c r="I109" s="157"/>
      <c r="J109" s="157"/>
      <c r="K109" s="157"/>
      <c r="L109" s="43"/>
      <c r="M109" s="32">
        <v>-4.7142015317339428E-5</v>
      </c>
      <c r="N109" s="43">
        <v>-1.4897137775626845E-4</v>
      </c>
      <c r="O109" s="43">
        <v>-1.4839696760087805E-4</v>
      </c>
      <c r="P109" s="43"/>
      <c r="Q109" s="43"/>
      <c r="R109" s="43"/>
      <c r="S109" s="43"/>
      <c r="T109" s="43"/>
      <c r="U109" s="43"/>
      <c r="V109" s="43"/>
      <c r="W109" s="43"/>
    </row>
    <row r="110" spans="1:23">
      <c r="A110" s="15" t="s">
        <v>93</v>
      </c>
      <c r="B110" s="13" t="s">
        <v>5</v>
      </c>
      <c r="C110" s="34" t="s">
        <v>559</v>
      </c>
      <c r="D110" s="31" t="s">
        <v>560</v>
      </c>
      <c r="E110" s="34" t="s">
        <v>33</v>
      </c>
      <c r="F110" s="29" t="s">
        <v>782</v>
      </c>
      <c r="G110" s="157"/>
      <c r="H110" s="157"/>
      <c r="I110" s="157"/>
      <c r="J110" s="157"/>
      <c r="K110" s="157"/>
      <c r="L110" s="43"/>
      <c r="M110" s="43"/>
      <c r="N110" s="43">
        <v>-1.739557760928228E-2</v>
      </c>
      <c r="O110" s="43"/>
      <c r="P110" s="43"/>
      <c r="Q110" s="43"/>
      <c r="R110" s="43"/>
      <c r="S110" s="43"/>
      <c r="T110" s="43"/>
      <c r="U110" s="43"/>
      <c r="V110" s="43"/>
      <c r="W110" s="43"/>
    </row>
    <row r="111" spans="1:23">
      <c r="A111" s="15" t="s">
        <v>93</v>
      </c>
      <c r="B111" s="13" t="s">
        <v>5</v>
      </c>
      <c r="C111" s="34" t="s">
        <v>561</v>
      </c>
      <c r="D111" s="31" t="s">
        <v>562</v>
      </c>
      <c r="E111" s="34" t="s">
        <v>33</v>
      </c>
      <c r="F111" s="31" t="s">
        <v>781</v>
      </c>
      <c r="G111" s="157"/>
      <c r="H111" s="157"/>
      <c r="I111" s="157"/>
      <c r="J111" s="157"/>
      <c r="K111" s="157"/>
      <c r="L111" s="43"/>
      <c r="M111" s="43"/>
      <c r="N111" s="43"/>
      <c r="O111" s="43">
        <v>-1.609090928858611E-2</v>
      </c>
      <c r="P111" s="43"/>
      <c r="Q111" s="43"/>
      <c r="R111" s="43"/>
      <c r="S111" s="43"/>
      <c r="T111" s="43"/>
      <c r="U111" s="43"/>
      <c r="V111" s="43"/>
      <c r="W111" s="43"/>
    </row>
    <row r="112" spans="1:23">
      <c r="A112" s="15" t="s">
        <v>93</v>
      </c>
      <c r="B112" s="13" t="s">
        <v>5</v>
      </c>
      <c r="C112" s="34" t="s">
        <v>563</v>
      </c>
      <c r="D112" s="31" t="s">
        <v>564</v>
      </c>
      <c r="E112" s="34" t="s">
        <v>33</v>
      </c>
      <c r="F112" s="31" t="s">
        <v>781</v>
      </c>
      <c r="G112" s="157"/>
      <c r="H112" s="157"/>
      <c r="I112" s="157"/>
      <c r="J112" s="157"/>
      <c r="K112" s="157"/>
      <c r="L112" s="43"/>
      <c r="M112" s="43"/>
      <c r="N112" s="43"/>
      <c r="O112" s="43"/>
      <c r="P112" s="43"/>
      <c r="Q112" s="43"/>
      <c r="R112" s="43"/>
      <c r="S112" s="43"/>
      <c r="T112" s="43">
        <v>-2.3918919212763136E-3</v>
      </c>
      <c r="U112" s="43"/>
      <c r="V112" s="43"/>
      <c r="W112" s="43"/>
    </row>
    <row r="113" spans="1:23">
      <c r="A113" s="15" t="s">
        <v>93</v>
      </c>
      <c r="B113" s="13" t="s">
        <v>5</v>
      </c>
      <c r="C113" s="34" t="s">
        <v>618</v>
      </c>
      <c r="D113" s="31" t="s">
        <v>619</v>
      </c>
      <c r="E113" s="34" t="s">
        <v>43</v>
      </c>
      <c r="F113" s="34" t="s">
        <v>778</v>
      </c>
      <c r="G113" s="157"/>
      <c r="H113" s="157"/>
      <c r="I113" s="157"/>
      <c r="J113" s="157"/>
      <c r="K113" s="157"/>
      <c r="L113" s="43"/>
      <c r="M113" s="43">
        <v>-5.8927519151443994E-3</v>
      </c>
      <c r="N113" s="43"/>
      <c r="O113" s="43"/>
      <c r="P113" s="43"/>
      <c r="Q113" s="43"/>
      <c r="R113" s="43"/>
      <c r="S113" s="43"/>
      <c r="T113" s="43"/>
      <c r="U113" s="43"/>
      <c r="V113" s="43"/>
      <c r="W113" s="43"/>
    </row>
    <row r="114" spans="1:23">
      <c r="A114" s="15" t="s">
        <v>93</v>
      </c>
      <c r="B114" s="13" t="s">
        <v>5</v>
      </c>
      <c r="C114" s="34" t="s">
        <v>620</v>
      </c>
      <c r="D114" s="31" t="s">
        <v>119</v>
      </c>
      <c r="E114" s="34" t="s">
        <v>58</v>
      </c>
      <c r="F114" s="34"/>
      <c r="G114" s="157"/>
      <c r="H114" s="157"/>
      <c r="I114" s="157"/>
      <c r="J114" s="157"/>
      <c r="K114" s="157"/>
      <c r="L114" s="43"/>
      <c r="M114" s="43">
        <v>-2.6320694984952823E-3</v>
      </c>
      <c r="N114" s="43"/>
      <c r="O114" s="43"/>
      <c r="P114" s="43"/>
      <c r="Q114" s="43"/>
      <c r="R114" s="43"/>
      <c r="S114" s="43"/>
      <c r="T114" s="43"/>
      <c r="U114" s="43"/>
      <c r="V114" s="43"/>
      <c r="W114" s="43"/>
    </row>
    <row r="115" spans="1:23">
      <c r="A115" s="15" t="s">
        <v>93</v>
      </c>
      <c r="B115" s="13" t="s">
        <v>5</v>
      </c>
      <c r="C115" s="34" t="s">
        <v>588</v>
      </c>
      <c r="D115" s="31" t="s">
        <v>591</v>
      </c>
      <c r="E115" s="34" t="s">
        <v>43</v>
      </c>
      <c r="F115" s="34" t="s">
        <v>778</v>
      </c>
      <c r="G115" s="157"/>
      <c r="H115" s="157"/>
      <c r="I115" s="157"/>
      <c r="J115" s="157"/>
      <c r="K115" s="157"/>
      <c r="L115" s="43"/>
      <c r="M115" s="43"/>
      <c r="N115" s="43"/>
      <c r="O115" s="43"/>
      <c r="P115" s="43"/>
      <c r="Q115" s="195">
        <v>1.2454841080526305E-3</v>
      </c>
      <c r="R115" s="43"/>
      <c r="S115" s="43"/>
      <c r="T115" s="43"/>
      <c r="U115" s="43"/>
      <c r="V115" s="43"/>
      <c r="W115" s="43"/>
    </row>
    <row r="116" spans="1:23">
      <c r="A116" s="15" t="s">
        <v>93</v>
      </c>
      <c r="B116" s="13" t="s">
        <v>5</v>
      </c>
      <c r="C116" s="44" t="s">
        <v>22</v>
      </c>
      <c r="D116" s="44" t="s">
        <v>24</v>
      </c>
      <c r="E116" s="28" t="s">
        <v>772</v>
      </c>
      <c r="F116" s="7" t="s">
        <v>777</v>
      </c>
      <c r="G116" s="157"/>
      <c r="H116" s="157"/>
      <c r="I116" s="157"/>
      <c r="J116" s="157"/>
      <c r="K116" s="157"/>
      <c r="L116" s="43"/>
      <c r="M116" s="43"/>
      <c r="N116" s="43"/>
      <c r="O116" s="43"/>
      <c r="P116" s="43"/>
      <c r="Q116" s="45">
        <v>3.9827351894116767E-3</v>
      </c>
      <c r="R116" s="43"/>
      <c r="S116" s="43"/>
      <c r="T116" s="43"/>
      <c r="U116" s="43"/>
      <c r="V116" s="43"/>
      <c r="W116" s="43"/>
    </row>
    <row r="117" spans="1:23">
      <c r="A117" s="15" t="s">
        <v>93</v>
      </c>
      <c r="B117" s="13" t="s">
        <v>5</v>
      </c>
      <c r="C117" s="44" t="s">
        <v>22</v>
      </c>
      <c r="D117" s="44" t="s">
        <v>145</v>
      </c>
      <c r="E117" s="28" t="s">
        <v>53</v>
      </c>
      <c r="F117" s="7" t="s">
        <v>776</v>
      </c>
      <c r="G117" s="157"/>
      <c r="H117" s="157"/>
      <c r="I117" s="157"/>
      <c r="J117" s="157"/>
      <c r="K117" s="157"/>
      <c r="L117" s="43"/>
      <c r="M117" s="43"/>
      <c r="N117" s="43"/>
      <c r="O117" s="43"/>
      <c r="P117" s="43"/>
      <c r="Q117" s="45">
        <v>0</v>
      </c>
      <c r="R117" s="43"/>
      <c r="S117" s="43"/>
      <c r="T117" s="43"/>
      <c r="U117" s="43"/>
      <c r="V117" s="43"/>
      <c r="W117" s="43"/>
    </row>
    <row r="118" spans="1:23">
      <c r="A118" s="15" t="s">
        <v>93</v>
      </c>
      <c r="B118" s="13" t="s">
        <v>5</v>
      </c>
      <c r="C118" s="44" t="s">
        <v>22</v>
      </c>
      <c r="D118" s="44" t="s">
        <v>140</v>
      </c>
      <c r="E118" s="28" t="s">
        <v>43</v>
      </c>
      <c r="F118" s="28" t="s">
        <v>778</v>
      </c>
      <c r="G118" s="157"/>
      <c r="H118" s="157"/>
      <c r="I118" s="157"/>
      <c r="J118" s="157"/>
      <c r="K118" s="157"/>
      <c r="L118" s="43"/>
      <c r="M118" s="43"/>
      <c r="N118" s="43"/>
      <c r="O118" s="43"/>
      <c r="P118" s="43"/>
      <c r="Q118" s="45">
        <v>9.2224163420303847E-4</v>
      </c>
      <c r="R118" s="43"/>
      <c r="S118" s="43"/>
      <c r="T118" s="43"/>
      <c r="U118" s="43"/>
      <c r="V118" s="43"/>
      <c r="W118" s="43"/>
    </row>
    <row r="119" spans="1:23">
      <c r="A119" s="15" t="s">
        <v>93</v>
      </c>
      <c r="B119" s="13" t="s">
        <v>5</v>
      </c>
      <c r="C119" s="44" t="s">
        <v>22</v>
      </c>
      <c r="D119" s="44" t="s">
        <v>49</v>
      </c>
      <c r="E119" s="28" t="s">
        <v>142</v>
      </c>
      <c r="F119" s="7" t="s">
        <v>529</v>
      </c>
      <c r="G119" s="157"/>
      <c r="H119" s="157"/>
      <c r="I119" s="157"/>
      <c r="J119" s="157"/>
      <c r="K119" s="157"/>
      <c r="L119" s="43"/>
      <c r="M119" s="43"/>
      <c r="N119" s="43"/>
      <c r="O119" s="43"/>
      <c r="P119" s="43"/>
      <c r="Q119" s="45">
        <v>9.5222440542801624E-4</v>
      </c>
      <c r="R119" s="43"/>
      <c r="S119" s="43"/>
      <c r="T119" s="43"/>
      <c r="U119" s="43"/>
      <c r="V119" s="43"/>
      <c r="W119" s="43"/>
    </row>
    <row r="120" spans="1:23">
      <c r="A120" s="15" t="s">
        <v>93</v>
      </c>
      <c r="B120" s="13" t="s">
        <v>5</v>
      </c>
      <c r="C120" s="44" t="s">
        <v>22</v>
      </c>
      <c r="D120" s="44" t="s">
        <v>58</v>
      </c>
      <c r="E120" s="28" t="s">
        <v>58</v>
      </c>
      <c r="F120" s="28"/>
      <c r="G120" s="157"/>
      <c r="H120" s="157"/>
      <c r="I120" s="157"/>
      <c r="J120" s="157"/>
      <c r="K120" s="157"/>
      <c r="L120" s="43"/>
      <c r="M120" s="43"/>
      <c r="N120" s="43"/>
      <c r="O120" s="43"/>
      <c r="P120" s="43"/>
      <c r="Q120" s="43"/>
      <c r="R120" s="43"/>
      <c r="S120" s="45">
        <v>5.3243690882897035E-3</v>
      </c>
      <c r="T120" s="43"/>
      <c r="U120" s="43"/>
      <c r="V120" s="43"/>
      <c r="W120" s="43"/>
    </row>
    <row r="121" spans="1:23">
      <c r="A121" s="15" t="s">
        <v>93</v>
      </c>
      <c r="B121" s="13" t="s">
        <v>5</v>
      </c>
      <c r="C121" s="44" t="s">
        <v>22</v>
      </c>
      <c r="D121" s="44" t="s">
        <v>33</v>
      </c>
      <c r="E121" s="28" t="s">
        <v>33</v>
      </c>
      <c r="F121" s="28"/>
      <c r="G121" s="157"/>
      <c r="H121" s="157"/>
      <c r="I121" s="157"/>
      <c r="J121" s="157"/>
      <c r="K121" s="157"/>
      <c r="L121" s="43"/>
      <c r="M121" s="43"/>
      <c r="N121" s="43"/>
      <c r="O121" s="43"/>
      <c r="P121" s="43"/>
      <c r="Q121" s="45">
        <v>1.6737467230096625E-2</v>
      </c>
      <c r="R121" s="43"/>
      <c r="S121" s="43"/>
      <c r="T121" s="43"/>
      <c r="U121" s="43"/>
      <c r="V121" s="43"/>
      <c r="W121" s="43"/>
    </row>
    <row r="122" spans="1:23">
      <c r="A122" s="15" t="s">
        <v>93</v>
      </c>
      <c r="B122" s="13" t="s">
        <v>5</v>
      </c>
      <c r="C122" s="34" t="s">
        <v>272</v>
      </c>
      <c r="D122" s="31" t="s">
        <v>51</v>
      </c>
      <c r="E122" s="34" t="s">
        <v>142</v>
      </c>
      <c r="F122" s="31" t="s">
        <v>529</v>
      </c>
      <c r="G122" s="157"/>
      <c r="H122" s="157"/>
      <c r="I122" s="157"/>
      <c r="J122" s="157"/>
      <c r="K122" s="157"/>
      <c r="L122" s="43"/>
      <c r="M122" s="43"/>
      <c r="N122" s="43"/>
      <c r="O122" s="43">
        <v>-1.7565192087221071E-4</v>
      </c>
      <c r="P122" s="43"/>
      <c r="Q122" s="43"/>
      <c r="R122" s="43"/>
      <c r="S122" s="43"/>
      <c r="T122" s="43"/>
      <c r="U122" s="43"/>
      <c r="V122" s="43"/>
      <c r="W122" s="43"/>
    </row>
    <row r="123" spans="1:23">
      <c r="A123" s="15" t="s">
        <v>93</v>
      </c>
      <c r="B123" s="13" t="s">
        <v>5</v>
      </c>
      <c r="C123" s="34" t="s">
        <v>621</v>
      </c>
      <c r="D123" s="31" t="s">
        <v>622</v>
      </c>
      <c r="E123" s="34" t="s">
        <v>772</v>
      </c>
      <c r="F123" s="34" t="s">
        <v>777</v>
      </c>
      <c r="G123" s="157"/>
      <c r="H123" s="157"/>
      <c r="I123" s="157"/>
      <c r="J123" s="157"/>
      <c r="K123" s="157"/>
      <c r="L123" s="43"/>
      <c r="M123" s="43"/>
      <c r="N123" s="43">
        <v>-7.5710292707068774E-4</v>
      </c>
      <c r="O123" s="43"/>
      <c r="P123" s="43"/>
      <c r="Q123" s="43"/>
      <c r="R123" s="43"/>
      <c r="S123" s="43"/>
      <c r="T123" s="43"/>
      <c r="U123" s="43"/>
      <c r="V123" s="43"/>
      <c r="W123" s="43"/>
    </row>
    <row r="124" spans="1:23">
      <c r="A124" s="15" t="s">
        <v>93</v>
      </c>
      <c r="B124" s="13" t="s">
        <v>5</v>
      </c>
      <c r="C124" s="34" t="s">
        <v>623</v>
      </c>
      <c r="D124" s="31" t="s">
        <v>624</v>
      </c>
      <c r="E124" s="34" t="s">
        <v>772</v>
      </c>
      <c r="F124" s="34" t="s">
        <v>777</v>
      </c>
      <c r="G124" s="157"/>
      <c r="H124" s="157"/>
      <c r="I124" s="157"/>
      <c r="J124" s="157"/>
      <c r="K124" s="157"/>
      <c r="L124" s="43"/>
      <c r="M124" s="43"/>
      <c r="N124" s="43">
        <v>-2.1744472011602851E-4</v>
      </c>
      <c r="O124" s="43"/>
      <c r="P124" s="43"/>
      <c r="Q124" s="43"/>
      <c r="R124" s="43"/>
      <c r="S124" s="43"/>
      <c r="T124" s="43"/>
      <c r="U124" s="43"/>
      <c r="V124" s="43"/>
      <c r="W124" s="43"/>
    </row>
    <row r="125" spans="1:23">
      <c r="A125" s="15" t="s">
        <v>93</v>
      </c>
      <c r="B125" s="13" t="s">
        <v>5</v>
      </c>
      <c r="C125" s="34" t="s">
        <v>479</v>
      </c>
      <c r="D125" s="31" t="s">
        <v>464</v>
      </c>
      <c r="E125" s="34" t="s">
        <v>772</v>
      </c>
      <c r="F125" s="34"/>
      <c r="G125" s="157"/>
      <c r="H125" s="157"/>
      <c r="I125" s="157"/>
      <c r="J125" s="157"/>
      <c r="K125" s="157"/>
      <c r="L125" s="43"/>
      <c r="M125" s="43"/>
      <c r="N125" s="43">
        <v>-2.5129696246506406E-4</v>
      </c>
      <c r="O125" s="43">
        <v>-2.283059740652584E-3</v>
      </c>
      <c r="P125" s="43"/>
      <c r="Q125" s="43"/>
      <c r="R125" s="43"/>
      <c r="S125" s="43"/>
      <c r="T125" s="43"/>
      <c r="U125" s="43"/>
      <c r="V125" s="43"/>
      <c r="W125" s="43"/>
    </row>
    <row r="126" spans="1:23">
      <c r="A126" s="15" t="s">
        <v>93</v>
      </c>
      <c r="B126" s="13" t="s">
        <v>5</v>
      </c>
      <c r="C126" s="34" t="s">
        <v>625</v>
      </c>
      <c r="D126" s="31" t="s">
        <v>626</v>
      </c>
      <c r="E126" s="34" t="s">
        <v>33</v>
      </c>
      <c r="F126" s="31" t="s">
        <v>781</v>
      </c>
      <c r="G126" s="157"/>
      <c r="H126" s="157"/>
      <c r="I126" s="157"/>
      <c r="J126" s="157"/>
      <c r="K126" s="157"/>
      <c r="L126" s="43"/>
      <c r="M126" s="43"/>
      <c r="N126" s="43"/>
      <c r="O126" s="43"/>
      <c r="P126" s="43"/>
      <c r="Q126" s="43"/>
      <c r="R126" s="43"/>
      <c r="S126" s="43">
        <v>-1.4999999999999999E-2</v>
      </c>
      <c r="T126" s="43"/>
      <c r="U126" s="43"/>
      <c r="V126" s="43"/>
      <c r="W126" s="43"/>
    </row>
    <row r="127" spans="1:23">
      <c r="A127" s="15" t="s">
        <v>93</v>
      </c>
      <c r="B127" s="13" t="s">
        <v>5</v>
      </c>
      <c r="C127" s="34" t="s">
        <v>596</v>
      </c>
      <c r="D127" s="31" t="s">
        <v>597</v>
      </c>
      <c r="E127" s="34" t="s">
        <v>33</v>
      </c>
      <c r="F127" s="29" t="s">
        <v>782</v>
      </c>
      <c r="G127" s="157"/>
      <c r="H127" s="157"/>
      <c r="I127" s="157"/>
      <c r="J127" s="157"/>
      <c r="K127" s="157"/>
      <c r="L127" s="43"/>
      <c r="M127" s="43"/>
      <c r="N127" s="43"/>
      <c r="O127" s="43"/>
      <c r="P127" s="43"/>
      <c r="Q127" s="43"/>
      <c r="R127" s="43"/>
      <c r="S127" s="43">
        <v>-1.1234641734084E-2</v>
      </c>
      <c r="T127" s="43"/>
      <c r="U127" s="43"/>
      <c r="V127" s="43"/>
      <c r="W127" s="43"/>
    </row>
    <row r="128" spans="1:23">
      <c r="A128" s="15" t="s">
        <v>93</v>
      </c>
      <c r="B128" s="13" t="s">
        <v>5</v>
      </c>
      <c r="C128" s="34" t="s">
        <v>598</v>
      </c>
      <c r="D128" s="31" t="s">
        <v>599</v>
      </c>
      <c r="E128" s="34" t="s">
        <v>33</v>
      </c>
      <c r="F128" s="34" t="s">
        <v>789</v>
      </c>
      <c r="G128" s="157"/>
      <c r="H128" s="157"/>
      <c r="I128" s="157"/>
      <c r="J128" s="157"/>
      <c r="K128" s="157"/>
      <c r="L128" s="43"/>
      <c r="M128" s="43"/>
      <c r="N128" s="43"/>
      <c r="O128" s="43"/>
      <c r="P128" s="43"/>
      <c r="Q128" s="43">
        <v>-5.3903584077675598E-3</v>
      </c>
      <c r="R128" s="43"/>
      <c r="S128" s="43"/>
      <c r="T128" s="43"/>
      <c r="U128" s="43"/>
      <c r="V128" s="43"/>
      <c r="W128" s="43"/>
    </row>
    <row r="129" spans="1:23">
      <c r="A129" s="15" t="s">
        <v>93</v>
      </c>
      <c r="B129" s="13" t="s">
        <v>5</v>
      </c>
      <c r="C129" s="51" t="s">
        <v>291</v>
      </c>
      <c r="D129" s="46" t="s">
        <v>600</v>
      </c>
      <c r="E129" s="47" t="s">
        <v>772</v>
      </c>
      <c r="F129" s="47" t="s">
        <v>777</v>
      </c>
      <c r="G129" s="160"/>
      <c r="H129" s="160"/>
      <c r="I129" s="160"/>
      <c r="J129" s="160"/>
      <c r="K129" s="160"/>
      <c r="L129" s="46"/>
      <c r="M129" s="46"/>
      <c r="N129" s="46"/>
      <c r="O129" s="215"/>
      <c r="P129" s="215">
        <v>-1.9787469530558738E-3</v>
      </c>
      <c r="Q129" s="215"/>
      <c r="R129" s="215"/>
      <c r="S129" s="46"/>
      <c r="T129" s="46"/>
      <c r="U129" s="46"/>
      <c r="V129" s="46"/>
      <c r="W129" s="46"/>
    </row>
    <row r="130" spans="1:23">
      <c r="A130" s="15" t="s">
        <v>93</v>
      </c>
      <c r="B130" s="13" t="s">
        <v>5</v>
      </c>
      <c r="C130" s="51" t="s">
        <v>291</v>
      </c>
      <c r="D130" s="46" t="s">
        <v>601</v>
      </c>
      <c r="E130" s="47" t="s">
        <v>389</v>
      </c>
      <c r="F130" s="47" t="s">
        <v>786</v>
      </c>
      <c r="G130" s="160"/>
      <c r="H130" s="160"/>
      <c r="I130" s="160"/>
      <c r="J130" s="160"/>
      <c r="K130" s="160"/>
      <c r="L130" s="46"/>
      <c r="M130" s="46"/>
      <c r="N130" s="46"/>
      <c r="O130" s="215"/>
      <c r="P130" s="215"/>
      <c r="Q130" s="215"/>
      <c r="R130" s="215">
        <v>-1.2999999999999999E-3</v>
      </c>
      <c r="S130" s="46"/>
      <c r="T130" s="46"/>
      <c r="U130" s="46"/>
      <c r="V130" s="46"/>
      <c r="W130" s="46"/>
    </row>
    <row r="131" spans="1:23">
      <c r="A131" s="15" t="s">
        <v>93</v>
      </c>
      <c r="B131" s="13" t="s">
        <v>5</v>
      </c>
      <c r="C131" s="51" t="s">
        <v>291</v>
      </c>
      <c r="D131" s="46" t="s">
        <v>602</v>
      </c>
      <c r="E131" s="47" t="s">
        <v>58</v>
      </c>
      <c r="F131" s="47" t="s">
        <v>416</v>
      </c>
      <c r="G131" s="160"/>
      <c r="H131" s="160"/>
      <c r="I131" s="160"/>
      <c r="J131" s="160"/>
      <c r="K131" s="160"/>
      <c r="L131" s="46"/>
      <c r="M131" s="46"/>
      <c r="N131" s="46"/>
      <c r="O131" s="46"/>
      <c r="P131" s="216">
        <v>1.2293646506279614E-4</v>
      </c>
      <c r="Q131" s="46"/>
      <c r="R131" s="46"/>
      <c r="S131" s="46"/>
      <c r="T131" s="46"/>
      <c r="U131" s="46"/>
      <c r="V131" s="46"/>
      <c r="W131" s="46"/>
    </row>
    <row r="132" spans="1:23">
      <c r="A132" s="15" t="s">
        <v>93</v>
      </c>
      <c r="B132" s="13" t="s">
        <v>5</v>
      </c>
      <c r="C132" s="51" t="s">
        <v>750</v>
      </c>
      <c r="D132" s="46" t="s">
        <v>755</v>
      </c>
      <c r="E132" s="47" t="s">
        <v>33</v>
      </c>
      <c r="F132" s="47"/>
      <c r="G132" s="160"/>
      <c r="H132" s="160"/>
      <c r="I132" s="160"/>
      <c r="J132" s="160"/>
      <c r="K132" s="160"/>
      <c r="L132" s="46"/>
      <c r="M132" s="46"/>
      <c r="N132" s="46"/>
      <c r="O132" s="46"/>
      <c r="P132" s="46"/>
      <c r="Q132" s="440">
        <f>-0.0117963760662946*0</f>
        <v>0</v>
      </c>
      <c r="R132" s="46"/>
      <c r="S132" s="46"/>
      <c r="T132" s="46"/>
      <c r="U132" s="46"/>
      <c r="V132" s="46"/>
      <c r="W132" s="46"/>
    </row>
    <row r="133" spans="1:23">
      <c r="A133" s="15" t="s">
        <v>93</v>
      </c>
      <c r="B133" s="13" t="s">
        <v>5</v>
      </c>
      <c r="C133" s="51" t="s">
        <v>750</v>
      </c>
      <c r="D133" s="46" t="s">
        <v>293</v>
      </c>
      <c r="E133" s="47" t="s">
        <v>142</v>
      </c>
      <c r="F133" s="47" t="s">
        <v>529</v>
      </c>
      <c r="G133" s="160"/>
      <c r="H133" s="160"/>
      <c r="I133" s="160"/>
      <c r="J133" s="160"/>
      <c r="K133" s="160"/>
      <c r="L133" s="46"/>
      <c r="M133" s="46"/>
      <c r="N133" s="46"/>
      <c r="O133" s="46"/>
      <c r="P133" s="46"/>
      <c r="Q133" s="46"/>
      <c r="R133" s="426">
        <v>-4.0000000000000001E-3</v>
      </c>
      <c r="S133" s="46"/>
      <c r="T133" s="46"/>
      <c r="U133" s="46"/>
      <c r="V133" s="46"/>
      <c r="W133" s="46"/>
    </row>
    <row r="134" spans="1:23">
      <c r="A134" s="15" t="s">
        <v>93</v>
      </c>
      <c r="B134" s="13" t="s">
        <v>5</v>
      </c>
      <c r="C134" s="51" t="s">
        <v>291</v>
      </c>
      <c r="D134" s="46"/>
      <c r="E134" s="47"/>
      <c r="F134" s="47"/>
      <c r="G134" s="160"/>
      <c r="H134" s="160"/>
      <c r="I134" s="160"/>
      <c r="J134" s="160"/>
      <c r="K134" s="160"/>
      <c r="L134" s="46"/>
      <c r="M134" s="46"/>
      <c r="N134" s="46"/>
      <c r="O134" s="46"/>
      <c r="P134" s="46"/>
      <c r="Q134" s="46"/>
      <c r="R134" s="46"/>
      <c r="S134" s="46"/>
      <c r="T134" s="46"/>
      <c r="U134" s="46"/>
      <c r="V134" s="46"/>
      <c r="W134" s="46"/>
    </row>
    <row r="135" spans="1:23">
      <c r="A135" s="15" t="s">
        <v>93</v>
      </c>
      <c r="B135" s="13" t="s">
        <v>5</v>
      </c>
      <c r="C135" s="51" t="s">
        <v>291</v>
      </c>
      <c r="D135" s="46"/>
      <c r="E135" s="47"/>
      <c r="F135" s="47"/>
      <c r="G135" s="160"/>
      <c r="H135" s="160"/>
      <c r="I135" s="160"/>
      <c r="J135" s="160"/>
      <c r="K135" s="160"/>
      <c r="L135" s="46"/>
      <c r="M135" s="46"/>
      <c r="N135" s="46"/>
      <c r="O135" s="46"/>
      <c r="P135" s="46"/>
      <c r="Q135" s="46"/>
      <c r="R135" s="46"/>
      <c r="S135" s="46"/>
      <c r="T135" s="46"/>
      <c r="U135" s="46"/>
      <c r="V135" s="46"/>
      <c r="W135" s="46"/>
    </row>
    <row r="136" spans="1:23" s="152" customFormat="1">
      <c r="A136" s="148" t="s">
        <v>107</v>
      </c>
      <c r="B136" s="148" t="s">
        <v>225</v>
      </c>
      <c r="C136" s="151"/>
      <c r="D136" s="148"/>
      <c r="E136" s="148"/>
      <c r="F136" s="148"/>
      <c r="G136" s="208">
        <v>2.0773645103514742</v>
      </c>
      <c r="H136" s="208">
        <v>2.0692103333471232</v>
      </c>
      <c r="I136" s="208">
        <v>2.0692103333471232</v>
      </c>
      <c r="J136" s="234">
        <v>2.0972126353256528</v>
      </c>
      <c r="K136" s="333">
        <v>2.0895481177376363</v>
      </c>
      <c r="L136" s="208">
        <f>MoDi!D48</f>
        <v>2.0895481177376363</v>
      </c>
      <c r="M136" s="199">
        <f>MoDi!E48</f>
        <v>1.9688662980732405</v>
      </c>
      <c r="N136" s="199">
        <f>MoDi!F48</f>
        <v>1.8433765962551854</v>
      </c>
      <c r="O136" s="199">
        <f>MoDi!G48</f>
        <v>1.8433765962551854</v>
      </c>
      <c r="P136" s="199">
        <f>MoDi!H48</f>
        <v>1.8433765962551854</v>
      </c>
      <c r="Q136" s="199">
        <f>MoDi!I48</f>
        <v>1.8433765962551854</v>
      </c>
      <c r="R136" s="199">
        <f>MoDi!J48</f>
        <v>1.8357120786671692</v>
      </c>
      <c r="S136" s="199">
        <f>MoDi!K48</f>
        <v>1.8357120786671692</v>
      </c>
      <c r="T136" s="199">
        <f>MoDi!L48</f>
        <v>1.8290071707223914</v>
      </c>
      <c r="U136" s="199">
        <f>MoDi!M48</f>
        <v>1.8290071707223914</v>
      </c>
      <c r="V136" s="199">
        <f>MoDi!N48</f>
        <v>1.8290071707223914</v>
      </c>
      <c r="W136" s="199">
        <f>MoDi!O48</f>
        <v>1.8290071707223914</v>
      </c>
    </row>
    <row r="137" spans="1:23">
      <c r="A137" s="15" t="s">
        <v>107</v>
      </c>
      <c r="B137" s="12" t="s">
        <v>4</v>
      </c>
      <c r="C137" s="22" t="s">
        <v>557</v>
      </c>
      <c r="D137" s="21" t="s">
        <v>558</v>
      </c>
      <c r="E137" s="23" t="s">
        <v>53</v>
      </c>
      <c r="F137" s="23" t="s">
        <v>776</v>
      </c>
      <c r="G137" s="157"/>
      <c r="H137" s="157"/>
      <c r="I137" s="157"/>
      <c r="J137" s="157"/>
      <c r="K137" s="157"/>
      <c r="L137" s="117">
        <v>0</v>
      </c>
      <c r="M137" s="117">
        <v>0</v>
      </c>
      <c r="N137" s="117">
        <v>0</v>
      </c>
      <c r="O137" s="117">
        <v>0</v>
      </c>
      <c r="P137" s="117">
        <v>0</v>
      </c>
      <c r="Q137" s="117">
        <v>0</v>
      </c>
      <c r="R137" s="117">
        <v>-7.664517588016187E-3</v>
      </c>
      <c r="S137" s="117">
        <v>0</v>
      </c>
      <c r="T137" s="117">
        <v>0</v>
      </c>
      <c r="U137" s="117">
        <v>0</v>
      </c>
      <c r="V137" s="117">
        <v>0</v>
      </c>
      <c r="W137" s="118">
        <v>0</v>
      </c>
    </row>
    <row r="138" spans="1:23">
      <c r="A138" s="15" t="s">
        <v>107</v>
      </c>
      <c r="B138" s="12" t="s">
        <v>4</v>
      </c>
      <c r="C138" s="22" t="s">
        <v>627</v>
      </c>
      <c r="D138" s="21" t="s">
        <v>113</v>
      </c>
      <c r="E138" s="23" t="s">
        <v>33</v>
      </c>
      <c r="F138" s="23" t="s">
        <v>784</v>
      </c>
      <c r="G138" s="157"/>
      <c r="H138" s="157"/>
      <c r="I138" s="157"/>
      <c r="J138" s="157"/>
      <c r="K138" s="157"/>
      <c r="L138" s="117">
        <v>0</v>
      </c>
      <c r="M138" s="106">
        <v>-0.12068181966439584</v>
      </c>
      <c r="N138" s="117">
        <v>0</v>
      </c>
      <c r="O138" s="117">
        <v>0</v>
      </c>
      <c r="P138" s="117">
        <v>0</v>
      </c>
      <c r="Q138" s="117">
        <v>0</v>
      </c>
      <c r="R138" s="117">
        <v>0</v>
      </c>
      <c r="S138" s="117">
        <v>0</v>
      </c>
      <c r="T138" s="117">
        <v>0</v>
      </c>
      <c r="U138" s="117">
        <v>0</v>
      </c>
      <c r="V138" s="117">
        <v>0</v>
      </c>
      <c r="W138" s="118">
        <v>0</v>
      </c>
    </row>
    <row r="139" spans="1:23">
      <c r="A139" s="15" t="s">
        <v>107</v>
      </c>
      <c r="B139" s="12" t="s">
        <v>4</v>
      </c>
      <c r="C139" s="22" t="s">
        <v>628</v>
      </c>
      <c r="D139" s="21" t="s">
        <v>629</v>
      </c>
      <c r="E139" s="23" t="s">
        <v>33</v>
      </c>
      <c r="F139" s="23" t="s">
        <v>782</v>
      </c>
      <c r="G139" s="157"/>
      <c r="H139" s="157"/>
      <c r="I139" s="157"/>
      <c r="J139" s="157"/>
      <c r="K139" s="157"/>
      <c r="L139" s="117">
        <v>0</v>
      </c>
      <c r="M139" s="117">
        <v>0</v>
      </c>
      <c r="N139" s="138">
        <v>-5.6512795534555224E-2</v>
      </c>
      <c r="O139" s="117">
        <v>0</v>
      </c>
      <c r="P139" s="117">
        <v>0</v>
      </c>
      <c r="Q139" s="117">
        <v>0</v>
      </c>
      <c r="R139" s="117">
        <v>0</v>
      </c>
      <c r="S139" s="117">
        <v>0</v>
      </c>
      <c r="T139" s="117">
        <v>0</v>
      </c>
      <c r="U139" s="117">
        <v>0</v>
      </c>
      <c r="V139" s="117">
        <v>0</v>
      </c>
      <c r="W139" s="118">
        <v>0</v>
      </c>
    </row>
    <row r="140" spans="1:23">
      <c r="A140" s="15" t="s">
        <v>107</v>
      </c>
      <c r="B140" s="12" t="s">
        <v>4</v>
      </c>
      <c r="C140" s="22" t="s">
        <v>630</v>
      </c>
      <c r="D140" s="21" t="s">
        <v>631</v>
      </c>
      <c r="E140" s="23" t="s">
        <v>33</v>
      </c>
      <c r="F140" s="23" t="s">
        <v>781</v>
      </c>
      <c r="G140" s="157"/>
      <c r="H140" s="157"/>
      <c r="I140" s="157"/>
      <c r="J140" s="157"/>
      <c r="K140" s="157"/>
      <c r="L140" s="117">
        <v>0</v>
      </c>
      <c r="M140" s="117">
        <v>0</v>
      </c>
      <c r="N140" s="117">
        <v>-1.6283347865888795E-2</v>
      </c>
      <c r="O140" s="117">
        <v>0</v>
      </c>
      <c r="P140" s="117">
        <v>0</v>
      </c>
      <c r="Q140" s="117">
        <v>0</v>
      </c>
      <c r="R140" s="117">
        <v>0</v>
      </c>
      <c r="S140" s="117">
        <v>0</v>
      </c>
      <c r="T140" s="117">
        <v>0</v>
      </c>
      <c r="U140" s="117">
        <v>0</v>
      </c>
      <c r="V140" s="117">
        <v>0</v>
      </c>
      <c r="W140" s="118">
        <v>0</v>
      </c>
    </row>
    <row r="141" spans="1:23">
      <c r="A141" s="15" t="s">
        <v>107</v>
      </c>
      <c r="B141" s="12" t="s">
        <v>4</v>
      </c>
      <c r="C141" s="22" t="s">
        <v>632</v>
      </c>
      <c r="D141" s="21" t="s">
        <v>633</v>
      </c>
      <c r="E141" s="23" t="s">
        <v>33</v>
      </c>
      <c r="F141" s="23"/>
      <c r="G141" s="157"/>
      <c r="H141" s="157"/>
      <c r="I141" s="157"/>
      <c r="J141" s="157"/>
      <c r="K141" s="157"/>
      <c r="L141" s="117">
        <v>0</v>
      </c>
      <c r="M141" s="117">
        <v>0</v>
      </c>
      <c r="N141" s="117">
        <v>0</v>
      </c>
      <c r="O141" s="117">
        <v>0</v>
      </c>
      <c r="P141" s="117">
        <v>0</v>
      </c>
      <c r="Q141" s="117">
        <v>0</v>
      </c>
      <c r="R141" s="117">
        <v>0</v>
      </c>
      <c r="S141" s="117">
        <v>0</v>
      </c>
      <c r="T141" s="117">
        <v>-6.7049079447777391E-3</v>
      </c>
      <c r="U141" s="117">
        <v>0</v>
      </c>
      <c r="V141" s="117">
        <v>0</v>
      </c>
      <c r="W141" s="118">
        <v>0</v>
      </c>
    </row>
    <row r="142" spans="1:23">
      <c r="A142" s="15" t="s">
        <v>107</v>
      </c>
      <c r="B142" s="12" t="s">
        <v>4</v>
      </c>
      <c r="C142" s="22" t="s">
        <v>634</v>
      </c>
      <c r="D142" s="21" t="s">
        <v>570</v>
      </c>
      <c r="E142" s="23" t="s">
        <v>772</v>
      </c>
      <c r="F142" s="23" t="s">
        <v>777</v>
      </c>
      <c r="G142" s="157"/>
      <c r="H142" s="157"/>
      <c r="I142" s="157"/>
      <c r="J142" s="157"/>
      <c r="K142" s="157"/>
      <c r="L142" s="117">
        <v>0</v>
      </c>
      <c r="M142" s="117">
        <v>0</v>
      </c>
      <c r="N142" s="117">
        <v>-2.2035488065546536E-2</v>
      </c>
      <c r="O142" s="117">
        <v>0</v>
      </c>
      <c r="P142" s="117">
        <v>0</v>
      </c>
      <c r="Q142" s="117">
        <v>0</v>
      </c>
      <c r="R142" s="117">
        <v>0</v>
      </c>
      <c r="S142" s="117">
        <v>0</v>
      </c>
      <c r="T142" s="117">
        <v>0</v>
      </c>
      <c r="U142" s="117">
        <v>0</v>
      </c>
      <c r="V142" s="117">
        <v>0</v>
      </c>
      <c r="W142" s="118">
        <v>0</v>
      </c>
    </row>
    <row r="143" spans="1:23">
      <c r="A143" s="15" t="s">
        <v>107</v>
      </c>
      <c r="B143" s="12" t="s">
        <v>4</v>
      </c>
      <c r="C143" s="22" t="s">
        <v>635</v>
      </c>
      <c r="D143" s="21" t="s">
        <v>573</v>
      </c>
      <c r="E143" s="23" t="s">
        <v>43</v>
      </c>
      <c r="F143" s="23" t="s">
        <v>778</v>
      </c>
      <c r="G143" s="157"/>
      <c r="H143" s="157"/>
      <c r="I143" s="157"/>
      <c r="J143" s="157"/>
      <c r="K143" s="157"/>
      <c r="L143" s="117">
        <v>0</v>
      </c>
      <c r="M143" s="117">
        <v>0</v>
      </c>
      <c r="N143" s="117">
        <v>-8.6225822865182104E-3</v>
      </c>
      <c r="O143" s="117">
        <v>0</v>
      </c>
      <c r="P143" s="117">
        <v>0</v>
      </c>
      <c r="Q143" s="117">
        <v>0</v>
      </c>
      <c r="R143" s="117">
        <v>0</v>
      </c>
      <c r="S143" s="117">
        <v>0</v>
      </c>
      <c r="T143" s="117">
        <v>0</v>
      </c>
      <c r="U143" s="117">
        <v>0</v>
      </c>
      <c r="V143" s="117">
        <v>0</v>
      </c>
      <c r="W143" s="118">
        <v>0</v>
      </c>
    </row>
    <row r="144" spans="1:23">
      <c r="A144" s="15" t="s">
        <v>107</v>
      </c>
      <c r="B144" s="12" t="s">
        <v>4</v>
      </c>
      <c r="C144" s="22" t="s">
        <v>636</v>
      </c>
      <c r="D144" s="21" t="s">
        <v>52</v>
      </c>
      <c r="E144" s="23" t="s">
        <v>142</v>
      </c>
      <c r="F144" s="23" t="s">
        <v>529</v>
      </c>
      <c r="G144" s="157"/>
      <c r="H144" s="157"/>
      <c r="I144" s="157"/>
      <c r="J144" s="157"/>
      <c r="K144" s="157"/>
      <c r="L144" s="117">
        <v>0</v>
      </c>
      <c r="M144" s="117">
        <v>0</v>
      </c>
      <c r="N144" s="117">
        <v>-1.0538711683522257E-2</v>
      </c>
      <c r="O144" s="117">
        <v>0</v>
      </c>
      <c r="P144" s="117">
        <v>0</v>
      </c>
      <c r="Q144" s="117">
        <v>0</v>
      </c>
      <c r="R144" s="117">
        <v>0</v>
      </c>
      <c r="S144" s="117">
        <v>0</v>
      </c>
      <c r="T144" s="117">
        <v>0</v>
      </c>
      <c r="U144" s="117">
        <v>0</v>
      </c>
      <c r="V144" s="117">
        <v>0</v>
      </c>
      <c r="W144" s="118">
        <v>0</v>
      </c>
    </row>
    <row r="145" spans="1:23" s="10" customFormat="1">
      <c r="A145" s="19" t="s">
        <v>107</v>
      </c>
      <c r="B145" s="18" t="s">
        <v>4</v>
      </c>
      <c r="C145" s="25" t="s">
        <v>637</v>
      </c>
      <c r="D145" s="26" t="s">
        <v>604</v>
      </c>
      <c r="E145" s="27" t="s">
        <v>58</v>
      </c>
      <c r="F145" s="27"/>
      <c r="G145" s="158"/>
      <c r="H145" s="158"/>
      <c r="I145" s="158"/>
      <c r="J145" s="158"/>
      <c r="K145" s="158"/>
      <c r="L145" s="121">
        <v>0</v>
      </c>
      <c r="M145" s="121">
        <v>0</v>
      </c>
      <c r="N145" s="121">
        <v>-1.1496776382024282E-2</v>
      </c>
      <c r="O145" s="121">
        <v>0</v>
      </c>
      <c r="P145" s="121">
        <v>0</v>
      </c>
      <c r="Q145" s="121">
        <v>0</v>
      </c>
      <c r="R145" s="121">
        <v>0</v>
      </c>
      <c r="S145" s="121">
        <v>0</v>
      </c>
      <c r="T145" s="121">
        <v>0</v>
      </c>
      <c r="U145" s="121">
        <v>0</v>
      </c>
      <c r="V145" s="121">
        <v>0</v>
      </c>
      <c r="W145" s="122">
        <v>0</v>
      </c>
    </row>
    <row r="146" spans="1:23" outlineLevel="1">
      <c r="A146" s="15" t="s">
        <v>107</v>
      </c>
      <c r="B146" s="12" t="s">
        <v>4</v>
      </c>
      <c r="C146" s="22" t="s">
        <v>581</v>
      </c>
      <c r="D146" s="21" t="s">
        <v>582</v>
      </c>
      <c r="E146" s="23" t="s">
        <v>53</v>
      </c>
      <c r="F146" s="23" t="s">
        <v>776</v>
      </c>
      <c r="G146" s="316">
        <v>0</v>
      </c>
      <c r="H146" s="316">
        <v>0</v>
      </c>
      <c r="I146" s="316">
        <v>0</v>
      </c>
      <c r="J146" s="316">
        <v>0</v>
      </c>
      <c r="K146" s="316">
        <v>-7.664517588016187E-3</v>
      </c>
      <c r="L146" s="168"/>
      <c r="M146" s="168"/>
      <c r="N146" s="168"/>
      <c r="O146" s="168"/>
      <c r="P146" s="168"/>
      <c r="Q146" s="168"/>
      <c r="R146" s="168"/>
      <c r="S146" s="168"/>
      <c r="T146" s="168"/>
      <c r="U146" s="168"/>
      <c r="V146" s="168"/>
      <c r="W146" s="169"/>
    </row>
    <row r="147" spans="1:23" outlineLevel="1">
      <c r="A147" s="15" t="s">
        <v>107</v>
      </c>
      <c r="B147" s="12" t="s">
        <v>4</v>
      </c>
      <c r="C147" s="22" t="s">
        <v>638</v>
      </c>
      <c r="D147" s="21" t="s">
        <v>639</v>
      </c>
      <c r="E147" s="23" t="s">
        <v>33</v>
      </c>
      <c r="F147" s="23"/>
      <c r="G147" s="316">
        <v>0</v>
      </c>
      <c r="H147" s="316">
        <v>0</v>
      </c>
      <c r="I147" s="316">
        <v>0</v>
      </c>
      <c r="J147" s="316">
        <v>8.841008008489042E-3</v>
      </c>
      <c r="K147" s="316">
        <v>0</v>
      </c>
      <c r="L147" s="168"/>
      <c r="M147" s="168"/>
      <c r="N147" s="168"/>
      <c r="O147" s="168"/>
      <c r="P147" s="168"/>
      <c r="Q147" s="168"/>
      <c r="R147" s="168"/>
      <c r="S147" s="168"/>
      <c r="T147" s="168"/>
      <c r="U147" s="168"/>
      <c r="V147" s="168"/>
      <c r="W147" s="169"/>
    </row>
    <row r="148" spans="1:23" outlineLevel="1">
      <c r="A148" s="15" t="s">
        <v>107</v>
      </c>
      <c r="B148" s="12" t="s">
        <v>4</v>
      </c>
      <c r="C148" s="22" t="s">
        <v>585</v>
      </c>
      <c r="D148" s="21" t="s">
        <v>586</v>
      </c>
      <c r="E148" s="23" t="s">
        <v>33</v>
      </c>
      <c r="F148" s="23" t="s">
        <v>781</v>
      </c>
      <c r="G148" s="316">
        <v>0</v>
      </c>
      <c r="H148" s="316">
        <v>-8.1541770043510684E-3</v>
      </c>
      <c r="I148" s="316">
        <v>0</v>
      </c>
      <c r="J148" s="316">
        <v>0</v>
      </c>
      <c r="K148" s="316">
        <v>0</v>
      </c>
      <c r="L148" s="168"/>
      <c r="M148" s="168"/>
      <c r="N148" s="168"/>
      <c r="O148" s="168"/>
      <c r="P148" s="168"/>
      <c r="Q148" s="168"/>
      <c r="R148" s="168"/>
      <c r="S148" s="168"/>
      <c r="T148" s="168"/>
      <c r="U148" s="168"/>
      <c r="V148" s="168"/>
      <c r="W148" s="169"/>
    </row>
    <row r="149" spans="1:23" outlineLevel="1">
      <c r="A149" s="15" t="s">
        <v>107</v>
      </c>
      <c r="B149" s="12" t="s">
        <v>4</v>
      </c>
      <c r="C149" s="22" t="s">
        <v>640</v>
      </c>
      <c r="D149" s="21" t="s">
        <v>641</v>
      </c>
      <c r="E149" s="23" t="s">
        <v>142</v>
      </c>
      <c r="F149" s="23" t="s">
        <v>529</v>
      </c>
      <c r="G149" s="316">
        <v>-5.2404177547962873E-2</v>
      </c>
      <c r="H149" s="316">
        <v>0</v>
      </c>
      <c r="I149" s="316">
        <v>0</v>
      </c>
      <c r="J149" s="316">
        <v>0</v>
      </c>
      <c r="K149" s="316">
        <v>0</v>
      </c>
      <c r="L149" s="168"/>
      <c r="M149" s="168"/>
      <c r="N149" s="168"/>
      <c r="O149" s="168"/>
      <c r="P149" s="168"/>
      <c r="Q149" s="168"/>
      <c r="R149" s="168"/>
      <c r="S149" s="168"/>
      <c r="T149" s="168"/>
      <c r="U149" s="168"/>
      <c r="V149" s="168"/>
      <c r="W149" s="169"/>
    </row>
    <row r="150" spans="1:23" outlineLevel="1">
      <c r="A150" s="15" t="s">
        <v>107</v>
      </c>
      <c r="B150" s="12" t="s">
        <v>4</v>
      </c>
      <c r="C150" s="22" t="s">
        <v>117</v>
      </c>
      <c r="D150" s="21" t="s">
        <v>117</v>
      </c>
      <c r="E150" s="23" t="s">
        <v>33</v>
      </c>
      <c r="F150" s="23"/>
      <c r="G150" s="316">
        <v>0</v>
      </c>
      <c r="H150" s="316">
        <v>0</v>
      </c>
      <c r="I150" s="316">
        <v>0</v>
      </c>
      <c r="J150" s="316">
        <v>1.9161293970040467E-2</v>
      </c>
      <c r="K150" s="316">
        <v>0</v>
      </c>
      <c r="L150" s="168"/>
      <c r="M150" s="168"/>
      <c r="N150" s="168"/>
      <c r="O150" s="168"/>
      <c r="P150" s="168"/>
      <c r="Q150" s="168"/>
      <c r="R150" s="168"/>
      <c r="S150" s="168"/>
      <c r="T150" s="168"/>
      <c r="U150" s="168"/>
      <c r="V150" s="168"/>
      <c r="W150" s="169"/>
    </row>
    <row r="151" spans="1:23">
      <c r="A151" s="200" t="s">
        <v>107</v>
      </c>
      <c r="B151" s="200" t="s">
        <v>251</v>
      </c>
      <c r="C151" s="200"/>
      <c r="D151" s="200"/>
      <c r="E151" s="200"/>
      <c r="F151" s="200"/>
      <c r="G151" s="201">
        <v>0</v>
      </c>
      <c r="H151" s="201">
        <v>0</v>
      </c>
      <c r="I151" s="201">
        <v>2.1694276348031534</v>
      </c>
      <c r="J151" s="211">
        <v>2.1608990343878305</v>
      </c>
      <c r="K151" s="235">
        <v>2.1608990343878305</v>
      </c>
      <c r="L151" s="201">
        <f>MoDi!D50</f>
        <v>2.1608990343878305</v>
      </c>
      <c r="M151" s="201">
        <f>MoDi!E50</f>
        <v>2.1438927100285561</v>
      </c>
      <c r="N151" s="201">
        <f>MoDi!F50</f>
        <v>2.1213277445394705</v>
      </c>
      <c r="O151" s="235">
        <f>MoDi!G50</f>
        <v>2.1020985552130447</v>
      </c>
      <c r="P151" s="235">
        <f>MoDi!H50</f>
        <v>2.0977299387440698</v>
      </c>
      <c r="Q151" s="211">
        <f>MoDi!I50</f>
        <v>2.1269575547898851</v>
      </c>
      <c r="R151" s="211">
        <f>MoDi!J50</f>
        <v>2.1026930372018691</v>
      </c>
      <c r="S151" s="211">
        <f>MoDi!K50</f>
        <v>2.0797512652508896</v>
      </c>
      <c r="T151" s="211">
        <f>MoDi!L50</f>
        <v>2.0773593733296134</v>
      </c>
      <c r="U151" s="211">
        <f>MoDi!M50</f>
        <v>2.1164994229504988</v>
      </c>
      <c r="V151" s="211">
        <f>MoDi!N50</f>
        <v>2.1164994229504988</v>
      </c>
      <c r="W151" s="211">
        <f>MoDi!O50</f>
        <v>2.1164994229504988</v>
      </c>
    </row>
    <row r="152" spans="1:23" outlineLevel="1">
      <c r="A152" s="15" t="s">
        <v>107</v>
      </c>
      <c r="B152" s="13" t="s">
        <v>5</v>
      </c>
      <c r="C152" s="34" t="s">
        <v>581</v>
      </c>
      <c r="D152" s="34" t="s">
        <v>582</v>
      </c>
      <c r="E152" s="31" t="s">
        <v>53</v>
      </c>
      <c r="F152" s="31" t="s">
        <v>776</v>
      </c>
      <c r="G152" s="316"/>
      <c r="H152" s="316"/>
      <c r="I152" s="316"/>
      <c r="J152" s="316">
        <v>-7.6105652040609787E-3</v>
      </c>
      <c r="K152" s="316"/>
      <c r="L152" s="170"/>
      <c r="M152" s="317"/>
      <c r="N152" s="317"/>
      <c r="O152" s="317"/>
      <c r="P152" s="317"/>
      <c r="Q152" s="317"/>
      <c r="R152" s="317"/>
      <c r="S152" s="317"/>
      <c r="T152" s="317"/>
      <c r="U152" s="317"/>
      <c r="V152" s="317"/>
      <c r="W152" s="317"/>
    </row>
    <row r="153" spans="1:23" outlineLevel="1">
      <c r="A153" s="15" t="s">
        <v>107</v>
      </c>
      <c r="B153" s="13" t="s">
        <v>5</v>
      </c>
      <c r="C153" s="34" t="s">
        <v>272</v>
      </c>
      <c r="D153" s="34" t="s">
        <v>51</v>
      </c>
      <c r="E153" s="31" t="s">
        <v>142</v>
      </c>
      <c r="F153" s="31" t="s">
        <v>529</v>
      </c>
      <c r="G153" s="316"/>
      <c r="H153" s="316"/>
      <c r="I153" s="316"/>
      <c r="J153" s="316">
        <v>-6.9871512014428399E-4</v>
      </c>
      <c r="K153" s="316"/>
      <c r="L153" s="170"/>
      <c r="M153" s="317"/>
      <c r="N153" s="317"/>
      <c r="O153" s="317"/>
      <c r="P153" s="317"/>
      <c r="Q153" s="317"/>
      <c r="R153" s="317"/>
      <c r="S153" s="317"/>
      <c r="T153" s="317"/>
      <c r="U153" s="317"/>
      <c r="V153" s="317"/>
      <c r="W153" s="317"/>
    </row>
    <row r="154" spans="1:23" outlineLevel="1">
      <c r="A154" s="15" t="s">
        <v>107</v>
      </c>
      <c r="B154" s="13" t="s">
        <v>5</v>
      </c>
      <c r="C154" s="34" t="s">
        <v>642</v>
      </c>
      <c r="D154" s="34" t="s">
        <v>643</v>
      </c>
      <c r="E154" s="31" t="s">
        <v>58</v>
      </c>
      <c r="F154" s="31"/>
      <c r="G154" s="316"/>
      <c r="H154" s="316"/>
      <c r="I154" s="316"/>
      <c r="J154" s="316">
        <v>2.9384944835644274E-4</v>
      </c>
      <c r="K154" s="316"/>
      <c r="L154" s="170"/>
      <c r="M154" s="317"/>
      <c r="N154" s="317"/>
      <c r="O154" s="317"/>
      <c r="P154" s="317"/>
      <c r="Q154" s="317"/>
      <c r="R154" s="317"/>
      <c r="S154" s="317"/>
      <c r="T154" s="317"/>
      <c r="U154" s="317"/>
      <c r="V154" s="317"/>
      <c r="W154" s="317"/>
    </row>
    <row r="155" spans="1:23" outlineLevel="1">
      <c r="A155" s="15" t="s">
        <v>107</v>
      </c>
      <c r="B155" s="13" t="s">
        <v>5</v>
      </c>
      <c r="C155" s="34" t="s">
        <v>644</v>
      </c>
      <c r="D155" s="34" t="s">
        <v>118</v>
      </c>
      <c r="E155" s="31" t="s">
        <v>43</v>
      </c>
      <c r="F155" s="31" t="s">
        <v>778</v>
      </c>
      <c r="G155" s="316"/>
      <c r="H155" s="316"/>
      <c r="I155" s="316"/>
      <c r="J155" s="316">
        <v>-5.1316953947384066E-4</v>
      </c>
      <c r="K155" s="316"/>
      <c r="L155" s="170"/>
      <c r="M155" s="317"/>
      <c r="N155" s="317"/>
      <c r="O155" s="317"/>
      <c r="P155" s="317"/>
      <c r="Q155" s="317"/>
      <c r="R155" s="317"/>
      <c r="S155" s="317"/>
      <c r="T155" s="317"/>
      <c r="U155" s="317"/>
      <c r="V155" s="317"/>
      <c r="W155" s="317"/>
    </row>
    <row r="156" spans="1:23">
      <c r="A156" s="15" t="s">
        <v>107</v>
      </c>
      <c r="B156" s="13" t="s">
        <v>5</v>
      </c>
      <c r="C156" s="34" t="s">
        <v>557</v>
      </c>
      <c r="D156" s="34" t="s">
        <v>558</v>
      </c>
      <c r="E156" s="31" t="s">
        <v>53</v>
      </c>
      <c r="F156" s="31" t="s">
        <v>776</v>
      </c>
      <c r="G156" s="161"/>
      <c r="H156" s="161"/>
      <c r="I156" s="161"/>
      <c r="J156" s="161"/>
      <c r="K156" s="161"/>
      <c r="L156" s="34"/>
      <c r="M156" s="32"/>
      <c r="N156" s="32"/>
      <c r="O156" s="43"/>
      <c r="P156" s="43"/>
      <c r="Q156" s="43"/>
      <c r="R156" s="43">
        <v>-7.664517588016187E-3</v>
      </c>
      <c r="S156" s="43"/>
      <c r="T156" s="43"/>
      <c r="U156" s="43"/>
      <c r="V156" s="43"/>
      <c r="W156" s="43"/>
    </row>
    <row r="157" spans="1:23">
      <c r="A157" s="15" t="s">
        <v>107</v>
      </c>
      <c r="B157" s="13" t="s">
        <v>5</v>
      </c>
      <c r="C157" s="34" t="s">
        <v>638</v>
      </c>
      <c r="D157" s="34" t="s">
        <v>639</v>
      </c>
      <c r="E157" s="31" t="s">
        <v>33</v>
      </c>
      <c r="F157" s="31"/>
      <c r="G157" s="161"/>
      <c r="H157" s="161"/>
      <c r="I157" s="161"/>
      <c r="J157" s="161"/>
      <c r="K157" s="161"/>
      <c r="L157" s="34"/>
      <c r="M157" s="32"/>
      <c r="N157" s="32"/>
      <c r="O157" s="125"/>
      <c r="P157" s="125"/>
      <c r="Q157" s="239"/>
      <c r="R157" s="43"/>
      <c r="S157" s="43"/>
      <c r="T157" s="43"/>
      <c r="U157" s="43"/>
      <c r="V157" s="43"/>
      <c r="W157" s="43"/>
    </row>
    <row r="158" spans="1:23">
      <c r="A158" s="15" t="s">
        <v>107</v>
      </c>
      <c r="B158" s="13" t="s">
        <v>5</v>
      </c>
      <c r="C158" s="34" t="s">
        <v>479</v>
      </c>
      <c r="D158" s="34" t="s">
        <v>645</v>
      </c>
      <c r="E158" s="31" t="s">
        <v>33</v>
      </c>
      <c r="F158" s="31"/>
      <c r="G158" s="161"/>
      <c r="H158" s="161"/>
      <c r="I158" s="161"/>
      <c r="J158" s="161"/>
      <c r="K158" s="161"/>
      <c r="L158" s="34"/>
      <c r="M158" s="32">
        <v>0</v>
      </c>
      <c r="N158" s="32">
        <v>-4.3488944023205699E-3</v>
      </c>
      <c r="O158" s="43"/>
      <c r="P158" s="43"/>
      <c r="Q158" s="43"/>
      <c r="R158" s="43"/>
      <c r="S158" s="43"/>
      <c r="T158" s="43"/>
      <c r="U158" s="43"/>
      <c r="V158" s="43"/>
      <c r="W158" s="43"/>
    </row>
    <row r="159" spans="1:23">
      <c r="A159" s="15" t="s">
        <v>107</v>
      </c>
      <c r="B159" s="13" t="s">
        <v>5</v>
      </c>
      <c r="C159" s="34" t="s">
        <v>628</v>
      </c>
      <c r="D159" s="34" t="s">
        <v>629</v>
      </c>
      <c r="E159" s="31" t="s">
        <v>33</v>
      </c>
      <c r="F159" s="29" t="s">
        <v>782</v>
      </c>
      <c r="G159" s="161"/>
      <c r="H159" s="161"/>
      <c r="I159" s="161"/>
      <c r="J159" s="161"/>
      <c r="K159" s="161"/>
      <c r="L159" s="34"/>
      <c r="M159" s="32"/>
      <c r="N159" s="43">
        <v>-1.4133906807541854E-2</v>
      </c>
      <c r="O159" s="43"/>
      <c r="P159" s="43"/>
      <c r="Q159" s="43"/>
      <c r="R159" s="43"/>
      <c r="S159" s="43"/>
      <c r="T159" s="43"/>
      <c r="U159" s="43"/>
      <c r="V159" s="43"/>
      <c r="W159" s="43"/>
    </row>
    <row r="160" spans="1:23">
      <c r="A160" s="15" t="s">
        <v>107</v>
      </c>
      <c r="B160" s="13" t="s">
        <v>5</v>
      </c>
      <c r="C160" s="34" t="s">
        <v>630</v>
      </c>
      <c r="D160" s="34" t="s">
        <v>631</v>
      </c>
      <c r="E160" s="31" t="s">
        <v>33</v>
      </c>
      <c r="F160" s="31" t="s">
        <v>781</v>
      </c>
      <c r="G160" s="161"/>
      <c r="H160" s="161"/>
      <c r="I160" s="161"/>
      <c r="J160" s="161"/>
      <c r="K160" s="161"/>
      <c r="L160" s="34"/>
      <c r="M160" s="32"/>
      <c r="N160" s="43"/>
      <c r="O160" s="43">
        <v>-1.609090928858611E-2</v>
      </c>
      <c r="P160" s="43"/>
      <c r="Q160" s="43"/>
      <c r="R160" s="43"/>
      <c r="S160" s="43"/>
      <c r="T160" s="43"/>
      <c r="U160" s="43"/>
      <c r="V160" s="43"/>
      <c r="W160" s="43"/>
    </row>
    <row r="161" spans="1:23">
      <c r="A161" s="15" t="s">
        <v>107</v>
      </c>
      <c r="B161" s="13" t="s">
        <v>5</v>
      </c>
      <c r="C161" s="34" t="s">
        <v>646</v>
      </c>
      <c r="D161" s="34" t="s">
        <v>633</v>
      </c>
      <c r="E161" s="31" t="s">
        <v>33</v>
      </c>
      <c r="F161" s="31" t="s">
        <v>781</v>
      </c>
      <c r="G161" s="161"/>
      <c r="H161" s="161"/>
      <c r="I161" s="161"/>
      <c r="J161" s="161"/>
      <c r="K161" s="161"/>
      <c r="L161" s="34"/>
      <c r="M161" s="32"/>
      <c r="N161" s="43"/>
      <c r="O161" s="43"/>
      <c r="P161" s="43"/>
      <c r="Q161" s="43"/>
      <c r="R161" s="43"/>
      <c r="S161" s="43"/>
      <c r="T161" s="43">
        <v>-2.3918919212763136E-3</v>
      </c>
      <c r="U161" s="43"/>
      <c r="V161" s="43"/>
      <c r="W161" s="43"/>
    </row>
    <row r="162" spans="1:23">
      <c r="A162" s="15" t="s">
        <v>107</v>
      </c>
      <c r="B162" s="13" t="s">
        <v>5</v>
      </c>
      <c r="C162" s="34" t="s">
        <v>647</v>
      </c>
      <c r="D162" s="34" t="s">
        <v>619</v>
      </c>
      <c r="E162" s="31" t="s">
        <v>43</v>
      </c>
      <c r="F162" s="34" t="s">
        <v>778</v>
      </c>
      <c r="G162" s="161"/>
      <c r="H162" s="161"/>
      <c r="I162" s="161"/>
      <c r="J162" s="161"/>
      <c r="K162" s="161"/>
      <c r="L162" s="34"/>
      <c r="M162" s="32">
        <v>-5.8927054114800755E-3</v>
      </c>
      <c r="N162" s="43"/>
      <c r="O162" s="43"/>
      <c r="P162" s="43"/>
      <c r="Q162" s="43"/>
      <c r="R162" s="43"/>
      <c r="S162" s="43"/>
      <c r="T162" s="43"/>
      <c r="U162" s="43"/>
      <c r="V162" s="43"/>
      <c r="W162" s="43"/>
    </row>
    <row r="163" spans="1:23">
      <c r="A163" s="15" t="s">
        <v>107</v>
      </c>
      <c r="B163" s="13" t="s">
        <v>5</v>
      </c>
      <c r="C163" s="34" t="s">
        <v>620</v>
      </c>
      <c r="D163" s="34" t="s">
        <v>119</v>
      </c>
      <c r="E163" s="31" t="s">
        <v>58</v>
      </c>
      <c r="F163" s="31"/>
      <c r="G163" s="161"/>
      <c r="H163" s="161"/>
      <c r="I163" s="161"/>
      <c r="J163" s="161"/>
      <c r="K163" s="161"/>
      <c r="L163" s="34"/>
      <c r="M163" s="32">
        <v>-1.1113618947794493E-2</v>
      </c>
      <c r="N163" s="43"/>
      <c r="O163" s="43"/>
      <c r="P163" s="43"/>
      <c r="Q163" s="43"/>
      <c r="R163" s="43"/>
      <c r="S163" s="43"/>
      <c r="T163" s="43"/>
      <c r="U163" s="43"/>
      <c r="V163" s="43"/>
      <c r="W163" s="43"/>
    </row>
    <row r="164" spans="1:23">
      <c r="A164" s="15" t="s">
        <v>107</v>
      </c>
      <c r="B164" s="13" t="s">
        <v>5</v>
      </c>
      <c r="C164" s="34" t="s">
        <v>648</v>
      </c>
      <c r="D164" s="34" t="s">
        <v>649</v>
      </c>
      <c r="E164" s="31" t="s">
        <v>772</v>
      </c>
      <c r="F164" s="31" t="s">
        <v>779</v>
      </c>
      <c r="G164" s="161"/>
      <c r="H164" s="161"/>
      <c r="I164" s="161"/>
      <c r="J164" s="161"/>
      <c r="K164" s="161"/>
      <c r="L164" s="34"/>
      <c r="M164" s="32"/>
      <c r="N164" s="43"/>
      <c r="O164" s="43">
        <v>-2.283059740652584E-3</v>
      </c>
      <c r="P164" s="43"/>
      <c r="Q164" s="229"/>
      <c r="R164" s="43"/>
      <c r="S164" s="43"/>
      <c r="T164" s="43"/>
      <c r="U164" s="43"/>
      <c r="V164" s="43"/>
      <c r="W164" s="43"/>
    </row>
    <row r="165" spans="1:23">
      <c r="A165" s="15" t="s">
        <v>107</v>
      </c>
      <c r="B165" s="13" t="s">
        <v>5</v>
      </c>
      <c r="C165" s="34" t="s">
        <v>588</v>
      </c>
      <c r="D165" s="34" t="s">
        <v>591</v>
      </c>
      <c r="E165" s="31" t="s">
        <v>43</v>
      </c>
      <c r="F165" s="31" t="s">
        <v>778</v>
      </c>
      <c r="G165" s="161"/>
      <c r="H165" s="161"/>
      <c r="I165" s="161"/>
      <c r="J165" s="161"/>
      <c r="K165" s="161"/>
      <c r="L165" s="34"/>
      <c r="M165" s="32"/>
      <c r="N165" s="43"/>
      <c r="O165" s="43"/>
      <c r="P165" s="43"/>
      <c r="Q165" s="196">
        <v>5.7483881910121398E-4</v>
      </c>
      <c r="R165" s="43"/>
      <c r="S165" s="43"/>
      <c r="T165" s="43"/>
      <c r="U165" s="43"/>
      <c r="V165" s="43"/>
      <c r="W165" s="43"/>
    </row>
    <row r="166" spans="1:23">
      <c r="A166" s="15" t="s">
        <v>107</v>
      </c>
      <c r="B166" s="13" t="s">
        <v>5</v>
      </c>
      <c r="C166" s="44" t="s">
        <v>22</v>
      </c>
      <c r="D166" s="44" t="s">
        <v>24</v>
      </c>
      <c r="E166" s="28" t="s">
        <v>772</v>
      </c>
      <c r="F166" s="7" t="s">
        <v>777</v>
      </c>
      <c r="G166" s="161"/>
      <c r="H166" s="161"/>
      <c r="I166" s="161"/>
      <c r="J166" s="161"/>
      <c r="K166" s="161"/>
      <c r="L166" s="34"/>
      <c r="M166" s="32"/>
      <c r="N166" s="32"/>
      <c r="O166" s="43"/>
      <c r="P166" s="43"/>
      <c r="Q166" s="45">
        <v>6.5975946323261741E-3</v>
      </c>
      <c r="R166" s="43"/>
      <c r="S166" s="43"/>
      <c r="T166" s="43"/>
      <c r="U166" s="43"/>
      <c r="V166" s="43"/>
      <c r="W166" s="43"/>
    </row>
    <row r="167" spans="1:23">
      <c r="A167" s="15" t="s">
        <v>107</v>
      </c>
      <c r="B167" s="13" t="s">
        <v>5</v>
      </c>
      <c r="C167" s="44" t="s">
        <v>22</v>
      </c>
      <c r="D167" s="44" t="s">
        <v>145</v>
      </c>
      <c r="E167" s="28" t="s">
        <v>53</v>
      </c>
      <c r="F167" s="7" t="s">
        <v>776</v>
      </c>
      <c r="G167" s="161"/>
      <c r="H167" s="161"/>
      <c r="I167" s="161"/>
      <c r="J167" s="161"/>
      <c r="K167" s="161"/>
      <c r="L167" s="34"/>
      <c r="M167" s="32"/>
      <c r="N167" s="32"/>
      <c r="O167" s="43"/>
      <c r="P167" s="43"/>
      <c r="Q167" s="45">
        <v>0</v>
      </c>
      <c r="R167" s="43"/>
      <c r="S167" s="43"/>
      <c r="T167" s="43"/>
      <c r="U167" s="43"/>
      <c r="V167" s="43"/>
      <c r="W167" s="43"/>
    </row>
    <row r="168" spans="1:23">
      <c r="A168" s="15" t="s">
        <v>107</v>
      </c>
      <c r="B168" s="13" t="s">
        <v>5</v>
      </c>
      <c r="C168" s="44" t="s">
        <v>22</v>
      </c>
      <c r="D168" s="44" t="s">
        <v>140</v>
      </c>
      <c r="E168" s="28" t="s">
        <v>43</v>
      </c>
      <c r="F168" s="28" t="s">
        <v>778</v>
      </c>
      <c r="G168" s="161"/>
      <c r="H168" s="161"/>
      <c r="I168" s="161"/>
      <c r="J168" s="161"/>
      <c r="K168" s="161"/>
      <c r="L168" s="34"/>
      <c r="M168" s="32"/>
      <c r="N168" s="32"/>
      <c r="O168" s="43"/>
      <c r="P168" s="43"/>
      <c r="Q168" s="45">
        <v>1.1826196059974796E-3</v>
      </c>
      <c r="R168" s="43"/>
      <c r="S168" s="43"/>
      <c r="T168" s="43"/>
      <c r="U168" s="43"/>
      <c r="V168" s="43"/>
      <c r="W168" s="43"/>
    </row>
    <row r="169" spans="1:23">
      <c r="A169" s="15" t="s">
        <v>107</v>
      </c>
      <c r="B169" s="13" t="s">
        <v>5</v>
      </c>
      <c r="C169" s="44" t="s">
        <v>22</v>
      </c>
      <c r="D169" s="44" t="s">
        <v>49</v>
      </c>
      <c r="E169" s="28" t="s">
        <v>142</v>
      </c>
      <c r="F169" s="7" t="s">
        <v>529</v>
      </c>
      <c r="G169" s="161"/>
      <c r="H169" s="161"/>
      <c r="I169" s="161"/>
      <c r="J169" s="161"/>
      <c r="K169" s="161"/>
      <c r="L169" s="34"/>
      <c r="M169" s="32"/>
      <c r="N169" s="32"/>
      <c r="O169" s="43"/>
      <c r="P169" s="43"/>
      <c r="Q169" s="45">
        <v>3.8088976217121265E-3</v>
      </c>
      <c r="R169" s="43"/>
      <c r="S169" s="43"/>
      <c r="T169" s="43"/>
      <c r="U169" s="43"/>
      <c r="V169" s="43"/>
      <c r="W169" s="43"/>
    </row>
    <row r="170" spans="1:23">
      <c r="A170" s="15" t="s">
        <v>107</v>
      </c>
      <c r="B170" s="13" t="s">
        <v>5</v>
      </c>
      <c r="C170" s="44" t="s">
        <v>22</v>
      </c>
      <c r="D170" s="44" t="s">
        <v>58</v>
      </c>
      <c r="E170" s="28" t="s">
        <v>58</v>
      </c>
      <c r="F170" s="28"/>
      <c r="G170" s="161"/>
      <c r="H170" s="161"/>
      <c r="I170" s="161"/>
      <c r="J170" s="161"/>
      <c r="K170" s="161"/>
      <c r="L170" s="34"/>
      <c r="M170" s="32"/>
      <c r="N170" s="32"/>
      <c r="O170" s="43"/>
      <c r="P170" s="43"/>
      <c r="Q170" s="43"/>
      <c r="R170" s="43"/>
      <c r="S170" s="45">
        <v>8.3427845019602952E-3</v>
      </c>
      <c r="T170" s="43"/>
      <c r="U170" s="43"/>
      <c r="V170" s="43"/>
      <c r="W170" s="43"/>
    </row>
    <row r="171" spans="1:23">
      <c r="A171" s="15" t="s">
        <v>107</v>
      </c>
      <c r="B171" s="13" t="s">
        <v>5</v>
      </c>
      <c r="C171" s="44" t="s">
        <v>22</v>
      </c>
      <c r="D171" s="44" t="s">
        <v>33</v>
      </c>
      <c r="E171" s="28" t="s">
        <v>33</v>
      </c>
      <c r="F171" s="28"/>
      <c r="G171" s="161"/>
      <c r="H171" s="161"/>
      <c r="I171" s="161"/>
      <c r="J171" s="161"/>
      <c r="K171" s="161"/>
      <c r="L171" s="34"/>
      <c r="M171" s="32"/>
      <c r="N171" s="32"/>
      <c r="O171" s="43"/>
      <c r="P171" s="43"/>
      <c r="Q171" s="45">
        <v>2.2454023774445806E-2</v>
      </c>
      <c r="R171" s="43"/>
      <c r="S171" s="43"/>
      <c r="T171" s="43"/>
      <c r="U171" s="43"/>
      <c r="V171" s="43"/>
      <c r="W171" s="43"/>
    </row>
    <row r="172" spans="1:23">
      <c r="A172" s="15" t="s">
        <v>107</v>
      </c>
      <c r="B172" s="13" t="s">
        <v>5</v>
      </c>
      <c r="C172" s="34" t="s">
        <v>479</v>
      </c>
      <c r="D172" s="34" t="s">
        <v>650</v>
      </c>
      <c r="E172" s="31" t="s">
        <v>772</v>
      </c>
      <c r="F172" s="31" t="s">
        <v>779</v>
      </c>
      <c r="G172" s="161"/>
      <c r="H172" s="161"/>
      <c r="I172" s="161"/>
      <c r="J172" s="161"/>
      <c r="K172" s="161"/>
      <c r="L172" s="34"/>
      <c r="M172" s="32"/>
      <c r="N172" s="32">
        <v>-2.1744472011602851E-4</v>
      </c>
      <c r="O172" s="125"/>
      <c r="P172" s="43"/>
      <c r="Q172" s="43"/>
      <c r="R172" s="43"/>
      <c r="S172" s="43"/>
      <c r="T172" s="43"/>
      <c r="U172" s="43"/>
      <c r="V172" s="43"/>
      <c r="W172" s="43"/>
    </row>
    <row r="173" spans="1:23">
      <c r="A173" s="15" t="s">
        <v>107</v>
      </c>
      <c r="B173" s="13" t="s">
        <v>5</v>
      </c>
      <c r="C173" s="34" t="s">
        <v>479</v>
      </c>
      <c r="D173" s="34" t="s">
        <v>651</v>
      </c>
      <c r="E173" s="31" t="s">
        <v>772</v>
      </c>
      <c r="F173" s="29" t="s">
        <v>777</v>
      </c>
      <c r="G173" s="161"/>
      <c r="H173" s="161"/>
      <c r="I173" s="161"/>
      <c r="J173" s="161"/>
      <c r="K173" s="161"/>
      <c r="L173" s="34"/>
      <c r="M173" s="32"/>
      <c r="N173" s="32">
        <v>-4.3760749923350795E-4</v>
      </c>
      <c r="O173" s="43"/>
      <c r="P173" s="43"/>
      <c r="Q173" s="43"/>
      <c r="R173" s="43"/>
      <c r="S173" s="43"/>
      <c r="T173" s="43"/>
      <c r="U173" s="43"/>
      <c r="V173" s="43"/>
      <c r="W173" s="43"/>
    </row>
    <row r="174" spans="1:23">
      <c r="A174" s="15" t="s">
        <v>107</v>
      </c>
      <c r="B174" s="13" t="s">
        <v>5</v>
      </c>
      <c r="C174" s="34" t="s">
        <v>479</v>
      </c>
      <c r="D174" s="34" t="s">
        <v>464</v>
      </c>
      <c r="E174" s="31" t="s">
        <v>772</v>
      </c>
      <c r="F174" s="31"/>
      <c r="G174" s="161"/>
      <c r="H174" s="161"/>
      <c r="I174" s="161"/>
      <c r="J174" s="161"/>
      <c r="K174" s="161"/>
      <c r="L174" s="34"/>
      <c r="M174" s="32"/>
      <c r="N174" s="32">
        <v>-2.2442469563177525E-4</v>
      </c>
      <c r="O174" s="43"/>
      <c r="P174" s="43"/>
      <c r="Q174" s="43"/>
      <c r="R174" s="43"/>
      <c r="S174" s="43"/>
      <c r="T174" s="43"/>
      <c r="U174" s="43"/>
      <c r="V174" s="43"/>
      <c r="W174" s="43"/>
    </row>
    <row r="175" spans="1:23">
      <c r="A175" s="15" t="s">
        <v>107</v>
      </c>
      <c r="B175" s="13" t="s">
        <v>5</v>
      </c>
      <c r="C175" s="34" t="s">
        <v>117</v>
      </c>
      <c r="D175" s="34" t="s">
        <v>117</v>
      </c>
      <c r="E175" s="31" t="s">
        <v>33</v>
      </c>
      <c r="F175" s="31"/>
      <c r="G175" s="161"/>
      <c r="H175" s="161"/>
      <c r="I175" s="161"/>
      <c r="J175" s="161"/>
      <c r="K175" s="161"/>
      <c r="L175" s="34"/>
      <c r="M175" s="32"/>
      <c r="N175" s="32"/>
      <c r="O175" s="43"/>
      <c r="P175" s="43"/>
      <c r="Q175" s="43"/>
      <c r="R175" s="43"/>
      <c r="S175" s="43"/>
      <c r="T175" s="43"/>
      <c r="U175" s="196">
        <f>0.36/$Y$2</f>
        <v>3.9140049620885131E-2</v>
      </c>
      <c r="V175" s="43"/>
      <c r="W175" s="43"/>
    </row>
    <row r="176" spans="1:23">
      <c r="A176" s="15" t="s">
        <v>107</v>
      </c>
      <c r="B176" s="13" t="s">
        <v>5</v>
      </c>
      <c r="C176" s="34" t="s">
        <v>272</v>
      </c>
      <c r="D176" s="34" t="s">
        <v>51</v>
      </c>
      <c r="E176" s="31" t="s">
        <v>142</v>
      </c>
      <c r="F176" s="31" t="s">
        <v>529</v>
      </c>
      <c r="G176" s="161"/>
      <c r="H176" s="161"/>
      <c r="I176" s="161"/>
      <c r="J176" s="161"/>
      <c r="K176" s="161"/>
      <c r="L176" s="34"/>
      <c r="M176" s="32"/>
      <c r="N176" s="32"/>
      <c r="O176" s="43">
        <v>-7.0260768348529012E-4</v>
      </c>
      <c r="P176" s="43"/>
      <c r="Q176" s="43"/>
      <c r="R176" s="43"/>
      <c r="S176" s="43"/>
      <c r="T176" s="43"/>
      <c r="U176" s="43"/>
      <c r="V176" s="43"/>
      <c r="W176" s="43"/>
    </row>
    <row r="177" spans="1:25">
      <c r="A177" s="15" t="s">
        <v>107</v>
      </c>
      <c r="B177" s="13" t="s">
        <v>5</v>
      </c>
      <c r="C177" s="34" t="s">
        <v>642</v>
      </c>
      <c r="D177" s="34" t="s">
        <v>643</v>
      </c>
      <c r="E177" s="31" t="s">
        <v>58</v>
      </c>
      <c r="F177" s="31"/>
      <c r="G177" s="161"/>
      <c r="H177" s="161"/>
      <c r="I177" s="161"/>
      <c r="J177" s="161"/>
      <c r="K177" s="161"/>
      <c r="L177" s="34"/>
      <c r="M177" s="32"/>
      <c r="N177" s="32">
        <v>-3.2026873642419769E-3</v>
      </c>
      <c r="O177" s="43">
        <v>-1.5261261370184306E-4</v>
      </c>
      <c r="P177" s="43"/>
      <c r="Q177" s="43"/>
      <c r="R177" s="43"/>
      <c r="S177" s="43"/>
      <c r="T177" s="43"/>
      <c r="U177" s="43"/>
      <c r="V177" s="43"/>
      <c r="W177" s="43"/>
    </row>
    <row r="178" spans="1:25">
      <c r="A178" s="15" t="s">
        <v>107</v>
      </c>
      <c r="B178" s="13" t="s">
        <v>5</v>
      </c>
      <c r="C178" s="34" t="s">
        <v>652</v>
      </c>
      <c r="D178" s="34" t="s">
        <v>653</v>
      </c>
      <c r="E178" s="31" t="s">
        <v>33</v>
      </c>
      <c r="F178" s="29" t="s">
        <v>782</v>
      </c>
      <c r="G178" s="161"/>
      <c r="H178" s="161"/>
      <c r="I178" s="161"/>
      <c r="J178" s="161"/>
      <c r="K178" s="161"/>
      <c r="L178" s="34"/>
      <c r="M178" s="32"/>
      <c r="N178" s="32"/>
      <c r="O178" s="43"/>
      <c r="P178" s="43"/>
      <c r="Q178" s="43"/>
      <c r="R178" s="43"/>
      <c r="S178" s="43">
        <v>-1.62845564529399E-2</v>
      </c>
      <c r="T178" s="43"/>
      <c r="U178" s="43"/>
      <c r="V178" s="43"/>
      <c r="W178" s="43"/>
    </row>
    <row r="179" spans="1:25">
      <c r="A179" s="15" t="s">
        <v>107</v>
      </c>
      <c r="B179" s="13" t="s">
        <v>5</v>
      </c>
      <c r="C179" s="34" t="s">
        <v>654</v>
      </c>
      <c r="D179" s="34" t="s">
        <v>655</v>
      </c>
      <c r="E179" s="31" t="s">
        <v>33</v>
      </c>
      <c r="F179" s="29" t="s">
        <v>782</v>
      </c>
      <c r="G179" s="161"/>
      <c r="H179" s="161"/>
      <c r="I179" s="161"/>
      <c r="J179" s="161"/>
      <c r="K179" s="161"/>
      <c r="L179" s="34"/>
      <c r="M179" s="32"/>
      <c r="N179" s="32"/>
      <c r="O179" s="43"/>
      <c r="P179" s="43"/>
      <c r="Q179" s="43">
        <v>-5.3903584077675598E-3</v>
      </c>
      <c r="R179" s="43"/>
      <c r="S179" s="43"/>
      <c r="T179" s="43"/>
      <c r="U179" s="43"/>
      <c r="V179" s="43"/>
      <c r="W179" s="43"/>
    </row>
    <row r="180" spans="1:25">
      <c r="A180" s="15" t="s">
        <v>107</v>
      </c>
      <c r="B180" s="13" t="s">
        <v>5</v>
      </c>
      <c r="C180" s="34" t="s">
        <v>594</v>
      </c>
      <c r="D180" s="34" t="s">
        <v>595</v>
      </c>
      <c r="E180" s="31" t="s">
        <v>33</v>
      </c>
      <c r="F180" s="31" t="s">
        <v>781</v>
      </c>
      <c r="G180" s="161"/>
      <c r="H180" s="161"/>
      <c r="I180" s="161"/>
      <c r="J180" s="161"/>
      <c r="K180" s="161"/>
      <c r="L180" s="34"/>
      <c r="M180" s="32"/>
      <c r="N180" s="32"/>
      <c r="O180" s="43"/>
      <c r="P180" s="43"/>
      <c r="Q180" s="43"/>
      <c r="R180" s="43"/>
      <c r="S180" s="43">
        <v>-1.4999999999999999E-2</v>
      </c>
      <c r="T180" s="43"/>
      <c r="U180" s="43"/>
      <c r="V180" s="43"/>
      <c r="W180" s="43"/>
    </row>
    <row r="181" spans="1:25">
      <c r="A181" s="15" t="s">
        <v>107</v>
      </c>
      <c r="B181" s="13" t="s">
        <v>5</v>
      </c>
      <c r="C181" s="51" t="s">
        <v>291</v>
      </c>
      <c r="D181" s="46" t="s">
        <v>600</v>
      </c>
      <c r="E181" s="47" t="s">
        <v>772</v>
      </c>
      <c r="F181" s="47" t="s">
        <v>777</v>
      </c>
      <c r="G181" s="160"/>
      <c r="H181" s="160"/>
      <c r="I181" s="160"/>
      <c r="J181" s="160"/>
      <c r="K181" s="160"/>
      <c r="L181" s="46"/>
      <c r="M181" s="46"/>
      <c r="N181" s="46"/>
      <c r="O181" s="46"/>
      <c r="P181" s="46">
        <v>-4.5538360510299462E-3</v>
      </c>
      <c r="Q181" s="46"/>
      <c r="R181" s="46"/>
      <c r="S181" s="46"/>
      <c r="T181" s="46"/>
      <c r="U181" s="46"/>
      <c r="V181" s="46"/>
      <c r="W181" s="46"/>
      <c r="Y181" s="88"/>
    </row>
    <row r="182" spans="1:25">
      <c r="A182" s="15" t="s">
        <v>107</v>
      </c>
      <c r="B182" s="13" t="s">
        <v>5</v>
      </c>
      <c r="C182" s="51" t="s">
        <v>291</v>
      </c>
      <c r="D182" s="46" t="s">
        <v>601</v>
      </c>
      <c r="E182" s="47" t="s">
        <v>389</v>
      </c>
      <c r="F182" s="47" t="s">
        <v>786</v>
      </c>
      <c r="G182" s="160"/>
      <c r="H182" s="160"/>
      <c r="I182" s="160"/>
      <c r="J182" s="160"/>
      <c r="K182" s="160"/>
      <c r="L182" s="46"/>
      <c r="M182" s="46"/>
      <c r="N182" s="46"/>
      <c r="O182" s="46"/>
      <c r="P182" s="46"/>
      <c r="Q182" s="46"/>
      <c r="R182" s="46">
        <v>-5.9999999999999995E-4</v>
      </c>
      <c r="S182" s="46"/>
      <c r="T182" s="46"/>
      <c r="U182" s="46"/>
      <c r="V182" s="46"/>
      <c r="W182" s="46"/>
    </row>
    <row r="183" spans="1:25">
      <c r="A183" s="15" t="s">
        <v>107</v>
      </c>
      <c r="B183" s="13" t="s">
        <v>5</v>
      </c>
      <c r="C183" s="51" t="s">
        <v>291</v>
      </c>
      <c r="D183" s="46" t="s">
        <v>602</v>
      </c>
      <c r="E183" s="47" t="s">
        <v>58</v>
      </c>
      <c r="F183" s="47" t="s">
        <v>416</v>
      </c>
      <c r="G183" s="160"/>
      <c r="H183" s="160"/>
      <c r="I183" s="160"/>
      <c r="J183" s="160"/>
      <c r="K183" s="160"/>
      <c r="L183" s="46"/>
      <c r="M183" s="46"/>
      <c r="N183" s="46"/>
      <c r="O183" s="46"/>
      <c r="P183" s="46">
        <v>1.8521958205515096E-4</v>
      </c>
      <c r="Q183" s="46"/>
      <c r="R183" s="46"/>
      <c r="S183" s="46"/>
      <c r="T183" s="46"/>
      <c r="U183" s="46"/>
      <c r="V183" s="46"/>
      <c r="W183" s="46"/>
    </row>
    <row r="184" spans="1:25">
      <c r="A184" s="15" t="s">
        <v>107</v>
      </c>
      <c r="B184" s="13" t="s">
        <v>5</v>
      </c>
      <c r="C184" s="51" t="s">
        <v>750</v>
      </c>
      <c r="D184" s="46" t="s">
        <v>755</v>
      </c>
      <c r="E184" s="47" t="s">
        <v>33</v>
      </c>
      <c r="F184" s="47"/>
      <c r="G184" s="160"/>
      <c r="H184" s="160"/>
      <c r="I184" s="160"/>
      <c r="J184" s="160"/>
      <c r="K184" s="160"/>
      <c r="L184" s="46"/>
      <c r="M184" s="46"/>
      <c r="N184" s="46"/>
      <c r="O184" s="46"/>
      <c r="P184" s="46"/>
      <c r="Q184" s="440">
        <f>-0.0117963760662946*0</f>
        <v>0</v>
      </c>
      <c r="R184" s="46"/>
      <c r="S184" s="46"/>
      <c r="T184" s="46"/>
      <c r="U184" s="46"/>
      <c r="V184" s="46"/>
      <c r="W184" s="46"/>
    </row>
    <row r="185" spans="1:25">
      <c r="A185" s="15" t="s">
        <v>107</v>
      </c>
      <c r="B185" s="13" t="s">
        <v>5</v>
      </c>
      <c r="C185" s="51" t="s">
        <v>750</v>
      </c>
      <c r="D185" s="46" t="s">
        <v>293</v>
      </c>
      <c r="E185" s="47" t="s">
        <v>142</v>
      </c>
      <c r="F185" s="47" t="s">
        <v>529</v>
      </c>
      <c r="G185" s="160"/>
      <c r="H185" s="160"/>
      <c r="I185" s="160"/>
      <c r="J185" s="160"/>
      <c r="K185" s="160"/>
      <c r="L185" s="46"/>
      <c r="M185" s="46"/>
      <c r="N185" s="46"/>
      <c r="O185" s="46"/>
      <c r="P185" s="46"/>
      <c r="Q185" s="46"/>
      <c r="R185" s="426">
        <f>-0.004*4</f>
        <v>-1.6E-2</v>
      </c>
      <c r="S185" s="46"/>
      <c r="T185" s="46"/>
      <c r="U185" s="46"/>
      <c r="V185" s="46"/>
      <c r="W185" s="46"/>
    </row>
    <row r="186" spans="1:25">
      <c r="A186" s="15" t="s">
        <v>107</v>
      </c>
      <c r="B186" s="13" t="s">
        <v>5</v>
      </c>
      <c r="C186" s="51" t="s">
        <v>291</v>
      </c>
      <c r="D186" s="46"/>
      <c r="E186" s="47"/>
      <c r="F186" s="47"/>
      <c r="G186" s="160"/>
      <c r="H186" s="160"/>
      <c r="I186" s="160"/>
      <c r="J186" s="160"/>
      <c r="K186" s="160"/>
      <c r="L186" s="46"/>
      <c r="M186" s="46"/>
      <c r="N186" s="46"/>
      <c r="O186" s="46"/>
      <c r="P186" s="46"/>
      <c r="Q186" s="46"/>
      <c r="R186" s="46"/>
      <c r="S186" s="46"/>
      <c r="T186" s="46"/>
      <c r="U186" s="46"/>
      <c r="V186" s="46"/>
      <c r="W186" s="46"/>
    </row>
    <row r="187" spans="1:25">
      <c r="A187" s="15" t="s">
        <v>107</v>
      </c>
      <c r="B187" s="13" t="s">
        <v>5</v>
      </c>
      <c r="C187" s="51" t="s">
        <v>291</v>
      </c>
      <c r="D187" s="46"/>
      <c r="E187" s="47"/>
      <c r="F187" s="47"/>
      <c r="G187" s="160"/>
      <c r="H187" s="160"/>
      <c r="I187" s="160"/>
      <c r="J187" s="160"/>
      <c r="K187" s="160"/>
      <c r="L187" s="46"/>
      <c r="M187" s="46"/>
      <c r="N187" s="46"/>
      <c r="O187" s="46"/>
      <c r="P187" s="46"/>
      <c r="Q187" s="46"/>
      <c r="R187" s="46"/>
      <c r="S187" s="46"/>
      <c r="T187" s="46"/>
      <c r="U187" s="46"/>
      <c r="V187" s="46"/>
      <c r="W187" s="46"/>
    </row>
    <row r="188" spans="1:25" s="152" customFormat="1">
      <c r="A188" s="148" t="s">
        <v>121</v>
      </c>
      <c r="B188" s="148" t="s">
        <v>225</v>
      </c>
      <c r="C188" s="151"/>
      <c r="D188" s="148"/>
      <c r="E188" s="148"/>
      <c r="F188" s="148"/>
      <c r="G188" s="199">
        <v>2.1951355191555209</v>
      </c>
      <c r="H188" s="199">
        <v>2.1779573862663542</v>
      </c>
      <c r="I188" s="199">
        <v>2.1779573862663542</v>
      </c>
      <c r="J188" s="199">
        <v>2.2057412625229134</v>
      </c>
      <c r="K188" s="199">
        <v>2.1980767449348972</v>
      </c>
      <c r="L188" s="199">
        <f>MoDi!D67</f>
        <v>2.2379708221500416</v>
      </c>
      <c r="M188" s="199">
        <f>MoDi!E67</f>
        <v>2.1172890024856459</v>
      </c>
      <c r="N188" s="199">
        <f>MoDi!F67</f>
        <v>2.0320380180046755</v>
      </c>
      <c r="O188" s="199">
        <f>MoDi!G67</f>
        <v>2.0320380180046755</v>
      </c>
      <c r="P188" s="199">
        <f>MoDi!H67</f>
        <v>2.0320380180046755</v>
      </c>
      <c r="Q188" s="199">
        <f>MoDi!I67</f>
        <v>2.0320380180046755</v>
      </c>
      <c r="R188" s="199">
        <f>MoDi!J67</f>
        <v>2.0243735004166594</v>
      </c>
      <c r="S188" s="199">
        <f>MoDi!K67</f>
        <v>2.0243735004166594</v>
      </c>
      <c r="T188" s="199">
        <f>MoDi!L67</f>
        <v>2.0176685924718818</v>
      </c>
      <c r="U188" s="199">
        <f>MoDi!M67</f>
        <v>2.0176685924718818</v>
      </c>
      <c r="V188" s="199">
        <f>MoDi!N67</f>
        <v>2.0176685924718818</v>
      </c>
      <c r="W188" s="199">
        <f>MoDi!O67</f>
        <v>2.0176685924718818</v>
      </c>
    </row>
    <row r="189" spans="1:25">
      <c r="A189" s="15" t="s">
        <v>121</v>
      </c>
      <c r="B189" s="12" t="s">
        <v>4</v>
      </c>
      <c r="C189" s="22" t="s">
        <v>557</v>
      </c>
      <c r="D189" s="21" t="s">
        <v>558</v>
      </c>
      <c r="E189" s="23" t="s">
        <v>53</v>
      </c>
      <c r="F189" s="23" t="s">
        <v>776</v>
      </c>
      <c r="G189" s="157"/>
      <c r="H189" s="157"/>
      <c r="I189" s="157"/>
      <c r="J189" s="157"/>
      <c r="K189" s="157"/>
      <c r="L189" s="117">
        <v>0</v>
      </c>
      <c r="M189" s="117">
        <v>0</v>
      </c>
      <c r="N189" s="117">
        <v>0</v>
      </c>
      <c r="O189" s="117">
        <v>0</v>
      </c>
      <c r="P189" s="117">
        <v>0</v>
      </c>
      <c r="Q189" s="117">
        <v>0</v>
      </c>
      <c r="R189" s="117">
        <v>-7.664517588016187E-3</v>
      </c>
      <c r="S189" s="117">
        <v>0</v>
      </c>
      <c r="T189" s="117">
        <v>0</v>
      </c>
      <c r="U189" s="117">
        <v>0</v>
      </c>
      <c r="V189" s="117">
        <v>0</v>
      </c>
      <c r="W189" s="118">
        <v>0</v>
      </c>
    </row>
    <row r="190" spans="1:25">
      <c r="A190" s="15" t="s">
        <v>121</v>
      </c>
      <c r="B190" s="12" t="s">
        <v>4</v>
      </c>
      <c r="C190" s="22" t="s">
        <v>656</v>
      </c>
      <c r="D190" s="21" t="s">
        <v>657</v>
      </c>
      <c r="E190" s="23" t="s">
        <v>33</v>
      </c>
      <c r="F190" s="23" t="s">
        <v>784</v>
      </c>
      <c r="G190" s="157"/>
      <c r="H190" s="157"/>
      <c r="I190" s="157"/>
      <c r="J190" s="157"/>
      <c r="K190" s="157"/>
      <c r="L190" s="117">
        <v>0</v>
      </c>
      <c r="M190" s="106">
        <v>-0.12068181966439584</v>
      </c>
      <c r="N190" s="117">
        <v>0</v>
      </c>
      <c r="O190" s="117">
        <v>0</v>
      </c>
      <c r="P190" s="117"/>
      <c r="Q190" s="117">
        <v>0</v>
      </c>
      <c r="R190" s="117">
        <v>0</v>
      </c>
      <c r="S190" s="117">
        <v>0</v>
      </c>
      <c r="T190" s="117">
        <v>0</v>
      </c>
      <c r="U190" s="117">
        <v>0</v>
      </c>
      <c r="V190" s="117">
        <v>0</v>
      </c>
      <c r="W190" s="118">
        <v>0</v>
      </c>
    </row>
    <row r="191" spans="1:25">
      <c r="A191" s="15" t="s">
        <v>121</v>
      </c>
      <c r="B191" s="12" t="s">
        <v>4</v>
      </c>
      <c r="C191" s="22" t="s">
        <v>628</v>
      </c>
      <c r="D191" s="21" t="s">
        <v>629</v>
      </c>
      <c r="E191" s="23" t="s">
        <v>33</v>
      </c>
      <c r="F191" s="23" t="s">
        <v>782</v>
      </c>
      <c r="G191" s="157"/>
      <c r="H191" s="157"/>
      <c r="I191" s="157"/>
      <c r="J191" s="157"/>
      <c r="K191" s="157"/>
      <c r="L191" s="117">
        <v>0</v>
      </c>
      <c r="M191" s="117">
        <v>0</v>
      </c>
      <c r="N191" s="138">
        <v>-5.6512795534555224E-2</v>
      </c>
      <c r="O191" s="117">
        <v>0</v>
      </c>
      <c r="P191" s="117">
        <v>0</v>
      </c>
      <c r="Q191" s="117">
        <v>0</v>
      </c>
      <c r="R191" s="117">
        <v>0</v>
      </c>
      <c r="S191" s="117">
        <v>0</v>
      </c>
      <c r="T191" s="117">
        <v>0</v>
      </c>
      <c r="U191" s="117">
        <v>0</v>
      </c>
      <c r="V191" s="117">
        <v>0</v>
      </c>
      <c r="W191" s="118">
        <v>0</v>
      </c>
    </row>
    <row r="192" spans="1:25">
      <c r="A192" s="15" t="s">
        <v>121</v>
      </c>
      <c r="B192" s="12" t="s">
        <v>4</v>
      </c>
      <c r="C192" s="22" t="s">
        <v>630</v>
      </c>
      <c r="D192" s="21" t="s">
        <v>631</v>
      </c>
      <c r="E192" s="23" t="s">
        <v>33</v>
      </c>
      <c r="F192" s="23" t="s">
        <v>781</v>
      </c>
      <c r="G192" s="157"/>
      <c r="H192" s="157"/>
      <c r="I192" s="157"/>
      <c r="J192" s="157"/>
      <c r="K192" s="157"/>
      <c r="L192" s="117">
        <v>0</v>
      </c>
      <c r="M192" s="117">
        <v>0</v>
      </c>
      <c r="N192" s="117">
        <v>-1.6283347865888795E-2</v>
      </c>
      <c r="O192" s="117">
        <v>0</v>
      </c>
      <c r="P192" s="117">
        <v>0</v>
      </c>
      <c r="Q192" s="117">
        <v>0</v>
      </c>
      <c r="R192" s="117">
        <v>0</v>
      </c>
      <c r="S192" s="117">
        <v>0</v>
      </c>
      <c r="T192" s="117">
        <v>0</v>
      </c>
      <c r="U192" s="117">
        <v>0</v>
      </c>
      <c r="V192" s="117">
        <v>0</v>
      </c>
      <c r="W192" s="118">
        <v>0</v>
      </c>
    </row>
    <row r="193" spans="1:23">
      <c r="A193" s="15" t="s">
        <v>121</v>
      </c>
      <c r="B193" s="12" t="s">
        <v>4</v>
      </c>
      <c r="C193" s="22" t="s">
        <v>632</v>
      </c>
      <c r="D193" s="21" t="s">
        <v>633</v>
      </c>
      <c r="E193" s="23" t="s">
        <v>33</v>
      </c>
      <c r="F193" s="23"/>
      <c r="G193" s="157"/>
      <c r="H193" s="157"/>
      <c r="I193" s="157"/>
      <c r="J193" s="157"/>
      <c r="K193" s="157"/>
      <c r="L193" s="117">
        <v>0</v>
      </c>
      <c r="M193" s="117">
        <v>0</v>
      </c>
      <c r="N193" s="117">
        <v>0</v>
      </c>
      <c r="O193" s="117">
        <v>0</v>
      </c>
      <c r="P193" s="117">
        <v>0</v>
      </c>
      <c r="Q193" s="117">
        <v>0</v>
      </c>
      <c r="R193" s="117">
        <v>0</v>
      </c>
      <c r="S193" s="117">
        <v>0</v>
      </c>
      <c r="T193" s="117">
        <v>-6.7049079447777391E-3</v>
      </c>
      <c r="U193" s="117">
        <v>0</v>
      </c>
      <c r="V193" s="117">
        <v>0</v>
      </c>
      <c r="W193" s="118">
        <v>0</v>
      </c>
    </row>
    <row r="194" spans="1:23">
      <c r="A194" s="15" t="s">
        <v>121</v>
      </c>
      <c r="B194" s="12" t="s">
        <v>4</v>
      </c>
      <c r="C194" s="22" t="s">
        <v>658</v>
      </c>
      <c r="D194" s="21" t="s">
        <v>52</v>
      </c>
      <c r="E194" s="23" t="s">
        <v>142</v>
      </c>
      <c r="F194" s="23" t="s">
        <v>529</v>
      </c>
      <c r="G194" s="157"/>
      <c r="H194" s="157"/>
      <c r="I194" s="157"/>
      <c r="J194" s="157"/>
      <c r="K194" s="157"/>
      <c r="L194" s="117">
        <v>0</v>
      </c>
      <c r="M194" s="117">
        <v>0</v>
      </c>
      <c r="N194" s="117">
        <v>-1.2454841080526304E-2</v>
      </c>
      <c r="O194" s="117">
        <v>0</v>
      </c>
      <c r="P194" s="117">
        <v>0</v>
      </c>
      <c r="Q194" s="117">
        <v>0</v>
      </c>
      <c r="R194" s="117">
        <v>0</v>
      </c>
      <c r="S194" s="117">
        <v>0</v>
      </c>
      <c r="T194" s="117">
        <v>0</v>
      </c>
      <c r="U194" s="117">
        <v>0</v>
      </c>
      <c r="V194" s="117">
        <v>0</v>
      </c>
      <c r="W194" s="118">
        <v>0</v>
      </c>
    </row>
    <row r="195" spans="1:23">
      <c r="A195" s="15" t="s">
        <v>121</v>
      </c>
      <c r="B195" s="12" t="s">
        <v>4</v>
      </c>
      <c r="C195" s="28" t="s">
        <v>22</v>
      </c>
      <c r="D195" s="6" t="s">
        <v>24</v>
      </c>
      <c r="E195" s="7" t="s">
        <v>772</v>
      </c>
      <c r="F195" s="7" t="s">
        <v>777</v>
      </c>
      <c r="G195" s="157"/>
      <c r="H195" s="157"/>
      <c r="I195" s="157"/>
      <c r="J195" s="157"/>
      <c r="K195" s="157"/>
      <c r="L195" s="95">
        <v>4.621026469545788E-3</v>
      </c>
      <c r="M195" s="117">
        <v>0</v>
      </c>
      <c r="N195" s="117">
        <v>0</v>
      </c>
      <c r="O195" s="117">
        <v>0</v>
      </c>
      <c r="P195" s="117">
        <v>0</v>
      </c>
      <c r="Q195" s="117">
        <v>0</v>
      </c>
      <c r="R195" s="117">
        <v>0</v>
      </c>
      <c r="S195" s="117">
        <v>0</v>
      </c>
      <c r="T195" s="117">
        <v>0</v>
      </c>
      <c r="U195" s="117">
        <v>0</v>
      </c>
      <c r="V195" s="117">
        <v>0</v>
      </c>
      <c r="W195" s="118">
        <v>0</v>
      </c>
    </row>
    <row r="196" spans="1:23">
      <c r="A196" s="15" t="s">
        <v>121</v>
      </c>
      <c r="B196" s="12" t="s">
        <v>4</v>
      </c>
      <c r="C196" s="28" t="s">
        <v>22</v>
      </c>
      <c r="D196" s="6" t="s">
        <v>145</v>
      </c>
      <c r="E196" s="7" t="s">
        <v>53</v>
      </c>
      <c r="F196" s="7" t="s">
        <v>776</v>
      </c>
      <c r="G196" s="157"/>
      <c r="H196" s="157"/>
      <c r="I196" s="157"/>
      <c r="J196" s="157"/>
      <c r="K196" s="157"/>
      <c r="L196" s="95">
        <v>0</v>
      </c>
      <c r="M196" s="117">
        <v>0</v>
      </c>
      <c r="N196" s="117">
        <v>0</v>
      </c>
      <c r="O196" s="117">
        <v>0</v>
      </c>
      <c r="P196" s="117">
        <v>0</v>
      </c>
      <c r="Q196" s="117">
        <v>0</v>
      </c>
      <c r="R196" s="117">
        <v>0</v>
      </c>
      <c r="S196" s="117">
        <v>0</v>
      </c>
      <c r="T196" s="117">
        <v>0</v>
      </c>
      <c r="U196" s="117">
        <v>0</v>
      </c>
      <c r="V196" s="117">
        <v>0</v>
      </c>
      <c r="W196" s="118">
        <v>0</v>
      </c>
    </row>
    <row r="197" spans="1:23">
      <c r="A197" s="15" t="s">
        <v>121</v>
      </c>
      <c r="B197" s="12" t="s">
        <v>4</v>
      </c>
      <c r="C197" s="28" t="s">
        <v>22</v>
      </c>
      <c r="D197" s="6" t="s">
        <v>140</v>
      </c>
      <c r="E197" s="7" t="s">
        <v>43</v>
      </c>
      <c r="F197" s="7" t="s">
        <v>778</v>
      </c>
      <c r="G197" s="157"/>
      <c r="H197" s="157"/>
      <c r="I197" s="157"/>
      <c r="J197" s="157"/>
      <c r="K197" s="157"/>
      <c r="L197" s="95">
        <v>9.0231091974094207E-4</v>
      </c>
      <c r="M197" s="117">
        <v>0</v>
      </c>
      <c r="N197" s="117">
        <v>0</v>
      </c>
      <c r="O197" s="117">
        <v>0</v>
      </c>
      <c r="P197" s="117">
        <v>0</v>
      </c>
      <c r="Q197" s="117">
        <v>0</v>
      </c>
      <c r="R197" s="117">
        <v>0</v>
      </c>
      <c r="S197" s="117">
        <v>0</v>
      </c>
      <c r="T197" s="117">
        <v>0</v>
      </c>
      <c r="U197" s="117">
        <v>0</v>
      </c>
      <c r="V197" s="117">
        <v>0</v>
      </c>
      <c r="W197" s="118">
        <v>0</v>
      </c>
    </row>
    <row r="198" spans="1:23">
      <c r="A198" s="15" t="s">
        <v>121</v>
      </c>
      <c r="B198" s="12" t="s">
        <v>4</v>
      </c>
      <c r="C198" s="28" t="s">
        <v>22</v>
      </c>
      <c r="D198" s="6" t="s">
        <v>49</v>
      </c>
      <c r="E198" s="7" t="s">
        <v>142</v>
      </c>
      <c r="F198" s="7" t="s">
        <v>529</v>
      </c>
      <c r="G198" s="157"/>
      <c r="H198" s="157"/>
      <c r="I198" s="157"/>
      <c r="J198" s="157"/>
      <c r="K198" s="157"/>
      <c r="L198" s="95">
        <v>4.7897870964156118E-3</v>
      </c>
      <c r="M198" s="117">
        <v>0</v>
      </c>
      <c r="N198" s="117">
        <v>0</v>
      </c>
      <c r="O198" s="117">
        <v>0</v>
      </c>
      <c r="P198" s="117">
        <v>0</v>
      </c>
      <c r="Q198" s="117">
        <v>0</v>
      </c>
      <c r="R198" s="117">
        <v>0</v>
      </c>
      <c r="S198" s="117">
        <v>0</v>
      </c>
      <c r="T198" s="117">
        <v>0</v>
      </c>
      <c r="U198" s="117">
        <v>0</v>
      </c>
      <c r="V198" s="117">
        <v>0</v>
      </c>
      <c r="W198" s="118">
        <v>0</v>
      </c>
    </row>
    <row r="199" spans="1:23">
      <c r="A199" s="15" t="s">
        <v>121</v>
      </c>
      <c r="B199" s="12" t="s">
        <v>4</v>
      </c>
      <c r="C199" s="28" t="s">
        <v>22</v>
      </c>
      <c r="D199" s="6" t="s">
        <v>58</v>
      </c>
      <c r="E199" s="7" t="s">
        <v>58</v>
      </c>
      <c r="F199" s="7"/>
      <c r="G199" s="157"/>
      <c r="H199" s="157"/>
      <c r="I199" s="157"/>
      <c r="J199" s="157"/>
      <c r="K199" s="157"/>
      <c r="L199" s="95">
        <v>1.1702987290991108E-2</v>
      </c>
      <c r="M199" s="117">
        <v>0</v>
      </c>
      <c r="N199" s="117">
        <v>0</v>
      </c>
      <c r="O199" s="117">
        <v>0</v>
      </c>
      <c r="P199" s="117">
        <v>0</v>
      </c>
      <c r="Q199" s="117">
        <v>0</v>
      </c>
      <c r="R199" s="117">
        <v>0</v>
      </c>
      <c r="S199" s="117">
        <v>0</v>
      </c>
      <c r="T199" s="117">
        <v>0</v>
      </c>
      <c r="U199" s="117">
        <v>0</v>
      </c>
      <c r="V199" s="117">
        <v>0</v>
      </c>
      <c r="W199" s="118">
        <v>0</v>
      </c>
    </row>
    <row r="200" spans="1:23" s="10" customFormat="1">
      <c r="A200" s="19" t="s">
        <v>121</v>
      </c>
      <c r="B200" s="18" t="s">
        <v>4</v>
      </c>
      <c r="C200" s="40" t="s">
        <v>22</v>
      </c>
      <c r="D200" s="41" t="s">
        <v>33</v>
      </c>
      <c r="E200" s="42" t="s">
        <v>33</v>
      </c>
      <c r="F200" s="42"/>
      <c r="G200" s="158"/>
      <c r="H200" s="158"/>
      <c r="I200" s="158"/>
      <c r="J200" s="158"/>
      <c r="K200" s="158"/>
      <c r="L200" s="130">
        <v>1.7877965438451014E-2</v>
      </c>
      <c r="M200" s="121">
        <v>0</v>
      </c>
      <c r="N200" s="121">
        <v>0</v>
      </c>
      <c r="O200" s="121">
        <v>0</v>
      </c>
      <c r="P200" s="121">
        <v>0</v>
      </c>
      <c r="Q200" s="121">
        <v>0</v>
      </c>
      <c r="R200" s="121">
        <v>0</v>
      </c>
      <c r="S200" s="121">
        <v>0</v>
      </c>
      <c r="T200" s="121">
        <v>0</v>
      </c>
      <c r="U200" s="121">
        <v>0</v>
      </c>
      <c r="V200" s="121">
        <v>0</v>
      </c>
      <c r="W200" s="122">
        <v>0</v>
      </c>
    </row>
    <row r="201" spans="1:23" outlineLevel="1">
      <c r="A201" s="15" t="s">
        <v>121</v>
      </c>
      <c r="B201" s="12" t="s">
        <v>4</v>
      </c>
      <c r="C201" s="22" t="s">
        <v>659</v>
      </c>
      <c r="D201" s="21" t="s">
        <v>660</v>
      </c>
      <c r="E201" s="23" t="s">
        <v>142</v>
      </c>
      <c r="F201" s="23" t="s">
        <v>529</v>
      </c>
      <c r="G201" s="316">
        <v>-6.5512668125779272E-2</v>
      </c>
      <c r="H201" s="316">
        <v>0</v>
      </c>
      <c r="I201" s="316">
        <v>0</v>
      </c>
      <c r="J201" s="316">
        <v>0</v>
      </c>
      <c r="K201" s="316">
        <v>0</v>
      </c>
      <c r="L201" s="318"/>
      <c r="M201" s="318"/>
      <c r="N201" s="318"/>
      <c r="O201" s="318"/>
      <c r="P201" s="318"/>
      <c r="Q201" s="318"/>
      <c r="R201" s="318"/>
      <c r="S201" s="318"/>
      <c r="T201" s="318"/>
      <c r="U201" s="318"/>
      <c r="V201" s="318"/>
      <c r="W201" s="206"/>
    </row>
    <row r="202" spans="1:23" outlineLevel="1">
      <c r="A202" s="15" t="s">
        <v>121</v>
      </c>
      <c r="B202" s="12" t="s">
        <v>4</v>
      </c>
      <c r="C202" s="22" t="s">
        <v>579</v>
      </c>
      <c r="D202" s="21" t="s">
        <v>580</v>
      </c>
      <c r="E202" s="23" t="s">
        <v>58</v>
      </c>
      <c r="F202" s="23" t="s">
        <v>775</v>
      </c>
      <c r="G202" s="316">
        <v>0</v>
      </c>
      <c r="H202" s="316">
        <v>-9.02395588481519E-3</v>
      </c>
      <c r="I202" s="316">
        <v>0</v>
      </c>
      <c r="J202" s="316">
        <v>0</v>
      </c>
      <c r="K202" s="316">
        <v>0</v>
      </c>
      <c r="L202" s="318"/>
      <c r="M202" s="318"/>
      <c r="N202" s="318"/>
      <c r="O202" s="318"/>
      <c r="P202" s="318"/>
      <c r="Q202" s="318"/>
      <c r="R202" s="318"/>
      <c r="S202" s="318"/>
      <c r="T202" s="318"/>
      <c r="U202" s="318"/>
      <c r="V202" s="318"/>
      <c r="W202" s="206"/>
    </row>
    <row r="203" spans="1:23" outlineLevel="1">
      <c r="A203" s="15" t="s">
        <v>121</v>
      </c>
      <c r="B203" s="12" t="s">
        <v>4</v>
      </c>
      <c r="C203" s="22" t="s">
        <v>661</v>
      </c>
      <c r="D203" s="21" t="s">
        <v>606</v>
      </c>
      <c r="E203" s="23" t="s">
        <v>772</v>
      </c>
      <c r="F203" s="23" t="s">
        <v>780</v>
      </c>
      <c r="G203" s="316">
        <v>-1.8374078849804384E-3</v>
      </c>
      <c r="H203" s="316">
        <v>0</v>
      </c>
      <c r="I203" s="316">
        <v>0</v>
      </c>
      <c r="J203" s="316">
        <v>0</v>
      </c>
      <c r="K203" s="316">
        <v>0</v>
      </c>
      <c r="L203" s="318"/>
      <c r="M203" s="318"/>
      <c r="N203" s="318"/>
      <c r="O203" s="318"/>
      <c r="P203" s="318"/>
      <c r="Q203" s="318"/>
      <c r="R203" s="318"/>
      <c r="S203" s="318"/>
      <c r="T203" s="318"/>
      <c r="U203" s="318"/>
      <c r="V203" s="318"/>
      <c r="W203" s="206"/>
    </row>
    <row r="204" spans="1:23" outlineLevel="1">
      <c r="A204" s="15" t="s">
        <v>121</v>
      </c>
      <c r="B204" s="12" t="s">
        <v>4</v>
      </c>
      <c r="C204" s="22" t="s">
        <v>581</v>
      </c>
      <c r="D204" s="21" t="s">
        <v>582</v>
      </c>
      <c r="E204" s="23" t="s">
        <v>53</v>
      </c>
      <c r="F204" s="23" t="s">
        <v>776</v>
      </c>
      <c r="G204" s="316">
        <v>0</v>
      </c>
      <c r="H204" s="316">
        <v>0</v>
      </c>
      <c r="I204" s="316">
        <v>0</v>
      </c>
      <c r="J204" s="316">
        <v>0</v>
      </c>
      <c r="K204" s="316">
        <v>-7.664517588016187E-3</v>
      </c>
      <c r="L204" s="318"/>
      <c r="M204" s="318"/>
      <c r="N204" s="318"/>
      <c r="O204" s="318"/>
      <c r="P204" s="318"/>
      <c r="Q204" s="318"/>
      <c r="R204" s="318"/>
      <c r="S204" s="318"/>
      <c r="T204" s="318"/>
      <c r="U204" s="318"/>
      <c r="V204" s="318"/>
      <c r="W204" s="206"/>
    </row>
    <row r="205" spans="1:23" outlineLevel="1">
      <c r="A205" s="15" t="s">
        <v>121</v>
      </c>
      <c r="B205" s="12" t="s">
        <v>4</v>
      </c>
      <c r="C205" s="22" t="s">
        <v>662</v>
      </c>
      <c r="D205" s="21" t="s">
        <v>638</v>
      </c>
      <c r="E205" s="84" t="s">
        <v>772</v>
      </c>
      <c r="F205" s="84" t="s">
        <v>777</v>
      </c>
      <c r="G205" s="316">
        <v>0</v>
      </c>
      <c r="H205" s="316">
        <v>0</v>
      </c>
      <c r="I205" s="316">
        <v>0</v>
      </c>
      <c r="J205" s="316">
        <v>8.6225822865182104E-3</v>
      </c>
      <c r="K205" s="316">
        <v>0</v>
      </c>
      <c r="L205" s="318"/>
      <c r="M205" s="318"/>
      <c r="N205" s="318"/>
      <c r="O205" s="318"/>
      <c r="P205" s="318"/>
      <c r="Q205" s="318"/>
      <c r="R205" s="318"/>
      <c r="S205" s="318"/>
      <c r="T205" s="318"/>
      <c r="U205" s="318"/>
      <c r="V205" s="318"/>
      <c r="W205" s="206"/>
    </row>
    <row r="206" spans="1:23" outlineLevel="1">
      <c r="A206" s="15" t="s">
        <v>121</v>
      </c>
      <c r="B206" s="12" t="s">
        <v>4</v>
      </c>
      <c r="C206" s="22" t="s">
        <v>663</v>
      </c>
      <c r="D206" s="21" t="s">
        <v>664</v>
      </c>
      <c r="E206" s="23" t="s">
        <v>58</v>
      </c>
      <c r="F206" s="23" t="s">
        <v>775</v>
      </c>
      <c r="G206" s="316">
        <v>-1.5200201353810828E-2</v>
      </c>
      <c r="H206" s="316">
        <v>0</v>
      </c>
      <c r="I206" s="316">
        <v>0</v>
      </c>
      <c r="J206" s="316">
        <v>0</v>
      </c>
      <c r="K206" s="316">
        <v>0</v>
      </c>
      <c r="L206" s="318"/>
      <c r="M206" s="318"/>
      <c r="N206" s="318"/>
      <c r="O206" s="318"/>
      <c r="P206" s="318"/>
      <c r="Q206" s="318"/>
      <c r="R206" s="318"/>
      <c r="S206" s="318"/>
      <c r="T206" s="318"/>
      <c r="U206" s="318"/>
      <c r="V206" s="318"/>
      <c r="W206" s="206"/>
    </row>
    <row r="207" spans="1:23" outlineLevel="1">
      <c r="A207" s="15" t="s">
        <v>121</v>
      </c>
      <c r="B207" s="12" t="s">
        <v>4</v>
      </c>
      <c r="C207" s="22" t="s">
        <v>665</v>
      </c>
      <c r="D207" s="21" t="s">
        <v>666</v>
      </c>
      <c r="E207" s="23" t="s">
        <v>58</v>
      </c>
      <c r="F207" s="23" t="s">
        <v>416</v>
      </c>
      <c r="G207" s="316">
        <v>-3.8481445671344266E-3</v>
      </c>
      <c r="H207" s="316">
        <v>0</v>
      </c>
      <c r="I207" s="316">
        <v>0</v>
      </c>
      <c r="J207" s="316">
        <v>0</v>
      </c>
      <c r="K207" s="316">
        <v>0</v>
      </c>
      <c r="L207" s="318"/>
      <c r="M207" s="318"/>
      <c r="N207" s="318"/>
      <c r="O207" s="318"/>
      <c r="P207" s="318"/>
      <c r="Q207" s="318"/>
      <c r="R207" s="318"/>
      <c r="S207" s="318"/>
      <c r="T207" s="318"/>
      <c r="U207" s="318"/>
      <c r="V207" s="318"/>
      <c r="W207" s="206"/>
    </row>
    <row r="208" spans="1:23" outlineLevel="1">
      <c r="A208" s="15" t="s">
        <v>121</v>
      </c>
      <c r="B208" s="12" t="s">
        <v>4</v>
      </c>
      <c r="C208" s="22" t="s">
        <v>584</v>
      </c>
      <c r="D208" s="21" t="s">
        <v>584</v>
      </c>
      <c r="E208" s="23" t="s">
        <v>772</v>
      </c>
      <c r="F208" s="23" t="s">
        <v>779</v>
      </c>
      <c r="G208" s="316">
        <v>9.5675676851080243E-4</v>
      </c>
      <c r="H208" s="316">
        <v>0</v>
      </c>
      <c r="I208" s="316">
        <v>0</v>
      </c>
      <c r="J208" s="316">
        <v>0</v>
      </c>
      <c r="K208" s="316">
        <v>0</v>
      </c>
      <c r="L208" s="318"/>
      <c r="M208" s="318"/>
      <c r="N208" s="318"/>
      <c r="O208" s="318"/>
      <c r="P208" s="318"/>
      <c r="Q208" s="318"/>
      <c r="R208" s="318"/>
      <c r="S208" s="318"/>
      <c r="T208" s="318"/>
      <c r="U208" s="318"/>
      <c r="V208" s="318"/>
      <c r="W208" s="206"/>
    </row>
    <row r="209" spans="1:32" outlineLevel="1">
      <c r="A209" s="15" t="s">
        <v>121</v>
      </c>
      <c r="B209" s="12" t="s">
        <v>4</v>
      </c>
      <c r="C209" s="22" t="s">
        <v>585</v>
      </c>
      <c r="D209" s="21" t="s">
        <v>586</v>
      </c>
      <c r="E209" s="23" t="s">
        <v>33</v>
      </c>
      <c r="F209" s="23" t="s">
        <v>781</v>
      </c>
      <c r="G209" s="316">
        <v>0</v>
      </c>
      <c r="H209" s="316">
        <v>-8.1541770043510684E-3</v>
      </c>
      <c r="I209" s="316">
        <v>0</v>
      </c>
      <c r="J209" s="316">
        <v>0</v>
      </c>
      <c r="K209" s="316">
        <v>0</v>
      </c>
      <c r="L209" s="318"/>
      <c r="M209" s="318"/>
      <c r="N209" s="318"/>
      <c r="O209" s="318"/>
      <c r="P209" s="318"/>
      <c r="Q209" s="318"/>
      <c r="R209" s="318"/>
      <c r="S209" s="318"/>
      <c r="T209" s="318"/>
      <c r="U209" s="318"/>
      <c r="V209" s="318"/>
      <c r="W209" s="206"/>
    </row>
    <row r="210" spans="1:32" outlineLevel="1">
      <c r="A210" s="15" t="s">
        <v>121</v>
      </c>
      <c r="B210" s="12" t="s">
        <v>4</v>
      </c>
      <c r="C210" s="22" t="s">
        <v>117</v>
      </c>
      <c r="D210" s="21" t="s">
        <v>117</v>
      </c>
      <c r="E210" s="23" t="s">
        <v>33</v>
      </c>
      <c r="F210" s="23"/>
      <c r="G210" s="316">
        <v>0</v>
      </c>
      <c r="H210" s="316">
        <v>0</v>
      </c>
      <c r="I210" s="316">
        <v>0</v>
      </c>
      <c r="J210" s="316">
        <v>1.9161293970040467E-2</v>
      </c>
      <c r="K210" s="316">
        <v>0</v>
      </c>
      <c r="L210" s="318"/>
      <c r="M210" s="318"/>
      <c r="N210" s="318"/>
      <c r="O210" s="318"/>
      <c r="P210" s="318"/>
      <c r="Q210" s="318"/>
      <c r="R210" s="318"/>
      <c r="S210" s="318"/>
      <c r="T210" s="318"/>
      <c r="U210" s="318"/>
      <c r="V210" s="318"/>
      <c r="W210" s="206"/>
    </row>
    <row r="211" spans="1:32">
      <c r="A211" s="200" t="s">
        <v>121</v>
      </c>
      <c r="B211" s="200" t="s">
        <v>251</v>
      </c>
      <c r="C211" s="200"/>
      <c r="D211" s="200"/>
      <c r="E211" s="200"/>
      <c r="F211" s="200"/>
      <c r="G211" s="201">
        <v>2.1951355191555204</v>
      </c>
      <c r="H211" s="201">
        <v>2.2111084311277258</v>
      </c>
      <c r="I211" s="201">
        <v>2.2107583201958061</v>
      </c>
      <c r="J211" s="201">
        <v>2.2029299095160635</v>
      </c>
      <c r="K211" s="201">
        <v>2.2029299095160635</v>
      </c>
      <c r="L211" s="201">
        <f>MoDi!D69</f>
        <v>2.2029299095160635</v>
      </c>
      <c r="M211" s="201">
        <f>MoDi!E69</f>
        <v>2.1859353705676092</v>
      </c>
      <c r="N211" s="201">
        <f>MoDi!F69</f>
        <v>2.1663339902285306</v>
      </c>
      <c r="O211" s="201">
        <f>MoDi!G69</f>
        <v>2.1467163508041121</v>
      </c>
      <c r="P211" s="235">
        <f>MoDi!H69</f>
        <v>2.1412991115490567</v>
      </c>
      <c r="Q211" s="235">
        <f>MoDi!I69</f>
        <v>2.1775605795975825</v>
      </c>
      <c r="R211" s="201">
        <f>MoDi!J69</f>
        <v>2.1488960620095665</v>
      </c>
      <c r="S211" s="201">
        <f>MoDi!K69</f>
        <v>2.1259622644007128</v>
      </c>
      <c r="T211" s="201">
        <f>MoDi!L69</f>
        <v>2.1235703724794366</v>
      </c>
      <c r="U211" s="201">
        <f>MoDi!M69</f>
        <v>2.1627104221003215</v>
      </c>
      <c r="V211" s="201">
        <f>MoDi!N69</f>
        <v>2.1627104221003215</v>
      </c>
      <c r="W211" s="201">
        <f>MoDi!O69</f>
        <v>2.1627104221003215</v>
      </c>
    </row>
    <row r="212" spans="1:32" outlineLevel="1">
      <c r="A212" s="15" t="s">
        <v>121</v>
      </c>
      <c r="B212" s="13" t="s">
        <v>5</v>
      </c>
      <c r="C212" s="34" t="s">
        <v>659</v>
      </c>
      <c r="D212" s="34" t="s">
        <v>660</v>
      </c>
      <c r="E212" s="31" t="s">
        <v>142</v>
      </c>
      <c r="F212" s="31" t="s">
        <v>529</v>
      </c>
      <c r="G212" s="316">
        <v>-6.5512668125779258E-2</v>
      </c>
      <c r="H212" s="316"/>
      <c r="I212" s="316"/>
      <c r="J212" s="316"/>
      <c r="K212" s="316"/>
      <c r="L212" s="170"/>
      <c r="M212" s="317"/>
      <c r="N212" s="317"/>
      <c r="O212" s="317"/>
      <c r="P212" s="317"/>
      <c r="Q212" s="317"/>
      <c r="R212" s="317"/>
      <c r="S212" s="317"/>
      <c r="T212" s="317"/>
      <c r="U212" s="317"/>
      <c r="V212" s="317"/>
      <c r="W212" s="317"/>
    </row>
    <row r="213" spans="1:32" outlineLevel="1">
      <c r="A213" s="15" t="s">
        <v>121</v>
      </c>
      <c r="B213" s="13" t="s">
        <v>5</v>
      </c>
      <c r="C213" s="34" t="s">
        <v>661</v>
      </c>
      <c r="D213" s="34" t="s">
        <v>606</v>
      </c>
      <c r="E213" s="31" t="s">
        <v>772</v>
      </c>
      <c r="F213" s="31" t="s">
        <v>780</v>
      </c>
      <c r="G213" s="316">
        <v>-1.8374078849804404E-3</v>
      </c>
      <c r="H213" s="316">
        <v>-1.6580159908847166E-3</v>
      </c>
      <c r="I213" s="316"/>
      <c r="J213" s="316"/>
      <c r="K213" s="316"/>
      <c r="L213" s="170"/>
      <c r="M213" s="317"/>
      <c r="N213" s="317"/>
      <c r="O213" s="317"/>
      <c r="P213" s="317"/>
      <c r="Q213" s="317"/>
      <c r="R213" s="317"/>
      <c r="S213" s="317"/>
      <c r="T213" s="317"/>
      <c r="U213" s="317"/>
      <c r="V213" s="317"/>
      <c r="W213" s="317"/>
    </row>
    <row r="214" spans="1:32" outlineLevel="1">
      <c r="A214" s="15" t="s">
        <v>121</v>
      </c>
      <c r="B214" s="13" t="s">
        <v>5</v>
      </c>
      <c r="C214" s="34" t="s">
        <v>581</v>
      </c>
      <c r="D214" s="34" t="s">
        <v>582</v>
      </c>
      <c r="E214" s="31" t="s">
        <v>53</v>
      </c>
      <c r="F214" s="31" t="s">
        <v>776</v>
      </c>
      <c r="G214" s="316"/>
      <c r="H214" s="316"/>
      <c r="I214" s="316"/>
      <c r="J214" s="316">
        <v>-7.6105652040602033E-3</v>
      </c>
      <c r="K214" s="316"/>
      <c r="L214" s="170"/>
      <c r="M214" s="317"/>
      <c r="N214" s="317"/>
      <c r="O214" s="317"/>
      <c r="P214" s="317"/>
      <c r="Q214" s="317"/>
      <c r="R214" s="317"/>
      <c r="S214" s="317"/>
      <c r="T214" s="317"/>
      <c r="U214" s="317"/>
      <c r="V214" s="317"/>
      <c r="W214" s="317"/>
    </row>
    <row r="215" spans="1:32" outlineLevel="1">
      <c r="A215" s="15" t="s">
        <v>121</v>
      </c>
      <c r="B215" s="13" t="s">
        <v>5</v>
      </c>
      <c r="C215" s="34" t="s">
        <v>389</v>
      </c>
      <c r="D215" s="34" t="s">
        <v>389</v>
      </c>
      <c r="E215" s="31" t="s">
        <v>58</v>
      </c>
      <c r="F215" s="31"/>
      <c r="G215" s="316"/>
      <c r="H215" s="316">
        <v>2.933106996839244E-3</v>
      </c>
      <c r="I215" s="316"/>
      <c r="J215" s="316"/>
      <c r="K215" s="316"/>
      <c r="L215" s="170"/>
      <c r="M215" s="317"/>
      <c r="N215" s="317"/>
      <c r="O215" s="317"/>
      <c r="P215" s="317"/>
      <c r="Q215" s="317"/>
      <c r="R215" s="317"/>
      <c r="S215" s="317"/>
      <c r="T215" s="317"/>
      <c r="U215" s="317"/>
      <c r="V215" s="317"/>
      <c r="W215" s="317"/>
    </row>
    <row r="216" spans="1:32" outlineLevel="1">
      <c r="A216" s="15" t="s">
        <v>121</v>
      </c>
      <c r="B216" s="13" t="s">
        <v>5</v>
      </c>
      <c r="C216" s="34" t="s">
        <v>614</v>
      </c>
      <c r="D216" s="34" t="s">
        <v>615</v>
      </c>
      <c r="E216" s="31" t="s">
        <v>58</v>
      </c>
      <c r="F216" s="31" t="s">
        <v>775</v>
      </c>
      <c r="G216" s="316">
        <v>-1.5200201353810835E-2</v>
      </c>
      <c r="H216" s="316"/>
      <c r="I216" s="316"/>
      <c r="J216" s="316"/>
      <c r="K216" s="316"/>
      <c r="L216" s="170"/>
      <c r="M216" s="317"/>
      <c r="N216" s="317"/>
      <c r="O216" s="317"/>
      <c r="P216" s="317"/>
      <c r="Q216" s="317"/>
      <c r="R216" s="317"/>
      <c r="S216" s="317"/>
      <c r="T216" s="317"/>
      <c r="U216" s="317"/>
      <c r="V216" s="317"/>
      <c r="W216" s="317"/>
    </row>
    <row r="217" spans="1:32" outlineLevel="1">
      <c r="A217" s="15" t="s">
        <v>121</v>
      </c>
      <c r="B217" s="13" t="s">
        <v>5</v>
      </c>
      <c r="C217" s="34" t="s">
        <v>665</v>
      </c>
      <c r="D217" s="34" t="s">
        <v>666</v>
      </c>
      <c r="E217" s="31" t="s">
        <v>58</v>
      </c>
      <c r="F217" s="31" t="s">
        <v>416</v>
      </c>
      <c r="G217" s="316">
        <v>-3.848144567134431E-3</v>
      </c>
      <c r="H217" s="316">
        <v>1.0349051567754712E-4</v>
      </c>
      <c r="I217" s="316">
        <v>-2.7786581899535008E-6</v>
      </c>
      <c r="J217" s="316">
        <v>-2.1784547568209041E-4</v>
      </c>
      <c r="K217" s="316"/>
      <c r="L217" s="170"/>
      <c r="M217" s="317"/>
      <c r="N217" s="317"/>
      <c r="O217" s="317"/>
      <c r="P217" s="317"/>
      <c r="Q217" s="317"/>
      <c r="R217" s="317"/>
      <c r="S217" s="317"/>
      <c r="T217" s="317"/>
      <c r="U217" s="317"/>
      <c r="V217" s="317"/>
      <c r="W217" s="317"/>
    </row>
    <row r="218" spans="1:32" outlineLevel="1">
      <c r="A218" s="15" t="s">
        <v>121</v>
      </c>
      <c r="B218" s="13" t="s">
        <v>5</v>
      </c>
      <c r="C218" s="34" t="s">
        <v>584</v>
      </c>
      <c r="D218" s="34" t="s">
        <v>584</v>
      </c>
      <c r="E218" s="31" t="s">
        <v>772</v>
      </c>
      <c r="F218" s="31" t="s">
        <v>779</v>
      </c>
      <c r="G218" s="316">
        <v>9.5675676851080199E-4</v>
      </c>
      <c r="H218" s="316"/>
      <c r="I218" s="316"/>
      <c r="J218" s="316"/>
      <c r="K218" s="316"/>
      <c r="L218" s="170"/>
      <c r="M218" s="317"/>
      <c r="N218" s="317"/>
      <c r="O218" s="317"/>
      <c r="P218" s="317"/>
      <c r="Q218" s="317"/>
      <c r="R218" s="317"/>
      <c r="S218" s="317"/>
      <c r="T218" s="317"/>
      <c r="U218" s="317"/>
      <c r="V218" s="317"/>
      <c r="W218" s="317"/>
    </row>
    <row r="219" spans="1:32" outlineLevel="1">
      <c r="A219" s="15" t="s">
        <v>121</v>
      </c>
      <c r="B219" s="13" t="s">
        <v>5</v>
      </c>
      <c r="C219" s="34" t="s">
        <v>585</v>
      </c>
      <c r="D219" s="34" t="s">
        <v>586</v>
      </c>
      <c r="E219" s="31" t="s">
        <v>33</v>
      </c>
      <c r="F219" s="31" t="s">
        <v>781</v>
      </c>
      <c r="G219" s="316"/>
      <c r="H219" s="316">
        <v>-7.6105652040610273E-3</v>
      </c>
      <c r="I219" s="316"/>
      <c r="J219" s="316"/>
      <c r="K219" s="316"/>
      <c r="L219" s="170"/>
      <c r="M219" s="317"/>
      <c r="N219" s="317"/>
      <c r="O219" s="317"/>
      <c r="P219" s="317"/>
      <c r="Q219" s="317"/>
      <c r="R219" s="317"/>
      <c r="S219" s="317"/>
      <c r="T219" s="317"/>
      <c r="U219" s="317"/>
      <c r="V219" s="317"/>
      <c r="W219" s="317"/>
    </row>
    <row r="220" spans="1:32" outlineLevel="1">
      <c r="A220" s="15" t="s">
        <v>121</v>
      </c>
      <c r="B220" s="13" t="s">
        <v>5</v>
      </c>
      <c r="C220" s="34" t="s">
        <v>616</v>
      </c>
      <c r="D220" s="34" t="s">
        <v>667</v>
      </c>
      <c r="E220" s="31" t="s">
        <v>772</v>
      </c>
      <c r="F220" s="29" t="s">
        <v>777</v>
      </c>
      <c r="G220" s="316"/>
      <c r="H220" s="316">
        <v>2.2204895654634137E-2</v>
      </c>
      <c r="I220" s="316">
        <v>5.2606162645018489E-4</v>
      </c>
      <c r="J220" s="316"/>
      <c r="K220" s="316"/>
      <c r="L220" s="170"/>
      <c r="M220" s="317"/>
      <c r="N220" s="317"/>
      <c r="O220" s="317"/>
      <c r="P220" s="317"/>
      <c r="Q220" s="317"/>
      <c r="R220" s="317"/>
      <c r="S220" s="317"/>
      <c r="T220" s="317"/>
      <c r="U220" s="317"/>
      <c r="V220" s="317"/>
      <c r="W220" s="317"/>
    </row>
    <row r="221" spans="1:32" outlineLevel="1">
      <c r="A221" s="15" t="s">
        <v>121</v>
      </c>
      <c r="B221" s="13" t="s">
        <v>5</v>
      </c>
      <c r="C221" s="34" t="s">
        <v>272</v>
      </c>
      <c r="D221" s="34" t="s">
        <v>51</v>
      </c>
      <c r="E221" s="31" t="s">
        <v>142</v>
      </c>
      <c r="F221" s="31" t="s">
        <v>529</v>
      </c>
      <c r="G221" s="316"/>
      <c r="H221" s="316"/>
      <c r="I221" s="316">
        <v>-8.733939001800391E-4</v>
      </c>
      <c r="J221" s="316"/>
      <c r="K221" s="316"/>
      <c r="L221" s="170"/>
      <c r="M221" s="317"/>
      <c r="N221" s="317"/>
      <c r="O221" s="317"/>
      <c r="P221" s="317"/>
      <c r="Q221" s="317"/>
      <c r="R221" s="317"/>
      <c r="S221" s="317"/>
      <c r="T221" s="317"/>
      <c r="U221" s="317"/>
      <c r="V221" s="317"/>
      <c r="W221" s="317"/>
    </row>
    <row r="222" spans="1:32">
      <c r="A222" s="15" t="s">
        <v>121</v>
      </c>
      <c r="B222" s="13" t="s">
        <v>5</v>
      </c>
      <c r="C222" s="34" t="s">
        <v>662</v>
      </c>
      <c r="D222" s="34" t="s">
        <v>638</v>
      </c>
      <c r="E222" s="319" t="s">
        <v>772</v>
      </c>
      <c r="F222" s="319" t="s">
        <v>777</v>
      </c>
      <c r="G222" s="161"/>
      <c r="H222" s="161"/>
      <c r="I222" s="161"/>
      <c r="J222" s="161"/>
      <c r="K222" s="161"/>
      <c r="L222" s="34"/>
      <c r="M222" s="32"/>
      <c r="N222" s="32"/>
      <c r="O222" s="43"/>
      <c r="P222" s="43"/>
      <c r="Q222" s="239"/>
      <c r="R222" s="43"/>
      <c r="S222" s="43"/>
      <c r="T222" s="43"/>
      <c r="U222" s="43"/>
      <c r="V222" s="43"/>
      <c r="W222" s="43"/>
    </row>
    <row r="223" spans="1:32">
      <c r="A223" s="15" t="s">
        <v>121</v>
      </c>
      <c r="B223" s="13" t="s">
        <v>5</v>
      </c>
      <c r="C223" s="34" t="s">
        <v>665</v>
      </c>
      <c r="D223" s="34" t="s">
        <v>666</v>
      </c>
      <c r="E223" s="31" t="s">
        <v>58</v>
      </c>
      <c r="F223" s="31" t="s">
        <v>416</v>
      </c>
      <c r="G223" s="161"/>
      <c r="H223" s="161"/>
      <c r="I223" s="161"/>
      <c r="J223" s="161"/>
      <c r="K223" s="161"/>
      <c r="L223" s="34"/>
      <c r="M223" s="32">
        <v>-4.7141643291830932E-5</v>
      </c>
      <c r="N223" s="32">
        <v>-1.210514756885932E-4</v>
      </c>
      <c r="O223" s="43">
        <v>-1.5569555098741538E-4</v>
      </c>
      <c r="P223" s="43"/>
      <c r="Q223" s="43"/>
      <c r="R223" s="43"/>
      <c r="S223" s="43"/>
      <c r="T223" s="43"/>
      <c r="U223" s="43"/>
      <c r="V223" s="43"/>
      <c r="W223" s="43"/>
      <c r="Z223" t="s">
        <v>388</v>
      </c>
      <c r="AA223" s="88">
        <f>SUM(M223:U233)</f>
        <v>-5.4337016723200002E-2</v>
      </c>
      <c r="AD223" s="132" t="s">
        <v>668</v>
      </c>
      <c r="AE223" s="137" t="s">
        <v>11</v>
      </c>
      <c r="AF223" t="s">
        <v>669</v>
      </c>
    </row>
    <row r="224" spans="1:32">
      <c r="A224" s="15" t="s">
        <v>121</v>
      </c>
      <c r="B224" s="13" t="s">
        <v>5</v>
      </c>
      <c r="C224" s="34" t="s">
        <v>557</v>
      </c>
      <c r="D224" s="34" t="s">
        <v>558</v>
      </c>
      <c r="E224" s="31" t="s">
        <v>53</v>
      </c>
      <c r="F224" s="31" t="s">
        <v>776</v>
      </c>
      <c r="G224" s="161"/>
      <c r="H224" s="161"/>
      <c r="I224" s="161"/>
      <c r="J224" s="161"/>
      <c r="K224" s="161"/>
      <c r="L224" s="34"/>
      <c r="M224" s="32"/>
      <c r="N224" s="32"/>
      <c r="O224" s="43"/>
      <c r="P224" s="43"/>
      <c r="Q224" s="43"/>
      <c r="R224" s="43">
        <v>-7.664517588016187E-3</v>
      </c>
      <c r="S224" s="43"/>
      <c r="T224" s="43"/>
      <c r="U224" s="43"/>
      <c r="V224" s="43"/>
      <c r="W224" s="43"/>
      <c r="Z224" t="s">
        <v>670</v>
      </c>
      <c r="AA224" s="88" t="e">
        <f>SUM(O222,#REF!,P234)</f>
        <v>#REF!</v>
      </c>
      <c r="AC224" s="22" t="s">
        <v>628</v>
      </c>
      <c r="AD224">
        <v>5.6512795534555203E-2</v>
      </c>
      <c r="AE224" s="88">
        <f>-N225</f>
        <v>1.4133906807541854E-2</v>
      </c>
      <c r="AF224" s="3">
        <f>AE224-AD224</f>
        <v>-4.2378888727013349E-2</v>
      </c>
    </row>
    <row r="225" spans="1:23">
      <c r="A225" s="15" t="s">
        <v>121</v>
      </c>
      <c r="B225" s="13" t="s">
        <v>5</v>
      </c>
      <c r="C225" s="34" t="s">
        <v>628</v>
      </c>
      <c r="D225" s="34" t="s">
        <v>629</v>
      </c>
      <c r="E225" s="31" t="s">
        <v>33</v>
      </c>
      <c r="F225" s="29" t="s">
        <v>782</v>
      </c>
      <c r="G225" s="161"/>
      <c r="H225" s="161"/>
      <c r="I225" s="161"/>
      <c r="J225" s="161"/>
      <c r="K225" s="161"/>
      <c r="L225" s="34"/>
      <c r="M225" s="32"/>
      <c r="N225" s="43">
        <v>-1.4133906807541854E-2</v>
      </c>
      <c r="O225" s="43"/>
      <c r="P225" s="43"/>
      <c r="Q225" s="43"/>
      <c r="R225" s="43"/>
      <c r="S225" s="43"/>
      <c r="T225" s="43"/>
      <c r="U225" s="43"/>
      <c r="V225" s="43"/>
      <c r="W225" s="43"/>
    </row>
    <row r="226" spans="1:23">
      <c r="A226" s="15" t="s">
        <v>121</v>
      </c>
      <c r="B226" s="13" t="s">
        <v>5</v>
      </c>
      <c r="C226" s="34" t="s">
        <v>630</v>
      </c>
      <c r="D226" s="34" t="s">
        <v>631</v>
      </c>
      <c r="E226" s="31" t="s">
        <v>33</v>
      </c>
      <c r="F226" s="31" t="s">
        <v>781</v>
      </c>
      <c r="G226" s="161"/>
      <c r="H226" s="161"/>
      <c r="I226" s="161"/>
      <c r="J226" s="161"/>
      <c r="K226" s="161"/>
      <c r="L226" s="34"/>
      <c r="M226" s="32"/>
      <c r="N226" s="43"/>
      <c r="O226" s="43">
        <v>-1.609090928858611E-2</v>
      </c>
      <c r="P226" s="43"/>
      <c r="Q226" s="43"/>
      <c r="R226" s="43"/>
      <c r="S226" s="43"/>
      <c r="T226" s="43"/>
      <c r="U226" s="43"/>
      <c r="V226" s="43"/>
      <c r="W226" s="43"/>
    </row>
    <row r="227" spans="1:23">
      <c r="A227" s="15" t="s">
        <v>121</v>
      </c>
      <c r="B227" s="13" t="s">
        <v>5</v>
      </c>
      <c r="C227" s="34" t="s">
        <v>648</v>
      </c>
      <c r="D227" s="34" t="s">
        <v>649</v>
      </c>
      <c r="E227" s="31" t="s">
        <v>772</v>
      </c>
      <c r="F227" s="31" t="s">
        <v>779</v>
      </c>
      <c r="G227" s="161"/>
      <c r="H227" s="161"/>
      <c r="I227" s="161"/>
      <c r="J227" s="161"/>
      <c r="K227" s="161"/>
      <c r="L227" s="34"/>
      <c r="M227" s="32"/>
      <c r="N227" s="32"/>
      <c r="O227" s="43">
        <v>-2.4927749804832381E-3</v>
      </c>
      <c r="P227" s="43"/>
      <c r="Q227" s="43"/>
      <c r="R227" s="43"/>
      <c r="S227" s="43"/>
      <c r="T227" s="43"/>
      <c r="U227" s="43"/>
      <c r="V227" s="43"/>
      <c r="W227" s="43"/>
    </row>
    <row r="228" spans="1:23">
      <c r="A228" s="15" t="s">
        <v>121</v>
      </c>
      <c r="B228" s="13" t="s">
        <v>5</v>
      </c>
      <c r="C228" s="34" t="s">
        <v>671</v>
      </c>
      <c r="D228" s="34" t="s">
        <v>672</v>
      </c>
      <c r="E228" s="31" t="s">
        <v>772</v>
      </c>
      <c r="F228" s="29" t="s">
        <v>777</v>
      </c>
      <c r="G228" s="161"/>
      <c r="H228" s="161"/>
      <c r="I228" s="161"/>
      <c r="J228" s="161"/>
      <c r="K228" s="161"/>
      <c r="L228" s="34"/>
      <c r="M228" s="32"/>
      <c r="N228" s="32">
        <v>-5.6263821330022543E-4</v>
      </c>
      <c r="O228" s="43"/>
      <c r="P228" s="43"/>
      <c r="Q228" s="43"/>
      <c r="R228" s="43"/>
      <c r="S228" s="43"/>
      <c r="T228" s="43"/>
      <c r="U228" s="43"/>
      <c r="V228" s="43"/>
      <c r="W228" s="43"/>
    </row>
    <row r="229" spans="1:23">
      <c r="A229" s="15" t="s">
        <v>121</v>
      </c>
      <c r="B229" s="13" t="s">
        <v>5</v>
      </c>
      <c r="C229" s="34" t="s">
        <v>671</v>
      </c>
      <c r="D229" s="34" t="s">
        <v>673</v>
      </c>
      <c r="E229" s="31" t="s">
        <v>772</v>
      </c>
      <c r="F229" s="31" t="s">
        <v>779</v>
      </c>
      <c r="G229" s="161"/>
      <c r="H229" s="161"/>
      <c r="I229" s="161"/>
      <c r="J229" s="161"/>
      <c r="K229" s="161"/>
      <c r="L229" s="34"/>
      <c r="M229" s="32"/>
      <c r="N229" s="32">
        <v>-2.1744472011602851E-4</v>
      </c>
      <c r="O229" s="43"/>
      <c r="P229" s="43"/>
      <c r="Q229" s="43"/>
      <c r="R229" s="43"/>
      <c r="S229" s="43"/>
      <c r="T229" s="43"/>
      <c r="U229" s="43"/>
      <c r="V229" s="43"/>
      <c r="W229" s="43"/>
    </row>
    <row r="230" spans="1:23">
      <c r="A230" s="15" t="s">
        <v>121</v>
      </c>
      <c r="B230" s="13" t="s">
        <v>5</v>
      </c>
      <c r="C230" s="34" t="s">
        <v>671</v>
      </c>
      <c r="D230" s="34" t="s">
        <v>674</v>
      </c>
      <c r="E230" s="31" t="s">
        <v>33</v>
      </c>
      <c r="F230" s="31" t="s">
        <v>784</v>
      </c>
      <c r="G230" s="161"/>
      <c r="H230" s="161"/>
      <c r="I230" s="161"/>
      <c r="J230" s="161"/>
      <c r="K230" s="161"/>
      <c r="L230" s="34"/>
      <c r="M230" s="32"/>
      <c r="N230" s="32">
        <v>-4.3488944023205699E-3</v>
      </c>
      <c r="O230" s="43"/>
      <c r="P230" s="43"/>
      <c r="Q230" s="43"/>
      <c r="R230" s="43"/>
      <c r="S230" s="43"/>
      <c r="T230" s="43"/>
      <c r="U230" s="43"/>
      <c r="V230" s="43"/>
      <c r="W230" s="43"/>
    </row>
    <row r="231" spans="1:23">
      <c r="A231" s="15" t="s">
        <v>121</v>
      </c>
      <c r="B231" s="13" t="s">
        <v>5</v>
      </c>
      <c r="C231" s="34" t="s">
        <v>479</v>
      </c>
      <c r="D231" s="34" t="s">
        <v>464</v>
      </c>
      <c r="E231" s="31" t="s">
        <v>772</v>
      </c>
      <c r="F231" s="31"/>
      <c r="G231" s="161"/>
      <c r="H231" s="161"/>
      <c r="I231" s="161"/>
      <c r="J231" s="161"/>
      <c r="K231" s="161"/>
      <c r="L231" s="34"/>
      <c r="M231" s="32"/>
      <c r="N231" s="32">
        <v>-2.1744472011153704E-4</v>
      </c>
      <c r="O231" s="43"/>
      <c r="P231" s="43"/>
      <c r="Q231" s="43"/>
      <c r="R231" s="43"/>
      <c r="S231" s="43"/>
      <c r="T231" s="43"/>
      <c r="U231" s="43"/>
      <c r="V231" s="43"/>
      <c r="W231" s="43"/>
    </row>
    <row r="232" spans="1:23">
      <c r="A232" s="15" t="s">
        <v>121</v>
      </c>
      <c r="B232" s="13" t="s">
        <v>5</v>
      </c>
      <c r="C232" s="34" t="s">
        <v>646</v>
      </c>
      <c r="D232" s="34" t="s">
        <v>633</v>
      </c>
      <c r="E232" s="31" t="s">
        <v>33</v>
      </c>
      <c r="F232" s="31" t="s">
        <v>781</v>
      </c>
      <c r="G232" s="161"/>
      <c r="H232" s="161"/>
      <c r="I232" s="161"/>
      <c r="J232" s="161"/>
      <c r="K232" s="161"/>
      <c r="L232" s="34"/>
      <c r="M232" s="32"/>
      <c r="N232" s="32"/>
      <c r="O232" s="43"/>
      <c r="P232" s="43"/>
      <c r="Q232" s="43"/>
      <c r="R232" s="43"/>
      <c r="S232" s="43"/>
      <c r="T232" s="43">
        <v>-2.3918919212763136E-3</v>
      </c>
      <c r="U232" s="43"/>
      <c r="V232" s="43"/>
      <c r="W232" s="43"/>
    </row>
    <row r="233" spans="1:23">
      <c r="A233" s="15" t="s">
        <v>121</v>
      </c>
      <c r="B233" s="13" t="s">
        <v>5</v>
      </c>
      <c r="C233" s="34" t="s">
        <v>647</v>
      </c>
      <c r="D233" s="34" t="s">
        <v>619</v>
      </c>
      <c r="E233" s="31" t="s">
        <v>43</v>
      </c>
      <c r="F233" s="34" t="s">
        <v>778</v>
      </c>
      <c r="G233" s="161"/>
      <c r="H233" s="161"/>
      <c r="I233" s="161"/>
      <c r="J233" s="161"/>
      <c r="K233" s="161"/>
      <c r="L233" s="34"/>
      <c r="M233" s="32">
        <v>-5.8927054114800946E-3</v>
      </c>
      <c r="N233" s="32"/>
      <c r="O233" s="43"/>
      <c r="P233" s="43"/>
      <c r="Q233" s="43"/>
      <c r="R233" s="43"/>
      <c r="S233" s="43"/>
      <c r="T233" s="43"/>
      <c r="U233" s="43"/>
      <c r="V233" s="43"/>
      <c r="W233" s="43"/>
    </row>
    <row r="234" spans="1:23">
      <c r="A234" s="15" t="s">
        <v>121</v>
      </c>
      <c r="B234" s="13" t="s">
        <v>5</v>
      </c>
      <c r="C234" s="34" t="s">
        <v>620</v>
      </c>
      <c r="D234" s="34" t="s">
        <v>119</v>
      </c>
      <c r="E234" s="31" t="s">
        <v>58</v>
      </c>
      <c r="F234" s="31" t="s">
        <v>775</v>
      </c>
      <c r="G234" s="161"/>
      <c r="H234" s="161"/>
      <c r="I234" s="161"/>
      <c r="J234" s="161"/>
      <c r="K234" s="161"/>
      <c r="L234" s="34"/>
      <c r="M234" s="32">
        <v>-1.1054691893682547E-2</v>
      </c>
      <c r="N234" s="32"/>
      <c r="O234" s="43"/>
      <c r="P234" s="43"/>
      <c r="Q234" s="43"/>
      <c r="R234" s="43"/>
      <c r="S234" s="43"/>
      <c r="T234" s="43"/>
      <c r="U234" s="43"/>
      <c r="V234" s="43"/>
      <c r="W234" s="43"/>
    </row>
    <row r="235" spans="1:23">
      <c r="A235" s="15" t="s">
        <v>121</v>
      </c>
      <c r="B235" s="13" t="s">
        <v>5</v>
      </c>
      <c r="C235" s="34" t="s">
        <v>588</v>
      </c>
      <c r="D235" s="34" t="s">
        <v>591</v>
      </c>
      <c r="E235" s="31" t="s">
        <v>43</v>
      </c>
      <c r="F235" s="31" t="s">
        <v>778</v>
      </c>
      <c r="G235" s="161"/>
      <c r="H235" s="161"/>
      <c r="I235" s="161"/>
      <c r="J235" s="161"/>
      <c r="K235" s="161"/>
      <c r="L235" s="34"/>
      <c r="M235" s="32"/>
      <c r="N235" s="32"/>
      <c r="O235" s="43"/>
      <c r="P235" s="43"/>
      <c r="Q235" s="195">
        <v>1.4370970477530353E-3</v>
      </c>
      <c r="R235" s="43"/>
      <c r="S235" s="43"/>
      <c r="T235" s="43"/>
      <c r="U235" s="43"/>
      <c r="V235" s="43"/>
      <c r="W235" s="43"/>
    </row>
    <row r="236" spans="1:23">
      <c r="A236" s="15" t="s">
        <v>121</v>
      </c>
      <c r="B236" s="13" t="s">
        <v>5</v>
      </c>
      <c r="C236" s="44" t="s">
        <v>22</v>
      </c>
      <c r="D236" s="44" t="s">
        <v>24</v>
      </c>
      <c r="E236" s="28" t="s">
        <v>772</v>
      </c>
      <c r="F236" s="7" t="s">
        <v>777</v>
      </c>
      <c r="G236" s="161"/>
      <c r="H236" s="161"/>
      <c r="I236" s="161"/>
      <c r="J236" s="161"/>
      <c r="K236" s="161"/>
      <c r="L236" s="34"/>
      <c r="M236" s="32"/>
      <c r="N236" s="32"/>
      <c r="O236" s="43"/>
      <c r="P236" s="43"/>
      <c r="Q236" s="45">
        <v>6.392814683683295E-3</v>
      </c>
      <c r="R236" s="43"/>
      <c r="S236" s="43"/>
      <c r="T236" s="43"/>
      <c r="U236" s="43"/>
      <c r="V236" s="43"/>
      <c r="W236" s="43"/>
    </row>
    <row r="237" spans="1:23">
      <c r="A237" s="15" t="s">
        <v>121</v>
      </c>
      <c r="B237" s="13" t="s">
        <v>5</v>
      </c>
      <c r="C237" s="44" t="s">
        <v>22</v>
      </c>
      <c r="D237" s="44" t="s">
        <v>145</v>
      </c>
      <c r="E237" s="28" t="s">
        <v>53</v>
      </c>
      <c r="F237" s="7" t="s">
        <v>776</v>
      </c>
      <c r="G237" s="161"/>
      <c r="H237" s="161"/>
      <c r="I237" s="161"/>
      <c r="J237" s="161"/>
      <c r="K237" s="161"/>
      <c r="L237" s="34"/>
      <c r="M237" s="32"/>
      <c r="N237" s="32"/>
      <c r="O237" s="43"/>
      <c r="P237" s="43"/>
      <c r="Q237" s="45">
        <v>0</v>
      </c>
      <c r="R237" s="43"/>
      <c r="S237" s="43"/>
      <c r="T237" s="43"/>
      <c r="U237" s="43"/>
      <c r="V237" s="43"/>
      <c r="W237" s="43"/>
    </row>
    <row r="238" spans="1:23">
      <c r="A238" s="15" t="s">
        <v>121</v>
      </c>
      <c r="B238" s="13" t="s">
        <v>5</v>
      </c>
      <c r="C238" s="44" t="s">
        <v>22</v>
      </c>
      <c r="D238" s="44" t="s">
        <v>140</v>
      </c>
      <c r="E238" s="28" t="s">
        <v>43</v>
      </c>
      <c r="F238" s="28" t="s">
        <v>778</v>
      </c>
      <c r="G238" s="161"/>
      <c r="H238" s="161"/>
      <c r="I238" s="161"/>
      <c r="J238" s="161"/>
      <c r="K238" s="161"/>
      <c r="L238" s="34"/>
      <c r="M238" s="43"/>
      <c r="N238" s="43"/>
      <c r="O238" s="43"/>
      <c r="P238" s="43"/>
      <c r="Q238" s="45">
        <v>1.2164105155035101E-3</v>
      </c>
      <c r="R238" s="43"/>
      <c r="S238" s="43"/>
      <c r="T238" s="43"/>
      <c r="U238" s="43"/>
      <c r="V238" s="43"/>
      <c r="W238" s="43"/>
    </row>
    <row r="239" spans="1:23">
      <c r="A239" s="15" t="s">
        <v>121</v>
      </c>
      <c r="B239" s="13" t="s">
        <v>5</v>
      </c>
      <c r="C239" s="44" t="s">
        <v>22</v>
      </c>
      <c r="D239" s="44" t="s">
        <v>49</v>
      </c>
      <c r="E239" s="28" t="s">
        <v>142</v>
      </c>
      <c r="F239" s="7" t="s">
        <v>529</v>
      </c>
      <c r="G239" s="161"/>
      <c r="H239" s="161"/>
      <c r="I239" s="161"/>
      <c r="J239" s="161"/>
      <c r="K239" s="161"/>
      <c r="L239" s="34"/>
      <c r="M239" s="43"/>
      <c r="N239" s="43"/>
      <c r="O239" s="43"/>
      <c r="P239" s="43"/>
      <c r="Q239" s="45">
        <v>4.7611220271400693E-3</v>
      </c>
      <c r="R239" s="43"/>
      <c r="S239" s="43"/>
      <c r="T239" s="43"/>
      <c r="U239" s="43"/>
      <c r="V239" s="43"/>
      <c r="W239" s="43"/>
    </row>
    <row r="240" spans="1:23">
      <c r="A240" s="15" t="s">
        <v>121</v>
      </c>
      <c r="B240" s="13" t="s">
        <v>5</v>
      </c>
      <c r="C240" s="44" t="s">
        <v>22</v>
      </c>
      <c r="D240" s="44" t="s">
        <v>58</v>
      </c>
      <c r="E240" s="28" t="s">
        <v>58</v>
      </c>
      <c r="F240" s="28"/>
      <c r="G240" s="161"/>
      <c r="H240" s="161"/>
      <c r="I240" s="161"/>
      <c r="J240" s="161"/>
      <c r="K240" s="161"/>
      <c r="L240" s="34"/>
      <c r="M240" s="43"/>
      <c r="N240" s="43"/>
      <c r="O240" s="43"/>
      <c r="P240" s="43"/>
      <c r="Q240" s="43"/>
      <c r="R240" s="43"/>
      <c r="S240" s="45">
        <v>8.3507588440862712E-3</v>
      </c>
      <c r="T240" s="43"/>
      <c r="U240" s="43"/>
      <c r="V240" s="43"/>
      <c r="W240" s="43"/>
    </row>
    <row r="241" spans="1:23">
      <c r="A241" s="15" t="s">
        <v>121</v>
      </c>
      <c r="B241" s="13" t="s">
        <v>5</v>
      </c>
      <c r="C241" s="44" t="s">
        <v>22</v>
      </c>
      <c r="D241" s="44" t="s">
        <v>33</v>
      </c>
      <c r="E241" s="28" t="s">
        <v>33</v>
      </c>
      <c r="F241" s="28"/>
      <c r="G241" s="161"/>
      <c r="H241" s="161"/>
      <c r="I241" s="161"/>
      <c r="J241" s="161"/>
      <c r="K241" s="161"/>
      <c r="L241" s="34"/>
      <c r="M241" s="43"/>
      <c r="N241" s="43"/>
      <c r="O241" s="43"/>
      <c r="P241" s="43"/>
      <c r="Q241" s="45">
        <v>2.2454023774445806E-2</v>
      </c>
      <c r="R241" s="43"/>
      <c r="S241" s="43"/>
      <c r="T241" s="43"/>
      <c r="U241" s="43"/>
      <c r="V241" s="43"/>
      <c r="W241" s="43"/>
    </row>
    <row r="242" spans="1:23">
      <c r="A242" s="15" t="s">
        <v>121</v>
      </c>
      <c r="B242" s="13" t="s">
        <v>5</v>
      </c>
      <c r="C242" s="34" t="s">
        <v>117</v>
      </c>
      <c r="D242" s="34" t="s">
        <v>117</v>
      </c>
      <c r="E242" s="31" t="s">
        <v>33</v>
      </c>
      <c r="F242" s="31" t="s">
        <v>784</v>
      </c>
      <c r="G242" s="161"/>
      <c r="H242" s="161"/>
      <c r="I242" s="161"/>
      <c r="J242" s="161"/>
      <c r="K242" s="161"/>
      <c r="L242" s="34"/>
      <c r="M242" s="43"/>
      <c r="N242" s="43"/>
      <c r="O242" s="43"/>
      <c r="P242" s="43"/>
      <c r="Q242" s="43"/>
      <c r="R242" s="43"/>
      <c r="S242" s="43"/>
      <c r="T242" s="43"/>
      <c r="U242" s="196">
        <f>0.36/$Y$2</f>
        <v>3.9140049620885131E-2</v>
      </c>
      <c r="V242" s="43"/>
      <c r="W242" s="43"/>
    </row>
    <row r="243" spans="1:23">
      <c r="A243" s="15" t="s">
        <v>121</v>
      </c>
      <c r="B243" s="13" t="s">
        <v>5</v>
      </c>
      <c r="C243" s="34" t="s">
        <v>272</v>
      </c>
      <c r="D243" s="34" t="s">
        <v>51</v>
      </c>
      <c r="E243" s="31" t="s">
        <v>142</v>
      </c>
      <c r="F243" s="31" t="s">
        <v>529</v>
      </c>
      <c r="G243" s="161"/>
      <c r="H243" s="161"/>
      <c r="I243" s="161"/>
      <c r="J243" s="161"/>
      <c r="K243" s="161"/>
      <c r="L243" s="34"/>
      <c r="M243" s="43"/>
      <c r="N243" s="43"/>
      <c r="O243" s="43">
        <v>-8.7825960436171968E-4</v>
      </c>
      <c r="P243" s="43"/>
      <c r="Q243" s="43"/>
      <c r="R243" s="43"/>
      <c r="S243" s="43"/>
      <c r="T243" s="43"/>
      <c r="U243" s="43"/>
      <c r="V243" s="43"/>
      <c r="W243" s="43"/>
    </row>
    <row r="244" spans="1:23">
      <c r="A244" s="15" t="s">
        <v>121</v>
      </c>
      <c r="B244" s="13" t="s">
        <v>5</v>
      </c>
      <c r="C244" s="34" t="s">
        <v>675</v>
      </c>
      <c r="D244" s="34" t="s">
        <v>676</v>
      </c>
      <c r="E244" s="31" t="s">
        <v>33</v>
      </c>
      <c r="F244" s="31" t="s">
        <v>781</v>
      </c>
      <c r="G244" s="161"/>
      <c r="H244" s="161"/>
      <c r="I244" s="161"/>
      <c r="J244" s="161"/>
      <c r="K244" s="161"/>
      <c r="L244" s="34"/>
      <c r="M244" s="43"/>
      <c r="N244" s="43"/>
      <c r="O244" s="43"/>
      <c r="P244" s="43"/>
      <c r="Q244" s="43"/>
      <c r="R244" s="43"/>
      <c r="S244" s="43">
        <v>-1.4999999999999999E-2</v>
      </c>
      <c r="T244" s="43"/>
      <c r="U244" s="43"/>
      <c r="V244" s="43"/>
      <c r="W244" s="43"/>
    </row>
    <row r="245" spans="1:23">
      <c r="A245" s="15" t="s">
        <v>121</v>
      </c>
      <c r="B245" s="13" t="s">
        <v>5</v>
      </c>
      <c r="C245" s="34" t="s">
        <v>677</v>
      </c>
      <c r="D245" s="34" t="s">
        <v>678</v>
      </c>
      <c r="E245" s="31" t="s">
        <v>33</v>
      </c>
      <c r="F245" s="29" t="s">
        <v>782</v>
      </c>
      <c r="G245" s="161"/>
      <c r="H245" s="161"/>
      <c r="I245" s="161"/>
      <c r="J245" s="161"/>
      <c r="K245" s="161"/>
      <c r="L245" s="34"/>
      <c r="M245" s="43"/>
      <c r="N245" s="43"/>
      <c r="O245" s="43"/>
      <c r="P245" s="43"/>
      <c r="Q245" s="43"/>
      <c r="R245" s="43"/>
      <c r="S245" s="43">
        <v>-1.62845564529399E-2</v>
      </c>
      <c r="T245" s="43"/>
      <c r="U245" s="43"/>
      <c r="V245" s="43"/>
      <c r="W245" s="43"/>
    </row>
    <row r="246" spans="1:23">
      <c r="A246" s="15" t="s">
        <v>121</v>
      </c>
      <c r="B246" s="13" t="s">
        <v>5</v>
      </c>
      <c r="C246" s="51" t="s">
        <v>291</v>
      </c>
      <c r="D246" s="46" t="s">
        <v>600</v>
      </c>
      <c r="E246" s="47" t="s">
        <v>772</v>
      </c>
      <c r="F246" s="47" t="s">
        <v>777</v>
      </c>
      <c r="G246" s="160"/>
      <c r="H246" s="160"/>
      <c r="I246" s="160"/>
      <c r="J246" s="160"/>
      <c r="K246" s="160"/>
      <c r="L246" s="46"/>
      <c r="M246" s="46"/>
      <c r="N246" s="46"/>
      <c r="O246" s="46"/>
      <c r="P246" s="46">
        <v>-5.5812623535781529E-3</v>
      </c>
      <c r="Q246" s="46"/>
      <c r="R246" s="46"/>
      <c r="S246" s="46"/>
      <c r="T246" s="46"/>
      <c r="U246" s="46"/>
      <c r="V246" s="46"/>
      <c r="W246" s="46"/>
    </row>
    <row r="247" spans="1:23">
      <c r="A247" s="15" t="s">
        <v>121</v>
      </c>
      <c r="B247" s="13" t="s">
        <v>5</v>
      </c>
      <c r="C247" s="51" t="s">
        <v>291</v>
      </c>
      <c r="D247" s="46" t="s">
        <v>601</v>
      </c>
      <c r="E247" s="47" t="s">
        <v>389</v>
      </c>
      <c r="F247" s="47" t="s">
        <v>786</v>
      </c>
      <c r="G247" s="160"/>
      <c r="H247" s="160"/>
      <c r="I247" s="160"/>
      <c r="J247" s="160"/>
      <c r="K247" s="160"/>
      <c r="L247" s="46"/>
      <c r="M247" s="46"/>
      <c r="N247" s="46"/>
      <c r="O247" s="46"/>
      <c r="P247" s="46"/>
      <c r="Q247" s="46"/>
      <c r="R247" s="46">
        <v>-1E-3</v>
      </c>
      <c r="S247" s="46"/>
      <c r="T247" s="46"/>
      <c r="U247" s="46"/>
      <c r="V247" s="46"/>
      <c r="W247" s="46"/>
    </row>
    <row r="248" spans="1:23">
      <c r="A248" s="15" t="s">
        <v>121</v>
      </c>
      <c r="B248" s="13" t="s">
        <v>5</v>
      </c>
      <c r="C248" s="51" t="s">
        <v>291</v>
      </c>
      <c r="D248" s="46" t="s">
        <v>602</v>
      </c>
      <c r="E248" s="47" t="s">
        <v>58</v>
      </c>
      <c r="F248" s="47" t="s">
        <v>416</v>
      </c>
      <c r="G248" s="160"/>
      <c r="H248" s="160"/>
      <c r="I248" s="160"/>
      <c r="J248" s="160"/>
      <c r="K248" s="160"/>
      <c r="L248" s="46"/>
      <c r="M248" s="46"/>
      <c r="N248" s="46"/>
      <c r="O248" s="46"/>
      <c r="P248" s="46">
        <v>1.6402309852284365E-4</v>
      </c>
      <c r="Q248" s="46"/>
      <c r="R248" s="46"/>
      <c r="S248" s="46"/>
      <c r="T248" s="46"/>
      <c r="U248" s="46"/>
      <c r="V248" s="46"/>
      <c r="W248" s="46"/>
    </row>
    <row r="249" spans="1:23">
      <c r="A249" s="15" t="s">
        <v>121</v>
      </c>
      <c r="B249" s="13" t="s">
        <v>5</v>
      </c>
      <c r="C249" s="51" t="s">
        <v>750</v>
      </c>
      <c r="D249" s="46" t="s">
        <v>755</v>
      </c>
      <c r="E249" s="47" t="s">
        <v>33</v>
      </c>
      <c r="F249" s="47" t="s">
        <v>781</v>
      </c>
      <c r="G249" s="160"/>
      <c r="H249" s="160"/>
      <c r="I249" s="160"/>
      <c r="J249" s="160"/>
      <c r="K249" s="160"/>
      <c r="L249" s="46"/>
      <c r="M249" s="46"/>
      <c r="N249" s="46"/>
      <c r="O249" s="46"/>
      <c r="P249" s="46"/>
      <c r="Q249" s="440">
        <f>-0.0117963760662946*0</f>
        <v>0</v>
      </c>
      <c r="R249" s="46"/>
      <c r="S249" s="46"/>
      <c r="T249" s="46"/>
      <c r="U249" s="46"/>
      <c r="V249" s="46"/>
      <c r="W249" s="46"/>
    </row>
    <row r="250" spans="1:23">
      <c r="A250" s="15" t="s">
        <v>121</v>
      </c>
      <c r="B250" s="13" t="s">
        <v>5</v>
      </c>
      <c r="C250" s="51" t="s">
        <v>750</v>
      </c>
      <c r="D250" s="46" t="s">
        <v>293</v>
      </c>
      <c r="E250" s="47" t="s">
        <v>142</v>
      </c>
      <c r="F250" s="47" t="s">
        <v>529</v>
      </c>
      <c r="G250" s="160"/>
      <c r="H250" s="160"/>
      <c r="I250" s="160"/>
      <c r="J250" s="160"/>
      <c r="K250" s="160"/>
      <c r="L250" s="46"/>
      <c r="M250" s="46"/>
      <c r="N250" s="46"/>
      <c r="O250" s="46"/>
      <c r="P250" s="46"/>
      <c r="Q250" s="46"/>
      <c r="R250" s="426">
        <f>-0.004*5</f>
        <v>-0.02</v>
      </c>
      <c r="S250" s="46"/>
      <c r="T250" s="46"/>
      <c r="U250" s="46"/>
      <c r="V250" s="46"/>
      <c r="W250" s="46"/>
    </row>
    <row r="251" spans="1:23">
      <c r="A251" s="15" t="s">
        <v>121</v>
      </c>
      <c r="B251" s="13" t="s">
        <v>5</v>
      </c>
      <c r="C251" s="51" t="s">
        <v>291</v>
      </c>
      <c r="D251" s="46"/>
      <c r="E251" s="47"/>
      <c r="F251" s="47"/>
      <c r="G251" s="160"/>
      <c r="H251" s="160"/>
      <c r="I251" s="160"/>
      <c r="J251" s="160"/>
      <c r="K251" s="160"/>
      <c r="L251" s="46"/>
      <c r="M251" s="46"/>
      <c r="N251" s="46"/>
      <c r="O251" s="46"/>
      <c r="P251" s="46"/>
      <c r="Q251" s="46"/>
      <c r="R251" s="46"/>
      <c r="S251" s="46"/>
      <c r="T251" s="46"/>
      <c r="U251" s="46"/>
      <c r="V251" s="46"/>
      <c r="W251" s="46"/>
    </row>
    <row r="252" spans="1:23">
      <c r="A252" s="15" t="s">
        <v>121</v>
      </c>
      <c r="B252" s="13" t="s">
        <v>5</v>
      </c>
      <c r="C252" s="51" t="s">
        <v>291</v>
      </c>
      <c r="D252" s="46"/>
      <c r="E252" s="47"/>
      <c r="F252" s="47"/>
      <c r="G252" s="160"/>
      <c r="H252" s="160"/>
      <c r="I252" s="160"/>
      <c r="J252" s="160"/>
      <c r="K252" s="160"/>
      <c r="L252" s="46"/>
      <c r="M252" s="46"/>
      <c r="N252" s="46"/>
      <c r="O252" s="46"/>
      <c r="P252" s="46"/>
      <c r="Q252" s="46"/>
      <c r="R252" s="46"/>
      <c r="S252" s="46"/>
      <c r="T252" s="46"/>
      <c r="U252" s="46"/>
      <c r="V252" s="46"/>
      <c r="W252" s="46"/>
    </row>
    <row r="253" spans="1:23">
      <c r="A253" s="15" t="s">
        <v>121</v>
      </c>
      <c r="B253" s="13" t="s">
        <v>5</v>
      </c>
      <c r="C253" s="51"/>
      <c r="D253" s="46"/>
      <c r="E253" s="47"/>
      <c r="F253" s="47"/>
      <c r="G253" s="160"/>
      <c r="H253" s="160"/>
      <c r="I253" s="160"/>
      <c r="J253" s="160"/>
      <c r="K253" s="160"/>
      <c r="L253" s="46"/>
      <c r="M253" s="46"/>
      <c r="N253" s="46"/>
      <c r="O253" s="46"/>
      <c r="P253" s="46"/>
      <c r="Q253" s="46"/>
      <c r="R253" s="46"/>
      <c r="S253" s="46"/>
      <c r="T253" s="46"/>
      <c r="U253" s="46"/>
      <c r="V253" s="46"/>
      <c r="W253" s="46"/>
    </row>
    <row r="254" spans="1:23" s="152" customFormat="1">
      <c r="A254" s="148" t="s">
        <v>131</v>
      </c>
      <c r="B254" s="148" t="s">
        <v>225</v>
      </c>
      <c r="C254" s="151"/>
      <c r="D254" s="148"/>
      <c r="E254" s="148"/>
      <c r="F254" s="148"/>
      <c r="G254" s="199">
        <v>2.4414672389663949</v>
      </c>
      <c r="H254" s="199">
        <v>2.4333130619620436</v>
      </c>
      <c r="I254" s="334">
        <v>2.4333130619620436</v>
      </c>
      <c r="J254" s="199">
        <v>2.4524743559320843</v>
      </c>
      <c r="K254" s="209">
        <v>2.4448098383440682</v>
      </c>
      <c r="L254" s="199">
        <f>MoDi!D86</f>
        <v>2.4883887015970965</v>
      </c>
      <c r="M254" s="199">
        <f>MoDi!E86</f>
        <v>2.3698572849210597</v>
      </c>
      <c r="N254" s="199">
        <f>MoDi!F86</f>
        <v>2.2362240331657373</v>
      </c>
      <c r="O254" s="199">
        <f>MoDi!G86</f>
        <v>2.2362240331657373</v>
      </c>
      <c r="P254" s="199">
        <f>MoDi!H86</f>
        <v>2.2362240331657373</v>
      </c>
      <c r="Q254" s="199">
        <f>MoDi!I86</f>
        <v>2.2362240331657373</v>
      </c>
      <c r="R254" s="199">
        <f>MoDi!J86</f>
        <v>2.2285595155777211</v>
      </c>
      <c r="S254" s="199">
        <f>MoDi!K86</f>
        <v>2.2285595155777211</v>
      </c>
      <c r="T254" s="199">
        <f>MoDi!L86</f>
        <v>2.2218546076329435</v>
      </c>
      <c r="U254" s="199">
        <f>MoDi!M86</f>
        <v>2.2218546076329435</v>
      </c>
      <c r="V254" s="199">
        <f>MoDi!N86</f>
        <v>2.2218546076329435</v>
      </c>
      <c r="W254" s="199">
        <f>MoDi!O86</f>
        <v>2.2218546076329435</v>
      </c>
    </row>
    <row r="255" spans="1:23">
      <c r="A255" s="1" t="s">
        <v>131</v>
      </c>
      <c r="B255" s="12" t="s">
        <v>4</v>
      </c>
      <c r="C255" s="22" t="s">
        <v>557</v>
      </c>
      <c r="D255" s="21" t="s">
        <v>558</v>
      </c>
      <c r="E255" s="23" t="s">
        <v>53</v>
      </c>
      <c r="F255" s="23" t="s">
        <v>776</v>
      </c>
      <c r="G255" s="157"/>
      <c r="H255" s="157"/>
      <c r="I255" s="157"/>
      <c r="J255" s="157"/>
      <c r="K255" s="157"/>
      <c r="L255" s="113">
        <v>0</v>
      </c>
      <c r="M255" s="117">
        <v>0</v>
      </c>
      <c r="N255" s="117">
        <v>0</v>
      </c>
      <c r="O255" s="117">
        <v>0</v>
      </c>
      <c r="P255" s="117">
        <v>0</v>
      </c>
      <c r="Q255" s="117">
        <v>0</v>
      </c>
      <c r="R255" s="117">
        <v>-7.664517588016187E-3</v>
      </c>
      <c r="S255" s="117">
        <v>0</v>
      </c>
      <c r="T255" s="117">
        <v>0</v>
      </c>
      <c r="U255" s="117">
        <v>0</v>
      </c>
      <c r="V255" s="117">
        <v>0</v>
      </c>
      <c r="W255" s="118">
        <v>0</v>
      </c>
    </row>
    <row r="256" spans="1:23">
      <c r="A256" s="1" t="s">
        <v>131</v>
      </c>
      <c r="B256" s="12" t="s">
        <v>4</v>
      </c>
      <c r="C256" s="22" t="s">
        <v>628</v>
      </c>
      <c r="D256" s="21" t="s">
        <v>629</v>
      </c>
      <c r="E256" s="23" t="s">
        <v>33</v>
      </c>
      <c r="F256" s="23" t="s">
        <v>782</v>
      </c>
      <c r="G256" s="157"/>
      <c r="H256" s="157"/>
      <c r="I256" s="157"/>
      <c r="J256" s="157"/>
      <c r="K256" s="157"/>
      <c r="L256" s="113">
        <v>0</v>
      </c>
      <c r="M256" s="117">
        <v>0</v>
      </c>
      <c r="N256" s="138">
        <v>-5.6512795534555224E-2</v>
      </c>
      <c r="O256" s="117">
        <v>0</v>
      </c>
      <c r="P256" s="117">
        <v>0</v>
      </c>
      <c r="Q256" s="117">
        <v>0</v>
      </c>
      <c r="R256" s="117">
        <v>0</v>
      </c>
      <c r="S256" s="117">
        <v>0</v>
      </c>
      <c r="T256" s="117">
        <v>0</v>
      </c>
      <c r="U256" s="117">
        <v>0</v>
      </c>
      <c r="V256" s="117">
        <v>0</v>
      </c>
      <c r="W256" s="118">
        <v>0</v>
      </c>
    </row>
    <row r="257" spans="1:23">
      <c r="A257" s="1" t="s">
        <v>131</v>
      </c>
      <c r="B257" s="12" t="s">
        <v>4</v>
      </c>
      <c r="C257" s="22" t="s">
        <v>630</v>
      </c>
      <c r="D257" s="21" t="s">
        <v>631</v>
      </c>
      <c r="E257" s="23" t="s">
        <v>33</v>
      </c>
      <c r="F257" s="23" t="s">
        <v>781</v>
      </c>
      <c r="G257" s="157"/>
      <c r="H257" s="157"/>
      <c r="I257" s="157"/>
      <c r="J257" s="157"/>
      <c r="K257" s="157"/>
      <c r="L257" s="113">
        <v>0</v>
      </c>
      <c r="M257" s="117">
        <v>0</v>
      </c>
      <c r="N257" s="117">
        <v>-1.6283347865888795E-2</v>
      </c>
      <c r="O257" s="117">
        <v>0</v>
      </c>
      <c r="P257" s="117">
        <v>0</v>
      </c>
      <c r="Q257" s="117">
        <v>0</v>
      </c>
      <c r="R257" s="117">
        <v>0</v>
      </c>
      <c r="S257" s="117">
        <v>0</v>
      </c>
      <c r="T257" s="117">
        <v>0</v>
      </c>
      <c r="U257" s="117">
        <v>0</v>
      </c>
      <c r="V257" s="117">
        <v>0</v>
      </c>
      <c r="W257" s="118">
        <v>0</v>
      </c>
    </row>
    <row r="258" spans="1:23">
      <c r="A258" s="1" t="s">
        <v>131</v>
      </c>
      <c r="B258" s="12" t="s">
        <v>4</v>
      </c>
      <c r="C258" s="22" t="s">
        <v>632</v>
      </c>
      <c r="D258" s="21" t="s">
        <v>633</v>
      </c>
      <c r="E258" s="23" t="s">
        <v>33</v>
      </c>
      <c r="F258" s="23" t="s">
        <v>781</v>
      </c>
      <c r="G258" s="157"/>
      <c r="H258" s="157"/>
      <c r="I258" s="157"/>
      <c r="J258" s="157"/>
      <c r="K258" s="157"/>
      <c r="L258" s="113">
        <v>0</v>
      </c>
      <c r="M258" s="117">
        <v>0</v>
      </c>
      <c r="N258" s="117">
        <v>0</v>
      </c>
      <c r="O258" s="117">
        <v>0</v>
      </c>
      <c r="P258" s="117">
        <v>0</v>
      </c>
      <c r="Q258" s="117">
        <v>0</v>
      </c>
      <c r="R258" s="117">
        <v>0</v>
      </c>
      <c r="S258" s="117">
        <v>0</v>
      </c>
      <c r="T258" s="117">
        <v>-6.7049079447777391E-3</v>
      </c>
      <c r="U258" s="117">
        <v>0</v>
      </c>
      <c r="V258" s="117">
        <v>0</v>
      </c>
      <c r="W258" s="118">
        <v>0</v>
      </c>
    </row>
    <row r="259" spans="1:23">
      <c r="A259" s="1" t="s">
        <v>131</v>
      </c>
      <c r="B259" s="12" t="s">
        <v>4</v>
      </c>
      <c r="C259" s="22" t="s">
        <v>679</v>
      </c>
      <c r="D259" s="21" t="s">
        <v>52</v>
      </c>
      <c r="E259" s="23" t="s">
        <v>142</v>
      </c>
      <c r="F259" s="23" t="s">
        <v>529</v>
      </c>
      <c r="G259" s="157"/>
      <c r="H259" s="157"/>
      <c r="I259" s="157"/>
      <c r="J259" s="157"/>
      <c r="K259" s="157"/>
      <c r="L259" s="113">
        <v>0</v>
      </c>
      <c r="M259" s="117">
        <v>0</v>
      </c>
      <c r="N259" s="117">
        <v>-5.1256461369858251E-2</v>
      </c>
      <c r="O259" s="117">
        <v>0</v>
      </c>
      <c r="P259" s="117">
        <v>0</v>
      </c>
      <c r="Q259" s="117">
        <v>0</v>
      </c>
      <c r="R259" s="117">
        <v>0</v>
      </c>
      <c r="S259" s="117">
        <v>0</v>
      </c>
      <c r="T259" s="117">
        <v>0</v>
      </c>
      <c r="U259" s="117">
        <v>0</v>
      </c>
      <c r="V259" s="117">
        <v>0</v>
      </c>
      <c r="W259" s="118">
        <v>0</v>
      </c>
    </row>
    <row r="260" spans="1:23">
      <c r="A260" s="1" t="s">
        <v>131</v>
      </c>
      <c r="B260" s="12" t="s">
        <v>4</v>
      </c>
      <c r="C260" s="22" t="s">
        <v>680</v>
      </c>
      <c r="D260" s="21" t="s">
        <v>604</v>
      </c>
      <c r="E260" s="23" t="s">
        <v>58</v>
      </c>
      <c r="F260" s="23"/>
      <c r="G260" s="157"/>
      <c r="H260" s="157"/>
      <c r="I260" s="157"/>
      <c r="J260" s="157"/>
      <c r="K260" s="157"/>
      <c r="L260" s="113">
        <v>0</v>
      </c>
      <c r="M260" s="117">
        <v>0</v>
      </c>
      <c r="N260" s="117">
        <v>-9.5806469850202337E-3</v>
      </c>
      <c r="O260" s="117">
        <v>0</v>
      </c>
      <c r="P260" s="117">
        <v>0</v>
      </c>
      <c r="Q260" s="117">
        <v>0</v>
      </c>
      <c r="R260" s="117">
        <v>0</v>
      </c>
      <c r="S260" s="117">
        <v>0</v>
      </c>
      <c r="T260" s="117">
        <v>0</v>
      </c>
      <c r="U260" s="117">
        <v>0</v>
      </c>
      <c r="V260" s="117">
        <v>0</v>
      </c>
      <c r="W260" s="118">
        <v>0</v>
      </c>
    </row>
    <row r="261" spans="1:23">
      <c r="A261" s="1" t="s">
        <v>131</v>
      </c>
      <c r="B261" s="12" t="s">
        <v>4</v>
      </c>
      <c r="C261" s="28" t="s">
        <v>22</v>
      </c>
      <c r="D261" s="6" t="s">
        <v>24</v>
      </c>
      <c r="E261" s="7" t="s">
        <v>772</v>
      </c>
      <c r="F261" s="7" t="s">
        <v>777</v>
      </c>
      <c r="G261" s="157"/>
      <c r="H261" s="157"/>
      <c r="I261" s="157"/>
      <c r="J261" s="157"/>
      <c r="K261" s="157"/>
      <c r="L261" s="124">
        <v>6.5061775179054678E-3</v>
      </c>
      <c r="M261" s="117">
        <v>0</v>
      </c>
      <c r="N261" s="117">
        <v>0</v>
      </c>
      <c r="O261" s="117">
        <v>0</v>
      </c>
      <c r="P261" s="117">
        <v>0</v>
      </c>
      <c r="Q261" s="117">
        <v>0</v>
      </c>
      <c r="R261" s="117">
        <v>0</v>
      </c>
      <c r="S261" s="117">
        <v>0</v>
      </c>
      <c r="T261" s="117">
        <v>0</v>
      </c>
      <c r="U261" s="117">
        <v>0</v>
      </c>
      <c r="V261" s="117">
        <v>0</v>
      </c>
      <c r="W261" s="118">
        <v>0</v>
      </c>
    </row>
    <row r="262" spans="1:23">
      <c r="A262" s="1" t="s">
        <v>131</v>
      </c>
      <c r="B262" s="12" t="s">
        <v>4</v>
      </c>
      <c r="C262" s="28" t="s">
        <v>22</v>
      </c>
      <c r="D262" s="6" t="s">
        <v>145</v>
      </c>
      <c r="E262" s="7" t="s">
        <v>53</v>
      </c>
      <c r="F262" s="7" t="s">
        <v>776</v>
      </c>
      <c r="G262" s="157"/>
      <c r="H262" s="157"/>
      <c r="I262" s="157"/>
      <c r="J262" s="157"/>
      <c r="K262" s="157"/>
      <c r="L262" s="124">
        <v>0</v>
      </c>
      <c r="M262" s="117">
        <v>0</v>
      </c>
      <c r="N262" s="117">
        <v>0</v>
      </c>
      <c r="O262" s="117">
        <v>0</v>
      </c>
      <c r="P262" s="117">
        <v>0</v>
      </c>
      <c r="Q262" s="117">
        <v>0</v>
      </c>
      <c r="R262" s="117">
        <v>0</v>
      </c>
      <c r="S262" s="117">
        <v>0</v>
      </c>
      <c r="T262" s="117">
        <v>0</v>
      </c>
      <c r="U262" s="117">
        <v>0</v>
      </c>
      <c r="V262" s="117">
        <v>0</v>
      </c>
      <c r="W262" s="118">
        <v>0</v>
      </c>
    </row>
    <row r="263" spans="1:23">
      <c r="A263" s="1" t="s">
        <v>131</v>
      </c>
      <c r="B263" s="12" t="s">
        <v>4</v>
      </c>
      <c r="C263" s="28" t="s">
        <v>22</v>
      </c>
      <c r="D263" s="6" t="s">
        <v>140</v>
      </c>
      <c r="E263" s="7" t="s">
        <v>43</v>
      </c>
      <c r="F263" s="7" t="s">
        <v>778</v>
      </c>
      <c r="G263" s="157"/>
      <c r="H263" s="157"/>
      <c r="I263" s="157"/>
      <c r="J263" s="157"/>
      <c r="K263" s="157"/>
      <c r="L263" s="124">
        <v>1.1306020620843119E-3</v>
      </c>
      <c r="M263" s="117">
        <v>0</v>
      </c>
      <c r="N263" s="117">
        <v>0</v>
      </c>
      <c r="O263" s="117">
        <v>0</v>
      </c>
      <c r="P263" s="117">
        <v>0</v>
      </c>
      <c r="Q263" s="117">
        <v>0</v>
      </c>
      <c r="R263" s="117">
        <v>0</v>
      </c>
      <c r="S263" s="117">
        <v>0</v>
      </c>
      <c r="T263" s="117">
        <v>0</v>
      </c>
      <c r="U263" s="117">
        <v>0</v>
      </c>
      <c r="V263" s="117">
        <v>0</v>
      </c>
      <c r="W263" s="118">
        <v>0</v>
      </c>
    </row>
    <row r="264" spans="1:23">
      <c r="A264" s="1" t="s">
        <v>131</v>
      </c>
      <c r="B264" s="12" t="s">
        <v>4</v>
      </c>
      <c r="C264" s="28" t="s">
        <v>22</v>
      </c>
      <c r="D264" s="6" t="s">
        <v>49</v>
      </c>
      <c r="E264" s="7" t="s">
        <v>142</v>
      </c>
      <c r="F264" s="7" t="s">
        <v>529</v>
      </c>
      <c r="G264" s="157"/>
      <c r="H264" s="157"/>
      <c r="I264" s="157"/>
      <c r="J264" s="157"/>
      <c r="K264" s="157"/>
      <c r="L264" s="124">
        <v>6.1118257753279186E-3</v>
      </c>
      <c r="M264" s="117">
        <v>0</v>
      </c>
      <c r="N264" s="117">
        <v>0</v>
      </c>
      <c r="O264" s="117">
        <v>0</v>
      </c>
      <c r="P264" s="117">
        <v>0</v>
      </c>
      <c r="Q264" s="117">
        <v>0</v>
      </c>
      <c r="R264" s="117">
        <v>0</v>
      </c>
      <c r="S264" s="117">
        <v>0</v>
      </c>
      <c r="T264" s="117">
        <v>0</v>
      </c>
      <c r="U264" s="117">
        <v>0</v>
      </c>
      <c r="V264" s="117">
        <v>0</v>
      </c>
      <c r="W264" s="118">
        <v>0</v>
      </c>
    </row>
    <row r="265" spans="1:23">
      <c r="A265" s="1" t="s">
        <v>131</v>
      </c>
      <c r="B265" s="12" t="s">
        <v>4</v>
      </c>
      <c r="C265" s="28" t="s">
        <v>22</v>
      </c>
      <c r="D265" s="6" t="s">
        <v>58</v>
      </c>
      <c r="E265" s="7" t="s">
        <v>58</v>
      </c>
      <c r="F265" s="7"/>
      <c r="G265" s="157"/>
      <c r="H265" s="157"/>
      <c r="I265" s="157"/>
      <c r="J265" s="157"/>
      <c r="K265" s="157"/>
      <c r="L265" s="124">
        <v>1.1952292459259575E-2</v>
      </c>
      <c r="M265" s="117">
        <v>0</v>
      </c>
      <c r="N265" s="117">
        <v>0</v>
      </c>
      <c r="O265" s="117">
        <v>0</v>
      </c>
      <c r="P265" s="117">
        <v>0</v>
      </c>
      <c r="Q265" s="117">
        <v>0</v>
      </c>
      <c r="R265" s="117">
        <v>0</v>
      </c>
      <c r="S265" s="117">
        <v>0</v>
      </c>
      <c r="T265" s="117">
        <v>0</v>
      </c>
      <c r="U265" s="117">
        <v>0</v>
      </c>
      <c r="V265" s="117">
        <v>0</v>
      </c>
      <c r="W265" s="118">
        <v>0</v>
      </c>
    </row>
    <row r="266" spans="1:23">
      <c r="A266" s="1" t="s">
        <v>131</v>
      </c>
      <c r="B266" s="12" t="s">
        <v>4</v>
      </c>
      <c r="C266" s="28" t="s">
        <v>22</v>
      </c>
      <c r="D266" s="6" t="s">
        <v>33</v>
      </c>
      <c r="E266" s="7" t="s">
        <v>33</v>
      </c>
      <c r="F266" s="7"/>
      <c r="G266" s="157"/>
      <c r="H266" s="157"/>
      <c r="I266" s="157"/>
      <c r="J266" s="157"/>
      <c r="K266" s="157"/>
      <c r="L266" s="124">
        <v>1.7877965438451011E-2</v>
      </c>
      <c r="M266" s="117">
        <v>0</v>
      </c>
      <c r="N266" s="117">
        <v>0</v>
      </c>
      <c r="O266" s="117">
        <v>0</v>
      </c>
      <c r="P266" s="117">
        <v>0</v>
      </c>
      <c r="Q266" s="117">
        <v>0</v>
      </c>
      <c r="R266" s="117">
        <v>0</v>
      </c>
      <c r="S266" s="117">
        <v>0</v>
      </c>
      <c r="T266" s="117">
        <v>0</v>
      </c>
      <c r="U266" s="117">
        <v>0</v>
      </c>
      <c r="V266" s="117">
        <v>0</v>
      </c>
      <c r="W266" s="118">
        <v>0</v>
      </c>
    </row>
    <row r="267" spans="1:23" s="10" customFormat="1">
      <c r="A267" s="96" t="s">
        <v>131</v>
      </c>
      <c r="B267" s="18" t="s">
        <v>4</v>
      </c>
      <c r="C267" s="25" t="s">
        <v>681</v>
      </c>
      <c r="D267" s="26" t="s">
        <v>682</v>
      </c>
      <c r="E267" s="27" t="s">
        <v>33</v>
      </c>
      <c r="F267" s="23" t="s">
        <v>784</v>
      </c>
      <c r="G267" s="158"/>
      <c r="H267" s="158"/>
      <c r="I267" s="158"/>
      <c r="J267" s="158"/>
      <c r="K267" s="158"/>
      <c r="L267" s="115">
        <v>0</v>
      </c>
      <c r="M267" s="121">
        <v>-0.11853141667603692</v>
      </c>
      <c r="N267" s="121">
        <v>0</v>
      </c>
      <c r="O267" s="121">
        <v>0</v>
      </c>
      <c r="P267" s="121"/>
      <c r="Q267" s="121">
        <v>0</v>
      </c>
      <c r="R267" s="121">
        <v>0</v>
      </c>
      <c r="S267" s="121">
        <v>0</v>
      </c>
      <c r="T267" s="121">
        <v>0</v>
      </c>
      <c r="U267" s="121">
        <v>0</v>
      </c>
      <c r="V267" s="121">
        <v>0</v>
      </c>
      <c r="W267" s="122">
        <v>0</v>
      </c>
    </row>
    <row r="268" spans="1:23" outlineLevel="1">
      <c r="A268" s="1" t="s">
        <v>131</v>
      </c>
      <c r="B268" s="12" t="s">
        <v>4</v>
      </c>
      <c r="C268" s="22" t="s">
        <v>581</v>
      </c>
      <c r="D268" s="21" t="s">
        <v>582</v>
      </c>
      <c r="E268" s="23" t="s">
        <v>53</v>
      </c>
      <c r="F268" s="23" t="s">
        <v>776</v>
      </c>
      <c r="G268" s="317">
        <v>0</v>
      </c>
      <c r="H268" s="317">
        <v>0</v>
      </c>
      <c r="I268" s="317">
        <v>0</v>
      </c>
      <c r="J268" s="317">
        <v>0</v>
      </c>
      <c r="K268" s="317">
        <v>-7.664517588016187E-3</v>
      </c>
      <c r="L268" s="207"/>
      <c r="M268" s="168"/>
      <c r="N268" s="168"/>
      <c r="O268" s="168"/>
      <c r="P268" s="168"/>
      <c r="Q268" s="168"/>
      <c r="R268" s="168"/>
      <c r="S268" s="168"/>
      <c r="T268" s="168"/>
      <c r="U268" s="168"/>
      <c r="V268" s="168"/>
      <c r="W268" s="169"/>
    </row>
    <row r="269" spans="1:23" outlineLevel="1">
      <c r="A269" s="1" t="s">
        <v>131</v>
      </c>
      <c r="B269" s="12" t="s">
        <v>4</v>
      </c>
      <c r="C269" s="22" t="s">
        <v>585</v>
      </c>
      <c r="D269" s="21" t="s">
        <v>586</v>
      </c>
      <c r="E269" s="23" t="s">
        <v>33</v>
      </c>
      <c r="F269" s="23" t="s">
        <v>781</v>
      </c>
      <c r="G269" s="317">
        <v>0</v>
      </c>
      <c r="H269" s="317">
        <v>-8.1541770043510684E-3</v>
      </c>
      <c r="I269" s="317">
        <v>0</v>
      </c>
      <c r="J269" s="317">
        <v>0</v>
      </c>
      <c r="K269" s="317">
        <v>0</v>
      </c>
      <c r="L269" s="207"/>
      <c r="M269" s="168"/>
      <c r="N269" s="168"/>
      <c r="O269" s="168"/>
      <c r="P269" s="168"/>
      <c r="Q269" s="168"/>
      <c r="R269" s="168"/>
      <c r="S269" s="168"/>
      <c r="T269" s="168"/>
      <c r="U269" s="168"/>
      <c r="V269" s="168"/>
      <c r="W269" s="169"/>
    </row>
    <row r="270" spans="1:23" outlineLevel="1">
      <c r="A270" s="1" t="s">
        <v>131</v>
      </c>
      <c r="B270" s="12" t="s">
        <v>4</v>
      </c>
      <c r="C270" s="22" t="s">
        <v>683</v>
      </c>
      <c r="D270" s="21" t="s">
        <v>684</v>
      </c>
      <c r="E270" s="23" t="s">
        <v>142</v>
      </c>
      <c r="F270" s="23" t="s">
        <v>529</v>
      </c>
      <c r="G270" s="317">
        <v>-6.5559583114982597E-2</v>
      </c>
      <c r="H270" s="317">
        <v>0</v>
      </c>
      <c r="I270" s="317">
        <v>0</v>
      </c>
      <c r="J270" s="317">
        <v>0</v>
      </c>
      <c r="K270" s="317">
        <v>0</v>
      </c>
      <c r="L270" s="207"/>
      <c r="M270" s="168"/>
      <c r="N270" s="168"/>
      <c r="O270" s="168"/>
      <c r="P270" s="168"/>
      <c r="Q270" s="168"/>
      <c r="R270" s="168"/>
      <c r="S270" s="168"/>
      <c r="T270" s="168"/>
      <c r="U270" s="168"/>
      <c r="V270" s="168"/>
      <c r="W270" s="169"/>
    </row>
    <row r="271" spans="1:23" outlineLevel="1">
      <c r="A271" s="1" t="s">
        <v>131</v>
      </c>
      <c r="B271" s="12" t="s">
        <v>4</v>
      </c>
      <c r="C271" s="22" t="s">
        <v>117</v>
      </c>
      <c r="D271" s="21" t="s">
        <v>117</v>
      </c>
      <c r="E271" s="23" t="s">
        <v>33</v>
      </c>
      <c r="F271" s="23" t="s">
        <v>784</v>
      </c>
      <c r="G271" s="317">
        <v>0</v>
      </c>
      <c r="H271" s="317">
        <v>0</v>
      </c>
      <c r="I271" s="317">
        <v>0</v>
      </c>
      <c r="J271" s="317">
        <v>1.9161293970040467E-2</v>
      </c>
      <c r="K271" s="317">
        <v>0</v>
      </c>
      <c r="L271" s="207"/>
      <c r="M271" s="168"/>
      <c r="N271" s="168"/>
      <c r="O271" s="168"/>
      <c r="P271" s="168"/>
      <c r="Q271" s="168"/>
      <c r="R271" s="168"/>
      <c r="S271" s="168"/>
      <c r="T271" s="168"/>
      <c r="U271" s="168"/>
      <c r="V271" s="168"/>
      <c r="W271" s="169"/>
    </row>
    <row r="272" spans="1:23">
      <c r="A272" s="200" t="s">
        <v>131</v>
      </c>
      <c r="B272" s="200" t="s">
        <v>251</v>
      </c>
      <c r="C272" s="200"/>
      <c r="D272" s="200"/>
      <c r="E272" s="200"/>
      <c r="F272" s="200"/>
      <c r="G272" s="201">
        <v>0</v>
      </c>
      <c r="H272" s="201">
        <v>0</v>
      </c>
      <c r="I272" s="332">
        <v>2.4958158859874588</v>
      </c>
      <c r="J272" s="201">
        <v>2.4868060233725853</v>
      </c>
      <c r="K272" s="201">
        <v>2.4868060233725853</v>
      </c>
      <c r="L272" s="201">
        <f>MoDi!D88</f>
        <v>2.4868060233725853</v>
      </c>
      <c r="M272" s="201">
        <f>MoDi!E88</f>
        <v>2.4753708390928577</v>
      </c>
      <c r="N272" s="201">
        <f>MoDi!F88</f>
        <v>2.4521657490271807</v>
      </c>
      <c r="O272" s="201">
        <f>MoDi!G88</f>
        <v>2.4323168597239211</v>
      </c>
      <c r="P272" s="235">
        <f>MoDi!H88</f>
        <v>2.4279560594690985</v>
      </c>
      <c r="Q272" s="201">
        <f>MoDi!I88</f>
        <v>2.4681231407668833</v>
      </c>
      <c r="R272" s="201">
        <f>MoDi!J88</f>
        <v>2.429858623178867</v>
      </c>
      <c r="S272" s="201">
        <f>MoDi!K88</f>
        <v>2.4071336357897044</v>
      </c>
      <c r="T272" s="201">
        <f>MoDi!L88</f>
        <v>2.4047417438684282</v>
      </c>
      <c r="U272" s="201">
        <f>MoDi!M88</f>
        <v>2.4438817934893136</v>
      </c>
      <c r="V272" s="201">
        <f>MoDi!N88</f>
        <v>2.4438817934893136</v>
      </c>
      <c r="W272" s="201">
        <f>MoDi!O88</f>
        <v>2.4438817934893136</v>
      </c>
    </row>
    <row r="273" spans="1:23" outlineLevel="1">
      <c r="A273" s="1" t="s">
        <v>131</v>
      </c>
      <c r="B273" s="13" t="s">
        <v>5</v>
      </c>
      <c r="C273" s="34" t="s">
        <v>581</v>
      </c>
      <c r="D273" s="34" t="s">
        <v>582</v>
      </c>
      <c r="E273" s="31" t="s">
        <v>53</v>
      </c>
      <c r="F273" s="31" t="s">
        <v>776</v>
      </c>
      <c r="G273" s="166"/>
      <c r="H273" s="166"/>
      <c r="I273" s="166"/>
      <c r="J273" s="317">
        <v>-7.6105652040609787E-3</v>
      </c>
      <c r="K273" s="166"/>
      <c r="L273" s="170"/>
      <c r="M273" s="317"/>
      <c r="N273" s="317"/>
      <c r="O273" s="317"/>
      <c r="P273" s="317"/>
      <c r="Q273" s="317"/>
      <c r="R273" s="317"/>
      <c r="S273" s="317"/>
      <c r="T273" s="317"/>
      <c r="U273" s="317"/>
      <c r="V273" s="317"/>
      <c r="W273" s="317"/>
    </row>
    <row r="274" spans="1:23" outlineLevel="1">
      <c r="A274" s="1" t="s">
        <v>131</v>
      </c>
      <c r="B274" s="13" t="s">
        <v>5</v>
      </c>
      <c r="C274" s="34" t="s">
        <v>642</v>
      </c>
      <c r="D274" s="34" t="s">
        <v>253</v>
      </c>
      <c r="E274" s="31" t="s">
        <v>58</v>
      </c>
      <c r="F274" s="31" t="s">
        <v>416</v>
      </c>
      <c r="G274" s="166"/>
      <c r="H274" s="166"/>
      <c r="I274" s="166"/>
      <c r="J274" s="317">
        <v>-8.9206560543243318E-5</v>
      </c>
      <c r="K274" s="166"/>
      <c r="L274" s="170"/>
      <c r="M274" s="317"/>
      <c r="N274" s="317"/>
      <c r="O274" s="317"/>
      <c r="P274" s="317"/>
      <c r="Q274" s="317"/>
      <c r="R274" s="317"/>
      <c r="S274" s="317"/>
      <c r="T274" s="317"/>
      <c r="U274" s="317"/>
      <c r="V274" s="317"/>
      <c r="W274" s="317"/>
    </row>
    <row r="275" spans="1:23" outlineLevel="1">
      <c r="A275" s="1" t="s">
        <v>131</v>
      </c>
      <c r="B275" s="13" t="s">
        <v>5</v>
      </c>
      <c r="C275" s="34" t="s">
        <v>272</v>
      </c>
      <c r="D275" s="34" t="s">
        <v>51</v>
      </c>
      <c r="E275" s="31" t="s">
        <v>142</v>
      </c>
      <c r="F275" s="31" t="s">
        <v>529</v>
      </c>
      <c r="G275" s="166"/>
      <c r="H275" s="166"/>
      <c r="I275" s="166"/>
      <c r="J275" s="317">
        <v>-1.310090850269677E-3</v>
      </c>
      <c r="K275" s="166"/>
      <c r="L275" s="170"/>
      <c r="M275" s="317"/>
      <c r="N275" s="317"/>
      <c r="O275" s="317"/>
      <c r="P275" s="317"/>
      <c r="Q275" s="317"/>
      <c r="R275" s="317"/>
      <c r="S275" s="317"/>
      <c r="T275" s="317"/>
      <c r="U275" s="317"/>
      <c r="V275" s="317"/>
      <c r="W275" s="317"/>
    </row>
    <row r="276" spans="1:23">
      <c r="A276" s="1" t="s">
        <v>131</v>
      </c>
      <c r="B276" s="13" t="s">
        <v>5</v>
      </c>
      <c r="C276" s="34" t="s">
        <v>557</v>
      </c>
      <c r="D276" s="34" t="s">
        <v>558</v>
      </c>
      <c r="E276" s="31" t="s">
        <v>53</v>
      </c>
      <c r="F276" s="31" t="s">
        <v>776</v>
      </c>
      <c r="G276" s="166"/>
      <c r="H276" s="166"/>
      <c r="I276" s="166"/>
      <c r="J276" s="166"/>
      <c r="K276" s="166"/>
      <c r="L276" s="34"/>
      <c r="M276" s="32"/>
      <c r="N276" s="32"/>
      <c r="O276" s="43"/>
      <c r="P276" s="43"/>
      <c r="Q276" s="43"/>
      <c r="R276" s="43">
        <v>-7.664517588016187E-3</v>
      </c>
      <c r="S276" s="43"/>
      <c r="T276" s="43"/>
      <c r="U276" s="43"/>
      <c r="V276" s="43"/>
      <c r="W276" s="43"/>
    </row>
    <row r="277" spans="1:23">
      <c r="A277" s="1" t="s">
        <v>131</v>
      </c>
      <c r="B277" s="13" t="s">
        <v>5</v>
      </c>
      <c r="C277" s="34" t="s">
        <v>662</v>
      </c>
      <c r="D277" s="34" t="s">
        <v>638</v>
      </c>
      <c r="E277" s="31" t="s">
        <v>33</v>
      </c>
      <c r="F277" s="31"/>
      <c r="G277" s="166"/>
      <c r="H277" s="166"/>
      <c r="I277" s="166"/>
      <c r="J277" s="166"/>
      <c r="K277" s="166"/>
      <c r="L277" s="34"/>
      <c r="M277" s="32"/>
      <c r="N277" s="32"/>
      <c r="O277" s="43"/>
      <c r="P277" s="43"/>
      <c r="Q277" s="239"/>
      <c r="R277" s="43"/>
      <c r="S277" s="43"/>
      <c r="T277" s="43"/>
      <c r="U277" s="43"/>
      <c r="V277" s="43"/>
      <c r="W277" s="43"/>
    </row>
    <row r="278" spans="1:23">
      <c r="A278" s="1" t="s">
        <v>131</v>
      </c>
      <c r="B278" s="13" t="s">
        <v>5</v>
      </c>
      <c r="C278" s="34" t="s">
        <v>628</v>
      </c>
      <c r="D278" s="34" t="s">
        <v>629</v>
      </c>
      <c r="E278" s="31" t="s">
        <v>33</v>
      </c>
      <c r="F278" s="29" t="s">
        <v>782</v>
      </c>
      <c r="G278" s="166"/>
      <c r="H278" s="166"/>
      <c r="I278" s="166"/>
      <c r="J278" s="166"/>
      <c r="K278" s="166"/>
      <c r="L278" s="34"/>
      <c r="M278" s="32"/>
      <c r="N278" s="32">
        <v>-1.4133906807541854E-2</v>
      </c>
      <c r="O278" s="43"/>
      <c r="P278" s="43"/>
      <c r="Q278" s="43"/>
      <c r="R278" s="43"/>
      <c r="S278" s="43"/>
      <c r="T278" s="43"/>
      <c r="U278" s="43"/>
      <c r="V278" s="43"/>
      <c r="W278" s="43"/>
    </row>
    <row r="279" spans="1:23">
      <c r="A279" s="1" t="s">
        <v>131</v>
      </c>
      <c r="B279" s="13" t="s">
        <v>5</v>
      </c>
      <c r="C279" s="34" t="s">
        <v>630</v>
      </c>
      <c r="D279" s="34" t="s">
        <v>631</v>
      </c>
      <c r="E279" s="31" t="s">
        <v>33</v>
      </c>
      <c r="F279" s="31" t="s">
        <v>781</v>
      </c>
      <c r="G279" s="166"/>
      <c r="H279" s="166"/>
      <c r="I279" s="166"/>
      <c r="J279" s="166"/>
      <c r="K279" s="166"/>
      <c r="L279" s="34"/>
      <c r="M279" s="32"/>
      <c r="N279" s="32"/>
      <c r="O279" s="43">
        <v>-1.609090928858611E-2</v>
      </c>
      <c r="P279" s="43"/>
      <c r="Q279" s="43"/>
      <c r="R279" s="43"/>
      <c r="S279" s="43"/>
      <c r="T279" s="43"/>
      <c r="U279" s="43"/>
      <c r="V279" s="43"/>
      <c r="W279" s="43"/>
    </row>
    <row r="280" spans="1:23">
      <c r="A280" s="1" t="s">
        <v>131</v>
      </c>
      <c r="B280" s="13" t="s">
        <v>5</v>
      </c>
      <c r="C280" s="34" t="s">
        <v>646</v>
      </c>
      <c r="D280" s="34" t="s">
        <v>633</v>
      </c>
      <c r="E280" s="31" t="s">
        <v>33</v>
      </c>
      <c r="F280" s="31" t="s">
        <v>781</v>
      </c>
      <c r="G280" s="166"/>
      <c r="H280" s="166"/>
      <c r="I280" s="166"/>
      <c r="J280" s="166"/>
      <c r="K280" s="166"/>
      <c r="L280" s="34"/>
      <c r="M280" s="32"/>
      <c r="N280" s="43"/>
      <c r="O280" s="43"/>
      <c r="P280" s="43"/>
      <c r="Q280" s="43"/>
      <c r="R280" s="43"/>
      <c r="S280" s="43"/>
      <c r="T280" s="43">
        <v>-2.3918919212763136E-3</v>
      </c>
      <c r="U280" s="43"/>
      <c r="V280" s="43"/>
      <c r="W280" s="43"/>
    </row>
    <row r="281" spans="1:23">
      <c r="A281" s="1" t="s">
        <v>131</v>
      </c>
      <c r="B281" s="13" t="s">
        <v>5</v>
      </c>
      <c r="C281" s="34" t="s">
        <v>647</v>
      </c>
      <c r="D281" s="34" t="s">
        <v>619</v>
      </c>
      <c r="E281" s="31" t="s">
        <v>43</v>
      </c>
      <c r="F281" s="34" t="s">
        <v>778</v>
      </c>
      <c r="G281" s="166"/>
      <c r="H281" s="166"/>
      <c r="I281" s="166"/>
      <c r="J281" s="166"/>
      <c r="K281" s="166"/>
      <c r="L281" s="34"/>
      <c r="M281" s="32">
        <v>-5.8927783741258418E-3</v>
      </c>
      <c r="N281" s="43"/>
      <c r="O281" s="43"/>
      <c r="P281" s="43"/>
      <c r="Q281" s="43"/>
      <c r="R281" s="43"/>
      <c r="S281" s="43"/>
      <c r="T281" s="43"/>
      <c r="U281" s="43"/>
      <c r="V281" s="43"/>
      <c r="W281" s="43"/>
    </row>
    <row r="282" spans="1:23">
      <c r="A282" s="1" t="s">
        <v>131</v>
      </c>
      <c r="B282" s="13" t="s">
        <v>5</v>
      </c>
      <c r="C282" s="34" t="s">
        <v>620</v>
      </c>
      <c r="D282" s="34" t="s">
        <v>119</v>
      </c>
      <c r="E282" s="31" t="s">
        <v>58</v>
      </c>
      <c r="F282" s="31" t="s">
        <v>775</v>
      </c>
      <c r="G282" s="166"/>
      <c r="H282" s="166"/>
      <c r="I282" s="166"/>
      <c r="J282" s="166"/>
      <c r="K282" s="166"/>
      <c r="L282" s="34"/>
      <c r="M282" s="32">
        <v>-5.4834781218605008E-3</v>
      </c>
      <c r="N282" s="32"/>
      <c r="O282" s="43"/>
      <c r="P282" s="43"/>
      <c r="Q282" s="43"/>
      <c r="R282" s="43"/>
      <c r="S282" s="43"/>
      <c r="T282" s="43"/>
      <c r="U282" s="43"/>
      <c r="V282" s="43"/>
      <c r="W282" s="43"/>
    </row>
    <row r="283" spans="1:23">
      <c r="A283" s="1" t="s">
        <v>131</v>
      </c>
      <c r="B283" s="13" t="s">
        <v>5</v>
      </c>
      <c r="C283" s="34" t="s">
        <v>648</v>
      </c>
      <c r="D283" s="34" t="s">
        <v>649</v>
      </c>
      <c r="E283" s="31" t="s">
        <v>772</v>
      </c>
      <c r="F283" s="31" t="s">
        <v>779</v>
      </c>
      <c r="G283" s="166"/>
      <c r="H283" s="166"/>
      <c r="I283" s="166"/>
      <c r="J283" s="166"/>
      <c r="K283" s="166"/>
      <c r="L283" s="34"/>
      <c r="M283" s="32"/>
      <c r="N283" s="32"/>
      <c r="O283" s="43">
        <v>-2.283059740652584E-3</v>
      </c>
      <c r="P283" s="43"/>
      <c r="Q283" s="43"/>
      <c r="R283" s="43"/>
      <c r="S283" s="43"/>
      <c r="T283" s="43"/>
      <c r="U283" s="43"/>
      <c r="V283" s="43"/>
      <c r="W283" s="43"/>
    </row>
    <row r="284" spans="1:23">
      <c r="A284" s="1" t="s">
        <v>131</v>
      </c>
      <c r="B284" s="13" t="s">
        <v>5</v>
      </c>
      <c r="C284" s="34" t="s">
        <v>588</v>
      </c>
      <c r="D284" s="34" t="s">
        <v>591</v>
      </c>
      <c r="E284" s="31" t="s">
        <v>43</v>
      </c>
      <c r="F284" s="31" t="s">
        <v>778</v>
      </c>
      <c r="G284" s="166"/>
      <c r="H284" s="166"/>
      <c r="I284" s="166"/>
      <c r="J284" s="166"/>
      <c r="K284" s="166"/>
      <c r="L284" s="34"/>
      <c r="M284" s="32"/>
      <c r="N284" s="32"/>
      <c r="O284" s="43"/>
      <c r="P284" s="43"/>
      <c r="Q284" s="195">
        <v>1.2454841080526305E-3</v>
      </c>
      <c r="R284" s="43"/>
      <c r="S284" s="43"/>
      <c r="T284" s="43"/>
      <c r="U284" s="43"/>
      <c r="V284" s="43"/>
      <c r="W284" s="43"/>
    </row>
    <row r="285" spans="1:23">
      <c r="A285" s="1" t="s">
        <v>131</v>
      </c>
      <c r="B285" s="13" t="s">
        <v>5</v>
      </c>
      <c r="C285" s="44" t="s">
        <v>22</v>
      </c>
      <c r="D285" s="44" t="s">
        <v>24</v>
      </c>
      <c r="E285" s="28" t="s">
        <v>772</v>
      </c>
      <c r="F285" s="7" t="s">
        <v>777</v>
      </c>
      <c r="G285" s="166"/>
      <c r="H285" s="166"/>
      <c r="I285" s="166"/>
      <c r="J285" s="166"/>
      <c r="K285" s="166"/>
      <c r="L285" s="34"/>
      <c r="M285" s="32"/>
      <c r="N285" s="43"/>
      <c r="O285" s="43"/>
      <c r="P285" s="43"/>
      <c r="Q285" s="45">
        <v>7.9460562892384318E-3</v>
      </c>
      <c r="R285" s="43"/>
      <c r="S285" s="43"/>
      <c r="T285" s="43"/>
      <c r="U285" s="43"/>
      <c r="V285" s="43"/>
      <c r="W285" s="43"/>
    </row>
    <row r="286" spans="1:23">
      <c r="A286" s="1" t="s">
        <v>131</v>
      </c>
      <c r="B286" s="13" t="s">
        <v>5</v>
      </c>
      <c r="C286" s="44" t="s">
        <v>22</v>
      </c>
      <c r="D286" s="44" t="s">
        <v>145</v>
      </c>
      <c r="E286" s="28" t="s">
        <v>53</v>
      </c>
      <c r="F286" s="7" t="s">
        <v>776</v>
      </c>
      <c r="G286" s="166"/>
      <c r="H286" s="166"/>
      <c r="I286" s="166"/>
      <c r="J286" s="166"/>
      <c r="K286" s="166"/>
      <c r="L286" s="34"/>
      <c r="M286" s="32"/>
      <c r="N286" s="43"/>
      <c r="O286" s="43"/>
      <c r="P286" s="43"/>
      <c r="Q286" s="45">
        <v>0</v>
      </c>
      <c r="R286" s="43"/>
      <c r="S286" s="43"/>
      <c r="T286" s="43"/>
      <c r="U286" s="43"/>
      <c r="V286" s="43"/>
      <c r="W286" s="43"/>
    </row>
    <row r="287" spans="1:23">
      <c r="A287" s="1" t="s">
        <v>131</v>
      </c>
      <c r="B287" s="13" t="s">
        <v>5</v>
      </c>
      <c r="C287" s="44" t="s">
        <v>22</v>
      </c>
      <c r="D287" s="44" t="s">
        <v>140</v>
      </c>
      <c r="E287" s="28" t="s">
        <v>43</v>
      </c>
      <c r="F287" s="28" t="s">
        <v>778</v>
      </c>
      <c r="G287" s="166"/>
      <c r="H287" s="166"/>
      <c r="I287" s="166"/>
      <c r="J287" s="166"/>
      <c r="K287" s="166"/>
      <c r="L287" s="34"/>
      <c r="M287" s="32"/>
      <c r="N287" s="43"/>
      <c r="O287" s="43"/>
      <c r="P287" s="43"/>
      <c r="Q287" s="45">
        <v>1.3798340853375809E-3</v>
      </c>
      <c r="R287" s="43"/>
      <c r="S287" s="43"/>
      <c r="T287" s="43"/>
      <c r="U287" s="43"/>
      <c r="V287" s="43"/>
      <c r="W287" s="43"/>
    </row>
    <row r="288" spans="1:23">
      <c r="A288" s="1" t="s">
        <v>131</v>
      </c>
      <c r="B288" s="13" t="s">
        <v>5</v>
      </c>
      <c r="C288" s="44" t="s">
        <v>22</v>
      </c>
      <c r="D288" s="44" t="s">
        <v>49</v>
      </c>
      <c r="E288" s="28" t="s">
        <v>142</v>
      </c>
      <c r="F288" s="7" t="s">
        <v>529</v>
      </c>
      <c r="G288" s="166"/>
      <c r="H288" s="166"/>
      <c r="I288" s="166"/>
      <c r="J288" s="166"/>
      <c r="K288" s="166"/>
      <c r="L288" s="34"/>
      <c r="M288" s="32"/>
      <c r="N288" s="32"/>
      <c r="O288" s="43"/>
      <c r="P288" s="43"/>
      <c r="Q288" s="45">
        <v>7.1416830407102236E-3</v>
      </c>
      <c r="R288" s="43"/>
      <c r="S288" s="43"/>
      <c r="T288" s="43"/>
      <c r="U288" s="43"/>
      <c r="V288" s="43"/>
      <c r="W288" s="43"/>
    </row>
    <row r="289" spans="1:23">
      <c r="A289" s="1" t="s">
        <v>131</v>
      </c>
      <c r="B289" s="13" t="s">
        <v>5</v>
      </c>
      <c r="C289" s="44" t="s">
        <v>22</v>
      </c>
      <c r="D289" s="44" t="s">
        <v>58</v>
      </c>
      <c r="E289" s="28" t="s">
        <v>58</v>
      </c>
      <c r="F289" s="28"/>
      <c r="G289" s="166"/>
      <c r="H289" s="166"/>
      <c r="I289" s="166"/>
      <c r="J289" s="166"/>
      <c r="K289" s="166"/>
      <c r="L289" s="34"/>
      <c r="M289" s="32"/>
      <c r="N289" s="32"/>
      <c r="O289" s="43"/>
      <c r="P289" s="43"/>
      <c r="Q289" s="43"/>
      <c r="R289" s="43"/>
      <c r="S289" s="45">
        <v>8.5595690637774655E-3</v>
      </c>
      <c r="T289" s="43"/>
      <c r="U289" s="43"/>
      <c r="V289" s="43"/>
      <c r="W289" s="43"/>
    </row>
    <row r="290" spans="1:23">
      <c r="A290" s="1" t="s">
        <v>131</v>
      </c>
      <c r="B290" s="13" t="s">
        <v>5</v>
      </c>
      <c r="C290" s="44" t="s">
        <v>22</v>
      </c>
      <c r="D290" s="44" t="s">
        <v>33</v>
      </c>
      <c r="E290" s="28" t="s">
        <v>33</v>
      </c>
      <c r="F290" s="28"/>
      <c r="G290" s="166"/>
      <c r="H290" s="166"/>
      <c r="I290" s="166"/>
      <c r="J290" s="166"/>
      <c r="K290" s="166"/>
      <c r="L290" s="34"/>
      <c r="M290" s="32"/>
      <c r="N290" s="32"/>
      <c r="O290" s="43"/>
      <c r="P290" s="43"/>
      <c r="Q290" s="45">
        <v>2.2454023774445806E-2</v>
      </c>
      <c r="R290" s="43"/>
      <c r="S290" s="43"/>
      <c r="T290" s="43"/>
      <c r="U290" s="43"/>
      <c r="V290" s="43"/>
      <c r="W290" s="43"/>
    </row>
    <row r="291" spans="1:23">
      <c r="A291" s="1" t="s">
        <v>131</v>
      </c>
      <c r="B291" s="13" t="s">
        <v>5</v>
      </c>
      <c r="C291" s="34" t="s">
        <v>620</v>
      </c>
      <c r="D291" s="34" t="s">
        <v>645</v>
      </c>
      <c r="E291" s="31" t="s">
        <v>33</v>
      </c>
      <c r="F291" s="31" t="s">
        <v>784</v>
      </c>
      <c r="G291" s="166"/>
      <c r="H291" s="166"/>
      <c r="I291" s="166"/>
      <c r="J291" s="166"/>
      <c r="K291" s="166"/>
      <c r="L291" s="34"/>
      <c r="M291" s="32">
        <v>0</v>
      </c>
      <c r="N291" s="32">
        <v>-4.3488944023205699E-3</v>
      </c>
      <c r="O291" s="43"/>
      <c r="P291" s="43"/>
      <c r="Q291" s="43"/>
      <c r="R291" s="43"/>
      <c r="S291" s="43"/>
      <c r="T291" s="43"/>
      <c r="U291" s="43"/>
      <c r="V291" s="43"/>
      <c r="W291" s="43"/>
    </row>
    <row r="292" spans="1:23">
      <c r="A292" s="1" t="s">
        <v>131</v>
      </c>
      <c r="B292" s="13" t="s">
        <v>5</v>
      </c>
      <c r="C292" s="34" t="s">
        <v>620</v>
      </c>
      <c r="D292" s="34" t="s">
        <v>650</v>
      </c>
      <c r="E292" s="31" t="s">
        <v>772</v>
      </c>
      <c r="F292" s="31" t="s">
        <v>779</v>
      </c>
      <c r="G292" s="166"/>
      <c r="H292" s="166"/>
      <c r="I292" s="166"/>
      <c r="J292" s="166"/>
      <c r="K292" s="166"/>
      <c r="L292" s="34"/>
      <c r="M292" s="32"/>
      <c r="N292" s="32">
        <v>-2.1744472011602851E-4</v>
      </c>
      <c r="O292" s="43"/>
      <c r="P292" s="43"/>
      <c r="Q292" s="43"/>
      <c r="R292" s="43"/>
      <c r="S292" s="43"/>
      <c r="T292" s="43"/>
      <c r="U292" s="43"/>
      <c r="V292" s="43"/>
      <c r="W292" s="43"/>
    </row>
    <row r="293" spans="1:23">
      <c r="A293" s="1" t="s">
        <v>131</v>
      </c>
      <c r="B293" s="13" t="s">
        <v>5</v>
      </c>
      <c r="C293" s="34" t="s">
        <v>620</v>
      </c>
      <c r="D293" s="34" t="s">
        <v>685</v>
      </c>
      <c r="E293" s="31" t="s">
        <v>772</v>
      </c>
      <c r="F293" s="29" t="s">
        <v>777</v>
      </c>
      <c r="G293" s="166"/>
      <c r="H293" s="166"/>
      <c r="I293" s="166"/>
      <c r="J293" s="166"/>
      <c r="K293" s="166"/>
      <c r="L293" s="34"/>
      <c r="M293" s="32"/>
      <c r="N293" s="32">
        <v>-4.3760749923350795E-4</v>
      </c>
      <c r="O293" s="43"/>
      <c r="P293" s="43"/>
      <c r="Q293" s="43"/>
      <c r="R293" s="43"/>
      <c r="S293" s="43"/>
      <c r="T293" s="43"/>
      <c r="U293" s="43"/>
      <c r="V293" s="43"/>
      <c r="W293" s="43"/>
    </row>
    <row r="294" spans="1:23">
      <c r="A294" s="1" t="s">
        <v>131</v>
      </c>
      <c r="B294" s="13" t="s">
        <v>5</v>
      </c>
      <c r="C294" s="34" t="s">
        <v>620</v>
      </c>
      <c r="D294" s="34" t="s">
        <v>464</v>
      </c>
      <c r="E294" s="31" t="s">
        <v>772</v>
      </c>
      <c r="F294" s="31"/>
      <c r="G294" s="166"/>
      <c r="H294" s="166"/>
      <c r="I294" s="166"/>
      <c r="J294" s="166"/>
      <c r="K294" s="166"/>
      <c r="L294" s="34"/>
      <c r="M294" s="32"/>
      <c r="N294" s="32">
        <v>-2.1744472012441562E-4</v>
      </c>
      <c r="O294" s="43"/>
      <c r="P294" s="43"/>
      <c r="Q294" s="43"/>
      <c r="R294" s="43"/>
      <c r="S294" s="43"/>
      <c r="T294" s="43"/>
      <c r="U294" s="43"/>
      <c r="V294" s="43"/>
      <c r="W294" s="43"/>
    </row>
    <row r="295" spans="1:23">
      <c r="A295" s="1" t="s">
        <v>131</v>
      </c>
      <c r="B295" s="13" t="s">
        <v>5</v>
      </c>
      <c r="C295" s="34" t="s">
        <v>117</v>
      </c>
      <c r="D295" s="34" t="s">
        <v>117</v>
      </c>
      <c r="E295" s="31" t="s">
        <v>33</v>
      </c>
      <c r="F295" s="31" t="s">
        <v>784</v>
      </c>
      <c r="G295" s="166"/>
      <c r="H295" s="166"/>
      <c r="I295" s="166"/>
      <c r="J295" s="166"/>
      <c r="K295" s="166"/>
      <c r="L295" s="34"/>
      <c r="M295" s="32"/>
      <c r="N295" s="32"/>
      <c r="O295" s="43"/>
      <c r="P295" s="43"/>
      <c r="Q295" s="43"/>
      <c r="R295" s="43"/>
      <c r="S295" s="43"/>
      <c r="T295" s="43"/>
      <c r="U295" s="196">
        <f>0.36/$Y$2</f>
        <v>3.9140049620885131E-2</v>
      </c>
      <c r="V295" s="43"/>
      <c r="W295" s="43"/>
    </row>
    <row r="296" spans="1:23">
      <c r="A296" s="1" t="s">
        <v>131</v>
      </c>
      <c r="B296" s="13" t="s">
        <v>5</v>
      </c>
      <c r="C296" s="34" t="s">
        <v>642</v>
      </c>
      <c r="D296" s="34" t="s">
        <v>253</v>
      </c>
      <c r="E296" s="31" t="s">
        <v>58</v>
      </c>
      <c r="F296" s="31" t="s">
        <v>416</v>
      </c>
      <c r="G296" s="166"/>
      <c r="H296" s="166"/>
      <c r="I296" s="166"/>
      <c r="J296" s="166"/>
      <c r="K296" s="166"/>
      <c r="L296" s="34"/>
      <c r="M296" s="32">
        <v>-5.8927783741221329E-5</v>
      </c>
      <c r="N296" s="32">
        <v>-3.849791916340752E-3</v>
      </c>
      <c r="O296" s="43">
        <v>-1.5753086748614443E-4</v>
      </c>
      <c r="P296" s="43"/>
      <c r="Q296" s="43"/>
      <c r="R296" s="43"/>
      <c r="S296" s="43"/>
      <c r="T296" s="43"/>
      <c r="U296" s="43"/>
      <c r="V296" s="43"/>
      <c r="W296" s="43"/>
    </row>
    <row r="297" spans="1:23">
      <c r="A297" s="1" t="s">
        <v>131</v>
      </c>
      <c r="B297" s="13" t="s">
        <v>5</v>
      </c>
      <c r="C297" s="34" t="s">
        <v>272</v>
      </c>
      <c r="D297" s="34" t="s">
        <v>51</v>
      </c>
      <c r="E297" s="31" t="s">
        <v>142</v>
      </c>
      <c r="F297" s="31" t="s">
        <v>529</v>
      </c>
      <c r="G297" s="166"/>
      <c r="H297" s="166"/>
      <c r="I297" s="166"/>
      <c r="J297" s="166"/>
      <c r="K297" s="166"/>
      <c r="L297" s="34"/>
      <c r="M297" s="32"/>
      <c r="N297" s="32"/>
      <c r="O297" s="43">
        <v>-1.317389406534808E-3</v>
      </c>
      <c r="P297" s="43"/>
      <c r="Q297" s="43"/>
      <c r="R297" s="43"/>
      <c r="S297" s="43"/>
      <c r="T297" s="43"/>
      <c r="U297" s="43"/>
      <c r="V297" s="43"/>
      <c r="W297" s="43"/>
    </row>
    <row r="298" spans="1:23">
      <c r="A298" s="1" t="s">
        <v>131</v>
      </c>
      <c r="B298" s="13" t="s">
        <v>5</v>
      </c>
      <c r="C298" s="34" t="s">
        <v>594</v>
      </c>
      <c r="D298" s="34" t="s">
        <v>595</v>
      </c>
      <c r="E298" s="31" t="s">
        <v>33</v>
      </c>
      <c r="F298" s="31" t="s">
        <v>781</v>
      </c>
      <c r="G298" s="166"/>
      <c r="H298" s="166"/>
      <c r="I298" s="166"/>
      <c r="J298" s="166"/>
      <c r="K298" s="166"/>
      <c r="L298" s="34"/>
      <c r="M298" s="32"/>
      <c r="N298" s="32"/>
      <c r="O298" s="43"/>
      <c r="P298" s="237"/>
      <c r="Q298" s="43"/>
      <c r="R298" s="43"/>
      <c r="S298" s="43">
        <v>-1.4999999999999999E-2</v>
      </c>
      <c r="T298" s="43"/>
      <c r="U298" s="43"/>
      <c r="V298" s="43"/>
      <c r="W298" s="43"/>
    </row>
    <row r="299" spans="1:23">
      <c r="A299" s="1" t="s">
        <v>131</v>
      </c>
      <c r="B299" s="13" t="s">
        <v>5</v>
      </c>
      <c r="C299" s="222" t="s">
        <v>677</v>
      </c>
      <c r="D299" s="132" t="s">
        <v>678</v>
      </c>
      <c r="E299" s="47" t="s">
        <v>33</v>
      </c>
      <c r="F299" s="47" t="s">
        <v>782</v>
      </c>
      <c r="G299" s="167"/>
      <c r="H299" s="167"/>
      <c r="I299" s="167"/>
      <c r="J299" s="167"/>
      <c r="K299" s="167"/>
      <c r="L299" s="46"/>
      <c r="M299" s="46"/>
      <c r="N299" s="46"/>
      <c r="O299" s="46"/>
      <c r="P299" s="238"/>
      <c r="Q299" s="46"/>
      <c r="R299" s="46"/>
      <c r="S299" s="46">
        <v>-1.62845564529399E-2</v>
      </c>
      <c r="T299" s="46"/>
      <c r="U299" s="46"/>
      <c r="V299" s="46"/>
      <c r="W299" s="46"/>
    </row>
    <row r="300" spans="1:23">
      <c r="A300" s="1" t="s">
        <v>131</v>
      </c>
      <c r="B300" s="13" t="s">
        <v>5</v>
      </c>
      <c r="C300" s="51" t="s">
        <v>291</v>
      </c>
      <c r="D300" s="46" t="s">
        <v>600</v>
      </c>
      <c r="E300" s="47" t="s">
        <v>772</v>
      </c>
      <c r="F300" s="47" t="s">
        <v>777</v>
      </c>
      <c r="G300" s="167"/>
      <c r="H300" s="167"/>
      <c r="I300" s="167"/>
      <c r="J300" s="167"/>
      <c r="K300" s="167"/>
      <c r="L300" s="46"/>
      <c r="M300" s="46"/>
      <c r="N300" s="46"/>
      <c r="O300" s="46"/>
      <c r="P300" s="238">
        <v>-4.5538360510299428E-3</v>
      </c>
      <c r="Q300" s="46"/>
      <c r="R300" s="46"/>
      <c r="S300" s="46"/>
      <c r="T300" s="46"/>
      <c r="U300" s="46"/>
      <c r="V300" s="46"/>
      <c r="W300" s="46"/>
    </row>
    <row r="301" spans="1:23">
      <c r="A301" s="1" t="s">
        <v>131</v>
      </c>
      <c r="B301" s="13" t="s">
        <v>5</v>
      </c>
      <c r="C301" s="51" t="s">
        <v>291</v>
      </c>
      <c r="D301" s="46" t="s">
        <v>601</v>
      </c>
      <c r="E301" s="47" t="s">
        <v>389</v>
      </c>
      <c r="F301" s="47" t="s">
        <v>786</v>
      </c>
      <c r="G301" s="167"/>
      <c r="H301" s="167"/>
      <c r="I301" s="167"/>
      <c r="J301" s="167"/>
      <c r="K301" s="167"/>
      <c r="L301" s="46"/>
      <c r="M301" s="46"/>
      <c r="N301" s="46"/>
      <c r="O301" s="46"/>
      <c r="P301" s="238"/>
      <c r="Q301" s="46"/>
      <c r="R301" s="46">
        <v>-5.9999999999999995E-4</v>
      </c>
      <c r="S301" s="46"/>
      <c r="T301" s="46"/>
      <c r="U301" s="46"/>
      <c r="V301" s="46"/>
      <c r="W301" s="46"/>
    </row>
    <row r="302" spans="1:23">
      <c r="A302" s="1" t="s">
        <v>131</v>
      </c>
      <c r="B302" s="13" t="s">
        <v>5</v>
      </c>
      <c r="C302" s="51" t="s">
        <v>291</v>
      </c>
      <c r="D302" s="46" t="s">
        <v>602</v>
      </c>
      <c r="E302" s="47" t="s">
        <v>58</v>
      </c>
      <c r="F302" s="47" t="s">
        <v>416</v>
      </c>
      <c r="G302" s="167"/>
      <c r="H302" s="167"/>
      <c r="I302" s="167"/>
      <c r="J302" s="167"/>
      <c r="K302" s="167"/>
      <c r="L302" s="46"/>
      <c r="M302" s="46"/>
      <c r="N302" s="46"/>
      <c r="O302" s="46"/>
      <c r="P302" s="238">
        <v>1.9303579620727658E-4</v>
      </c>
      <c r="Q302" s="46"/>
      <c r="R302" s="46"/>
      <c r="S302" s="46"/>
      <c r="T302" s="46"/>
      <c r="U302" s="46"/>
      <c r="V302" s="46"/>
      <c r="W302" s="46"/>
    </row>
    <row r="303" spans="1:23">
      <c r="A303" s="1" t="s">
        <v>131</v>
      </c>
      <c r="B303" s="13" t="s">
        <v>5</v>
      </c>
      <c r="C303" s="51" t="s">
        <v>750</v>
      </c>
      <c r="D303" s="46" t="s">
        <v>755</v>
      </c>
      <c r="E303" s="47" t="s">
        <v>33</v>
      </c>
      <c r="F303" s="47" t="s">
        <v>781</v>
      </c>
      <c r="G303" s="167"/>
      <c r="H303" s="167"/>
      <c r="I303" s="167"/>
      <c r="J303" s="167"/>
      <c r="K303" s="167"/>
      <c r="L303" s="46"/>
      <c r="M303" s="46"/>
      <c r="N303" s="46"/>
      <c r="O303" s="46"/>
      <c r="P303" s="46"/>
      <c r="Q303" s="440">
        <f>-0.0117963760662946*0</f>
        <v>0</v>
      </c>
      <c r="R303" s="46"/>
      <c r="S303" s="46"/>
      <c r="T303" s="46"/>
      <c r="U303" s="46"/>
      <c r="V303" s="46"/>
      <c r="W303" s="46"/>
    </row>
    <row r="304" spans="1:23">
      <c r="A304" s="1" t="s">
        <v>131</v>
      </c>
      <c r="B304" s="13" t="s">
        <v>5</v>
      </c>
      <c r="C304" s="51" t="s">
        <v>750</v>
      </c>
      <c r="D304" s="46" t="s">
        <v>293</v>
      </c>
      <c r="E304" s="47" t="s">
        <v>142</v>
      </c>
      <c r="F304" s="47" t="s">
        <v>529</v>
      </c>
      <c r="G304" s="167"/>
      <c r="H304" s="167"/>
      <c r="I304" s="167"/>
      <c r="J304" s="167"/>
      <c r="K304" s="167"/>
      <c r="L304" s="46"/>
      <c r="M304" s="46"/>
      <c r="N304" s="46"/>
      <c r="O304" s="46"/>
      <c r="P304" s="46"/>
      <c r="Q304" s="46"/>
      <c r="R304" s="426">
        <f>-0.004*7.5</f>
        <v>-0.03</v>
      </c>
      <c r="S304" s="46"/>
      <c r="T304" s="46"/>
      <c r="U304" s="46"/>
      <c r="V304" s="46"/>
      <c r="W304" s="46"/>
    </row>
    <row r="305" spans="1:23">
      <c r="A305" s="1" t="s">
        <v>131</v>
      </c>
      <c r="B305" s="13" t="s">
        <v>5</v>
      </c>
      <c r="C305" s="51" t="s">
        <v>291</v>
      </c>
      <c r="D305" s="46"/>
      <c r="E305" s="47"/>
      <c r="F305" s="47"/>
      <c r="G305" s="167"/>
      <c r="H305" s="167"/>
      <c r="I305" s="167"/>
      <c r="J305" s="167"/>
      <c r="K305" s="167"/>
      <c r="L305" s="46"/>
      <c r="M305" s="46"/>
      <c r="N305" s="46"/>
      <c r="O305" s="46"/>
      <c r="P305" s="46"/>
      <c r="Q305" s="46"/>
      <c r="R305" s="46"/>
      <c r="S305" s="46"/>
      <c r="T305" s="46"/>
      <c r="U305" s="46"/>
      <c r="V305" s="46"/>
      <c r="W305" s="46"/>
    </row>
    <row r="306" spans="1:23">
      <c r="A306" s="1" t="s">
        <v>131</v>
      </c>
      <c r="B306" s="13" t="s">
        <v>5</v>
      </c>
      <c r="C306" s="51" t="s">
        <v>291</v>
      </c>
      <c r="D306" s="46"/>
      <c r="E306" s="47"/>
      <c r="F306" s="47"/>
      <c r="G306" s="167"/>
      <c r="H306" s="167"/>
      <c r="I306" s="167"/>
      <c r="J306" s="167"/>
      <c r="K306" s="167"/>
      <c r="L306" s="46"/>
      <c r="M306" s="46"/>
      <c r="N306" s="46"/>
      <c r="O306" s="46"/>
      <c r="P306" s="46"/>
      <c r="Q306" s="46"/>
      <c r="R306" s="46"/>
      <c r="S306" s="46"/>
      <c r="T306" s="46"/>
      <c r="U306" s="46"/>
      <c r="V306" s="46"/>
      <c r="W306" s="46"/>
    </row>
    <row r="307" spans="1:23" s="152" customFormat="1">
      <c r="A307" s="148" t="s">
        <v>19</v>
      </c>
      <c r="B307" s="148" t="s">
        <v>225</v>
      </c>
      <c r="C307" s="151"/>
      <c r="D307" s="148"/>
      <c r="E307" s="148" t="s">
        <v>686</v>
      </c>
      <c r="F307" s="148"/>
      <c r="G307" s="199">
        <v>0.95700927376046097</v>
      </c>
      <c r="H307" s="199">
        <v>0.94863765203599415</v>
      </c>
      <c r="I307" s="199">
        <v>0.93315166417375817</v>
      </c>
      <c r="J307" s="199">
        <v>0.93315166417375817</v>
      </c>
      <c r="K307" s="199">
        <v>0.92548714658574194</v>
      </c>
      <c r="L307" s="199">
        <f>MoDi!D105</f>
        <v>0.94129085988020034</v>
      </c>
      <c r="M307" s="199">
        <f>MoDi!E105</f>
        <v>0.93153640031042628</v>
      </c>
      <c r="N307" s="199">
        <f>MoDi!F105</f>
        <v>0.89705247164969004</v>
      </c>
      <c r="O307" s="199">
        <f>MoDi!G105</f>
        <v>0.87754355251014182</v>
      </c>
      <c r="P307" s="199">
        <f>MoDi!H105</f>
        <v>0.86796290552512156</v>
      </c>
      <c r="Q307" s="199">
        <f>MoDi!I105</f>
        <v>0.86796290552512156</v>
      </c>
      <c r="R307" s="199">
        <f>MoDi!J105</f>
        <v>0.86029838793710534</v>
      </c>
      <c r="S307" s="199">
        <f>MoDi!K105</f>
        <v>0.86029838793710534</v>
      </c>
      <c r="T307" s="199">
        <f>MoDi!L105</f>
        <v>0.85344887925345048</v>
      </c>
      <c r="U307" s="199">
        <f>MoDi!M105</f>
        <v>0.85344887925345048</v>
      </c>
      <c r="V307" s="199">
        <f>MoDi!N105</f>
        <v>0.85344887925345048</v>
      </c>
      <c r="W307" s="199">
        <f>MoDi!O105</f>
        <v>0.85344887925345048</v>
      </c>
    </row>
    <row r="308" spans="1:23">
      <c r="A308" s="1" t="s">
        <v>19</v>
      </c>
      <c r="B308" s="12" t="s">
        <v>4</v>
      </c>
      <c r="C308" s="22" t="s">
        <v>687</v>
      </c>
      <c r="D308" s="21" t="s">
        <v>688</v>
      </c>
      <c r="E308" s="23" t="s">
        <v>53</v>
      </c>
      <c r="F308" s="23" t="s">
        <v>776</v>
      </c>
      <c r="G308" s="170"/>
      <c r="H308" s="170"/>
      <c r="I308" s="170"/>
      <c r="J308" s="170"/>
      <c r="K308" s="170"/>
      <c r="L308" s="117">
        <v>0</v>
      </c>
      <c r="M308" s="117">
        <v>0</v>
      </c>
      <c r="N308" s="117">
        <v>0</v>
      </c>
      <c r="O308" s="117">
        <v>0</v>
      </c>
      <c r="P308" s="117">
        <v>0</v>
      </c>
      <c r="Q308" s="117">
        <v>0</v>
      </c>
      <c r="R308" s="117">
        <v>-7.664517588016187E-3</v>
      </c>
      <c r="S308" s="117">
        <v>0</v>
      </c>
      <c r="T308" s="117">
        <v>0</v>
      </c>
      <c r="U308" s="117">
        <v>0</v>
      </c>
      <c r="V308" s="117">
        <v>0</v>
      </c>
      <c r="W308" s="118">
        <v>0</v>
      </c>
    </row>
    <row r="309" spans="1:23">
      <c r="A309" s="1" t="s">
        <v>19</v>
      </c>
      <c r="B309" s="12" t="s">
        <v>4</v>
      </c>
      <c r="C309" s="22" t="s">
        <v>689</v>
      </c>
      <c r="D309" s="21" t="s">
        <v>690</v>
      </c>
      <c r="E309" s="23" t="s">
        <v>33</v>
      </c>
      <c r="F309" s="23" t="s">
        <v>782</v>
      </c>
      <c r="G309" s="170"/>
      <c r="H309" s="170"/>
      <c r="I309" s="170"/>
      <c r="J309" s="170"/>
      <c r="K309" s="170"/>
      <c r="L309" s="117">
        <v>0</v>
      </c>
      <c r="M309" s="117">
        <v>0</v>
      </c>
      <c r="N309" s="106">
        <v>-1.532550387377769E-2</v>
      </c>
      <c r="O309" s="117">
        <v>0</v>
      </c>
      <c r="P309" s="117">
        <v>0</v>
      </c>
      <c r="Q309" s="117">
        <v>0</v>
      </c>
      <c r="R309" s="117">
        <v>0</v>
      </c>
      <c r="S309" s="117">
        <v>0</v>
      </c>
      <c r="T309" s="117">
        <v>0</v>
      </c>
      <c r="U309" s="117">
        <v>0</v>
      </c>
      <c r="V309" s="117">
        <v>0</v>
      </c>
      <c r="W309" s="118">
        <v>0</v>
      </c>
    </row>
    <row r="310" spans="1:23">
      <c r="A310" s="1" t="s">
        <v>19</v>
      </c>
      <c r="B310" s="12" t="s">
        <v>4</v>
      </c>
      <c r="C310" s="22" t="s">
        <v>691</v>
      </c>
      <c r="D310" s="21" t="s">
        <v>692</v>
      </c>
      <c r="E310" s="23" t="s">
        <v>33</v>
      </c>
      <c r="F310" s="23" t="s">
        <v>781</v>
      </c>
      <c r="G310" s="170"/>
      <c r="H310" s="170"/>
      <c r="I310" s="170"/>
      <c r="J310" s="170"/>
      <c r="K310" s="170"/>
      <c r="L310" s="117">
        <v>0</v>
      </c>
      <c r="M310" s="117">
        <v>0</v>
      </c>
      <c r="N310" s="117">
        <v>-1.2451971897444373E-2</v>
      </c>
      <c r="O310" s="117">
        <v>0</v>
      </c>
      <c r="P310" s="117">
        <v>0</v>
      </c>
      <c r="Q310" s="117">
        <v>0</v>
      </c>
      <c r="R310" s="117">
        <v>0</v>
      </c>
      <c r="S310" s="117">
        <v>0</v>
      </c>
      <c r="T310" s="117">
        <v>0</v>
      </c>
      <c r="U310" s="117">
        <v>0</v>
      </c>
      <c r="V310" s="117">
        <v>0</v>
      </c>
      <c r="W310" s="118">
        <v>0</v>
      </c>
    </row>
    <row r="311" spans="1:23">
      <c r="A311" s="1" t="s">
        <v>19</v>
      </c>
      <c r="B311" s="12" t="s">
        <v>4</v>
      </c>
      <c r="C311" s="22" t="s">
        <v>693</v>
      </c>
      <c r="D311" s="21" t="s">
        <v>694</v>
      </c>
      <c r="E311" s="23" t="s">
        <v>33</v>
      </c>
      <c r="F311" s="23" t="s">
        <v>781</v>
      </c>
      <c r="G311" s="170"/>
      <c r="H311" s="170"/>
      <c r="I311" s="170"/>
      <c r="J311" s="170"/>
      <c r="K311" s="170"/>
      <c r="L311" s="117">
        <v>0</v>
      </c>
      <c r="M311" s="117">
        <v>0</v>
      </c>
      <c r="N311" s="117">
        <v>0</v>
      </c>
      <c r="O311" s="117">
        <v>0</v>
      </c>
      <c r="P311" s="117">
        <v>0</v>
      </c>
      <c r="Q311" s="117">
        <v>0</v>
      </c>
      <c r="R311" s="117">
        <v>0</v>
      </c>
      <c r="S311" s="117">
        <v>0</v>
      </c>
      <c r="T311" s="117">
        <v>-6.8495086836548981E-3</v>
      </c>
      <c r="U311" s="117">
        <v>0</v>
      </c>
      <c r="V311" s="117">
        <v>0</v>
      </c>
      <c r="W311" s="118">
        <v>0</v>
      </c>
    </row>
    <row r="312" spans="1:23">
      <c r="A312" s="1" t="s">
        <v>19</v>
      </c>
      <c r="B312" s="12" t="s">
        <v>4</v>
      </c>
      <c r="C312" s="22" t="s">
        <v>695</v>
      </c>
      <c r="D312" s="21" t="s">
        <v>696</v>
      </c>
      <c r="E312" s="23" t="s">
        <v>772</v>
      </c>
      <c r="F312" s="23" t="s">
        <v>777</v>
      </c>
      <c r="G312" s="170"/>
      <c r="H312" s="170"/>
      <c r="I312" s="170"/>
      <c r="J312" s="170"/>
      <c r="K312" s="170"/>
      <c r="L312" s="117">
        <v>0</v>
      </c>
      <c r="M312" s="336">
        <v>-9.7544595697741081E-3</v>
      </c>
      <c r="N312" s="336">
        <v>0</v>
      </c>
      <c r="O312" s="336">
        <v>0</v>
      </c>
      <c r="P312" s="134">
        <v>0</v>
      </c>
      <c r="Q312" s="117">
        <v>0</v>
      </c>
      <c r="R312" s="117">
        <v>0</v>
      </c>
      <c r="S312" s="117">
        <v>0</v>
      </c>
      <c r="T312" s="117">
        <v>0</v>
      </c>
      <c r="U312" s="117">
        <v>0</v>
      </c>
      <c r="V312" s="117">
        <v>0</v>
      </c>
      <c r="W312" s="118">
        <v>0</v>
      </c>
    </row>
    <row r="313" spans="1:23">
      <c r="A313" s="1" t="s">
        <v>19</v>
      </c>
      <c r="B313" s="12" t="s">
        <v>4</v>
      </c>
      <c r="C313" s="22" t="s">
        <v>697</v>
      </c>
      <c r="D313" s="21" t="s">
        <v>698</v>
      </c>
      <c r="E313" s="23" t="s">
        <v>772</v>
      </c>
      <c r="F313" s="23" t="s">
        <v>777</v>
      </c>
      <c r="G313" s="170"/>
      <c r="H313" s="170"/>
      <c r="I313" s="170"/>
      <c r="J313" s="170"/>
      <c r="K313" s="170"/>
      <c r="L313" s="117">
        <v>0</v>
      </c>
      <c r="M313" s="336">
        <v>0</v>
      </c>
      <c r="N313" s="336">
        <v>0</v>
      </c>
      <c r="O313" s="336">
        <v>-1.9508919139548195E-2</v>
      </c>
      <c r="P313" s="134">
        <v>0</v>
      </c>
      <c r="Q313" s="117">
        <v>0</v>
      </c>
      <c r="R313" s="117">
        <v>0</v>
      </c>
      <c r="S313" s="117">
        <v>0</v>
      </c>
      <c r="T313" s="117">
        <v>0</v>
      </c>
      <c r="U313" s="117">
        <v>0</v>
      </c>
      <c r="V313" s="117">
        <v>0</v>
      </c>
      <c r="W313" s="118">
        <v>0</v>
      </c>
    </row>
    <row r="314" spans="1:23">
      <c r="A314" s="1" t="s">
        <v>19</v>
      </c>
      <c r="B314" s="12" t="s">
        <v>4</v>
      </c>
      <c r="C314" s="22" t="s">
        <v>699</v>
      </c>
      <c r="D314" s="21" t="s">
        <v>52</v>
      </c>
      <c r="E314" s="23" t="s">
        <v>142</v>
      </c>
      <c r="F314" s="23" t="s">
        <v>529</v>
      </c>
      <c r="G314" s="170"/>
      <c r="H314" s="170"/>
      <c r="I314" s="170"/>
      <c r="J314" s="170"/>
      <c r="K314" s="170"/>
      <c r="L314" s="117">
        <v>0</v>
      </c>
      <c r="M314" s="134">
        <v>0</v>
      </c>
      <c r="N314" s="336">
        <v>-2.8741940955060706E-3</v>
      </c>
      <c r="O314" s="134">
        <v>0</v>
      </c>
      <c r="P314" s="134">
        <v>0</v>
      </c>
      <c r="Q314" s="117">
        <v>0</v>
      </c>
      <c r="R314" s="117">
        <v>0</v>
      </c>
      <c r="S314" s="117">
        <v>0</v>
      </c>
      <c r="T314" s="117">
        <v>0</v>
      </c>
      <c r="U314" s="117">
        <v>0</v>
      </c>
      <c r="V314" s="117">
        <v>0</v>
      </c>
      <c r="W314" s="118">
        <v>0</v>
      </c>
    </row>
    <row r="315" spans="1:23">
      <c r="A315" s="1" t="s">
        <v>19</v>
      </c>
      <c r="B315" s="12" t="s">
        <v>4</v>
      </c>
      <c r="C315" s="22" t="s">
        <v>700</v>
      </c>
      <c r="D315" s="21" t="s">
        <v>701</v>
      </c>
      <c r="E315" s="84" t="s">
        <v>58</v>
      </c>
      <c r="F315" s="84"/>
      <c r="G315" s="170"/>
      <c r="H315" s="170"/>
      <c r="I315" s="170"/>
      <c r="J315" s="170"/>
      <c r="K315" s="170"/>
      <c r="L315" s="117">
        <v>0</v>
      </c>
      <c r="M315" s="134">
        <v>0</v>
      </c>
      <c r="N315" s="134">
        <v>0</v>
      </c>
      <c r="O315" s="134">
        <v>0</v>
      </c>
      <c r="P315" s="134">
        <v>-9.5806469850202337E-3</v>
      </c>
      <c r="Q315" s="117">
        <v>0</v>
      </c>
      <c r="R315" s="117">
        <v>0</v>
      </c>
      <c r="S315" s="117">
        <v>0</v>
      </c>
      <c r="T315" s="117">
        <v>0</v>
      </c>
      <c r="U315" s="117">
        <v>0</v>
      </c>
      <c r="V315" s="117">
        <v>0</v>
      </c>
      <c r="W315" s="118">
        <v>0</v>
      </c>
    </row>
    <row r="316" spans="1:23">
      <c r="A316" s="1" t="s">
        <v>19</v>
      </c>
      <c r="B316" s="12" t="s">
        <v>4</v>
      </c>
      <c r="C316" s="22" t="s">
        <v>702</v>
      </c>
      <c r="D316" s="21" t="s">
        <v>570</v>
      </c>
      <c r="E316" s="23" t="s">
        <v>772</v>
      </c>
      <c r="F316" s="23" t="s">
        <v>777</v>
      </c>
      <c r="G316" s="170"/>
      <c r="H316" s="170"/>
      <c r="I316" s="170"/>
      <c r="J316" s="170"/>
      <c r="K316" s="170"/>
      <c r="L316" s="117">
        <v>0</v>
      </c>
      <c r="M316" s="336">
        <v>0</v>
      </c>
      <c r="N316" s="372">
        <v>-3.8322587940080935E-3</v>
      </c>
      <c r="O316" s="336">
        <v>0</v>
      </c>
      <c r="P316" s="134">
        <v>0</v>
      </c>
      <c r="Q316" s="117">
        <v>0</v>
      </c>
      <c r="R316" s="117">
        <v>0</v>
      </c>
      <c r="S316" s="117">
        <v>0</v>
      </c>
      <c r="T316" s="117">
        <v>0</v>
      </c>
      <c r="U316" s="117">
        <v>0</v>
      </c>
      <c r="V316" s="117">
        <v>0</v>
      </c>
      <c r="W316" s="118">
        <v>0</v>
      </c>
    </row>
    <row r="317" spans="1:23">
      <c r="A317" s="1" t="s">
        <v>19</v>
      </c>
      <c r="B317" s="12" t="s">
        <v>4</v>
      </c>
      <c r="C317" s="28" t="s">
        <v>22</v>
      </c>
      <c r="D317" s="6" t="s">
        <v>24</v>
      </c>
      <c r="E317" s="7" t="s">
        <v>772</v>
      </c>
      <c r="F317" s="7" t="s">
        <v>777</v>
      </c>
      <c r="G317" s="170"/>
      <c r="H317" s="170"/>
      <c r="I317" s="170"/>
      <c r="J317" s="170"/>
      <c r="K317" s="170"/>
      <c r="L317" s="95">
        <v>1.8384078045258969E-3</v>
      </c>
      <c r="M317" s="117">
        <v>0</v>
      </c>
      <c r="N317" s="117">
        <v>0</v>
      </c>
      <c r="O317" s="117">
        <v>0</v>
      </c>
      <c r="P317" s="117">
        <v>0</v>
      </c>
      <c r="Q317" s="117">
        <v>0</v>
      </c>
      <c r="R317" s="117">
        <v>0</v>
      </c>
      <c r="S317" s="117">
        <v>0</v>
      </c>
      <c r="T317" s="117">
        <v>0</v>
      </c>
      <c r="U317" s="117">
        <v>0</v>
      </c>
      <c r="V317" s="117">
        <v>0</v>
      </c>
      <c r="W317" s="118">
        <v>0</v>
      </c>
    </row>
    <row r="318" spans="1:23">
      <c r="A318" s="1" t="s">
        <v>19</v>
      </c>
      <c r="B318" s="12" t="s">
        <v>4</v>
      </c>
      <c r="C318" s="28" t="s">
        <v>22</v>
      </c>
      <c r="D318" s="6" t="s">
        <v>145</v>
      </c>
      <c r="E318" s="7" t="s">
        <v>53</v>
      </c>
      <c r="F318" s="7" t="s">
        <v>776</v>
      </c>
      <c r="G318" s="170"/>
      <c r="H318" s="170"/>
      <c r="I318" s="170"/>
      <c r="J318" s="170"/>
      <c r="K318" s="170"/>
      <c r="L318" s="95">
        <v>0</v>
      </c>
      <c r="M318" s="117">
        <v>0</v>
      </c>
      <c r="N318" s="117">
        <v>0</v>
      </c>
      <c r="O318" s="117">
        <v>0</v>
      </c>
      <c r="P318" s="117">
        <v>0</v>
      </c>
      <c r="Q318" s="117">
        <v>0</v>
      </c>
      <c r="R318" s="117">
        <v>0</v>
      </c>
      <c r="S318" s="117">
        <v>0</v>
      </c>
      <c r="T318" s="117">
        <v>0</v>
      </c>
      <c r="U318" s="117">
        <v>0</v>
      </c>
      <c r="V318" s="117">
        <v>0</v>
      </c>
      <c r="W318" s="118">
        <v>0</v>
      </c>
    </row>
    <row r="319" spans="1:23">
      <c r="A319" s="1" t="s">
        <v>19</v>
      </c>
      <c r="B319" s="12" t="s">
        <v>4</v>
      </c>
      <c r="C319" s="28" t="s">
        <v>22</v>
      </c>
      <c r="D319" s="6" t="s">
        <v>140</v>
      </c>
      <c r="E319" s="7" t="s">
        <v>43</v>
      </c>
      <c r="F319" s="7" t="s">
        <v>778</v>
      </c>
      <c r="G319" s="170"/>
      <c r="H319" s="170"/>
      <c r="I319" s="170"/>
      <c r="J319" s="170"/>
      <c r="K319" s="170"/>
      <c r="L319" s="95">
        <v>6.1480726134933387E-4</v>
      </c>
      <c r="M319" s="117">
        <v>0</v>
      </c>
      <c r="N319" s="117">
        <v>0</v>
      </c>
      <c r="O319" s="117">
        <v>0</v>
      </c>
      <c r="P319" s="117">
        <v>0</v>
      </c>
      <c r="Q319" s="117">
        <v>0</v>
      </c>
      <c r="R319" s="117">
        <v>0</v>
      </c>
      <c r="S319" s="117">
        <v>0</v>
      </c>
      <c r="T319" s="117">
        <v>0</v>
      </c>
      <c r="U319" s="117">
        <v>0</v>
      </c>
      <c r="V319" s="117">
        <v>0</v>
      </c>
      <c r="W319" s="118">
        <v>0</v>
      </c>
    </row>
    <row r="320" spans="1:23">
      <c r="A320" s="1" t="s">
        <v>19</v>
      </c>
      <c r="B320" s="12" t="s">
        <v>4</v>
      </c>
      <c r="C320" s="28" t="s">
        <v>22</v>
      </c>
      <c r="D320" s="6" t="s">
        <v>49</v>
      </c>
      <c r="E320" s="7" t="s">
        <v>142</v>
      </c>
      <c r="F320" s="7" t="s">
        <v>529</v>
      </c>
      <c r="G320" s="170"/>
      <c r="H320" s="170"/>
      <c r="I320" s="170"/>
      <c r="J320" s="170"/>
      <c r="K320" s="170"/>
      <c r="L320" s="95">
        <v>9.5795741928312065E-4</v>
      </c>
      <c r="M320" s="117">
        <v>0</v>
      </c>
      <c r="N320" s="117">
        <v>0</v>
      </c>
      <c r="O320" s="117">
        <v>0</v>
      </c>
      <c r="P320" s="117">
        <v>0</v>
      </c>
      <c r="Q320" s="117">
        <v>0</v>
      </c>
      <c r="R320" s="117">
        <v>0</v>
      </c>
      <c r="S320" s="117">
        <v>0</v>
      </c>
      <c r="T320" s="117">
        <v>0</v>
      </c>
      <c r="U320" s="117">
        <v>0</v>
      </c>
      <c r="V320" s="117">
        <v>0</v>
      </c>
      <c r="W320" s="118">
        <v>0</v>
      </c>
    </row>
    <row r="321" spans="1:23">
      <c r="A321" s="1" t="s">
        <v>19</v>
      </c>
      <c r="B321" s="12" t="s">
        <v>4</v>
      </c>
      <c r="C321" s="28" t="s">
        <v>22</v>
      </c>
      <c r="D321" s="6" t="s">
        <v>58</v>
      </c>
      <c r="E321" s="7" t="s">
        <v>58</v>
      </c>
      <c r="F321" s="7"/>
      <c r="G321" s="181"/>
      <c r="H321" s="181"/>
      <c r="I321" s="181"/>
      <c r="J321" s="181"/>
      <c r="K321" s="181"/>
      <c r="L321" s="95">
        <v>4.9572904108326384E-3</v>
      </c>
      <c r="M321" s="117">
        <v>0</v>
      </c>
      <c r="N321" s="117">
        <v>0</v>
      </c>
      <c r="O321" s="117">
        <v>0</v>
      </c>
      <c r="P321" s="117">
        <v>0</v>
      </c>
      <c r="Q321" s="117">
        <v>0</v>
      </c>
      <c r="R321" s="117">
        <v>0</v>
      </c>
      <c r="S321" s="117">
        <v>0</v>
      </c>
      <c r="T321" s="117">
        <v>0</v>
      </c>
      <c r="U321" s="117">
        <v>0</v>
      </c>
      <c r="V321" s="117">
        <v>0</v>
      </c>
      <c r="W321" s="118">
        <v>0</v>
      </c>
    </row>
    <row r="322" spans="1:23">
      <c r="A322" s="1" t="s">
        <v>19</v>
      </c>
      <c r="B322" s="12" t="s">
        <v>4</v>
      </c>
      <c r="C322" s="28" t="s">
        <v>22</v>
      </c>
      <c r="D322" s="6" t="s">
        <v>33</v>
      </c>
      <c r="E322" s="7" t="s">
        <v>33</v>
      </c>
      <c r="F322" s="7"/>
      <c r="G322" s="182"/>
      <c r="H322" s="182"/>
      <c r="I322" s="182"/>
      <c r="J322" s="182"/>
      <c r="K322" s="182"/>
      <c r="L322" s="162">
        <v>7.435250398467437E-3</v>
      </c>
      <c r="M322" s="163">
        <v>0</v>
      </c>
      <c r="N322" s="163">
        <v>0</v>
      </c>
      <c r="O322" s="163">
        <v>0</v>
      </c>
      <c r="P322" s="163">
        <v>0</v>
      </c>
      <c r="Q322" s="163">
        <v>0</v>
      </c>
      <c r="R322" s="163">
        <v>0</v>
      </c>
      <c r="S322" s="163">
        <v>0</v>
      </c>
      <c r="T322" s="163">
        <v>0</v>
      </c>
      <c r="U322" s="163">
        <v>0</v>
      </c>
      <c r="V322" s="163">
        <v>0</v>
      </c>
      <c r="W322" s="164">
        <v>0</v>
      </c>
    </row>
    <row r="323" spans="1:23" outlineLevel="1">
      <c r="A323" s="1" t="s">
        <v>19</v>
      </c>
      <c r="B323" s="12" t="s">
        <v>4</v>
      </c>
      <c r="C323" s="22" t="s">
        <v>703</v>
      </c>
      <c r="D323" s="21" t="s">
        <v>660</v>
      </c>
      <c r="E323" s="23" t="s">
        <v>142</v>
      </c>
      <c r="F323" s="23" t="s">
        <v>529</v>
      </c>
      <c r="G323" s="182">
        <v>-1.3102533625155855E-2</v>
      </c>
      <c r="H323" s="182">
        <v>0</v>
      </c>
      <c r="I323" s="182">
        <v>0</v>
      </c>
      <c r="J323" s="182">
        <v>0</v>
      </c>
      <c r="K323" s="182">
        <v>0</v>
      </c>
      <c r="L323" s="168"/>
      <c r="M323" s="168"/>
      <c r="N323" s="168"/>
      <c r="O323" s="168"/>
      <c r="P323" s="168"/>
      <c r="Q323" s="168"/>
      <c r="R323" s="168"/>
      <c r="S323" s="168"/>
      <c r="T323" s="168"/>
      <c r="U323" s="168"/>
      <c r="V323" s="168"/>
      <c r="W323" s="169"/>
    </row>
    <row r="324" spans="1:23" outlineLevel="1">
      <c r="A324" s="1" t="s">
        <v>19</v>
      </c>
      <c r="B324" s="12" t="s">
        <v>4</v>
      </c>
      <c r="C324" s="22" t="s">
        <v>704</v>
      </c>
      <c r="D324" s="21" t="s">
        <v>705</v>
      </c>
      <c r="E324" s="23" t="s">
        <v>58</v>
      </c>
      <c r="F324" s="23" t="s">
        <v>775</v>
      </c>
      <c r="G324" s="182">
        <v>-6.5233416034808558E-3</v>
      </c>
      <c r="H324" s="182">
        <v>0</v>
      </c>
      <c r="I324" s="182">
        <v>0</v>
      </c>
      <c r="J324" s="182">
        <v>0</v>
      </c>
      <c r="K324" s="182">
        <v>0</v>
      </c>
      <c r="L324" s="168"/>
      <c r="M324" s="168"/>
      <c r="N324" s="168"/>
      <c r="O324" s="168"/>
      <c r="P324" s="168"/>
      <c r="Q324" s="168"/>
      <c r="R324" s="168"/>
      <c r="S324" s="168"/>
      <c r="T324" s="168"/>
      <c r="U324" s="168"/>
      <c r="V324" s="168"/>
      <c r="W324" s="169"/>
    </row>
    <row r="325" spans="1:23" outlineLevel="1">
      <c r="A325" s="1" t="s">
        <v>19</v>
      </c>
      <c r="B325" s="12" t="s">
        <v>4</v>
      </c>
      <c r="C325" s="22" t="s">
        <v>706</v>
      </c>
      <c r="D325" s="21" t="s">
        <v>707</v>
      </c>
      <c r="E325" s="23" t="s">
        <v>58</v>
      </c>
      <c r="F325" s="23" t="s">
        <v>775</v>
      </c>
      <c r="G325" s="182">
        <v>-9.0239558848151831E-3</v>
      </c>
      <c r="H325" s="182">
        <v>0</v>
      </c>
      <c r="I325" s="182">
        <v>0</v>
      </c>
      <c r="J325" s="182">
        <v>0</v>
      </c>
      <c r="K325" s="182">
        <v>0</v>
      </c>
      <c r="L325" s="168"/>
      <c r="M325" s="168"/>
      <c r="N325" s="168"/>
      <c r="O325" s="168"/>
      <c r="P325" s="168"/>
      <c r="Q325" s="168"/>
      <c r="R325" s="168"/>
      <c r="S325" s="168"/>
      <c r="T325" s="168"/>
      <c r="U325" s="168"/>
      <c r="V325" s="168"/>
      <c r="W325" s="169"/>
    </row>
    <row r="326" spans="1:23" outlineLevel="1">
      <c r="A326" s="1" t="s">
        <v>19</v>
      </c>
      <c r="B326" s="12" t="s">
        <v>4</v>
      </c>
      <c r="C326" s="22" t="s">
        <v>708</v>
      </c>
      <c r="D326" s="21" t="s">
        <v>578</v>
      </c>
      <c r="E326" s="23" t="s">
        <v>33</v>
      </c>
      <c r="F326" s="23" t="s">
        <v>789</v>
      </c>
      <c r="G326" s="182">
        <v>0</v>
      </c>
      <c r="H326" s="182">
        <v>0</v>
      </c>
      <c r="I326" s="183">
        <v>-1.2611793766729653E-2</v>
      </c>
      <c r="J326" s="182">
        <v>0</v>
      </c>
      <c r="K326" s="182">
        <v>0</v>
      </c>
      <c r="L326" s="168"/>
      <c r="M326" s="168"/>
      <c r="N326" s="168"/>
      <c r="O326" s="168"/>
      <c r="P326" s="168"/>
      <c r="Q326" s="168"/>
      <c r="R326" s="168"/>
      <c r="S326" s="168"/>
      <c r="T326" s="168"/>
      <c r="U326" s="168"/>
      <c r="V326" s="168"/>
      <c r="W326" s="169"/>
    </row>
    <row r="327" spans="1:23" outlineLevel="1">
      <c r="A327" s="1" t="s">
        <v>19</v>
      </c>
      <c r="B327" s="12" t="s">
        <v>4</v>
      </c>
      <c r="C327" s="22" t="s">
        <v>709</v>
      </c>
      <c r="D327" s="21" t="s">
        <v>710</v>
      </c>
      <c r="E327" s="23" t="s">
        <v>772</v>
      </c>
      <c r="F327" s="23" t="s">
        <v>780</v>
      </c>
      <c r="G327" s="182">
        <v>-7.610565204060997E-4</v>
      </c>
      <c r="H327" s="182">
        <v>0</v>
      </c>
      <c r="I327" s="182">
        <v>0</v>
      </c>
      <c r="J327" s="182">
        <v>0</v>
      </c>
      <c r="K327" s="182">
        <v>0</v>
      </c>
      <c r="L327" s="168"/>
      <c r="M327" s="168"/>
      <c r="N327" s="168"/>
      <c r="O327" s="168"/>
      <c r="P327" s="168"/>
      <c r="Q327" s="168"/>
      <c r="R327" s="168"/>
      <c r="S327" s="168"/>
      <c r="T327" s="168"/>
      <c r="U327" s="168"/>
      <c r="V327" s="168"/>
      <c r="W327" s="169"/>
    </row>
    <row r="328" spans="1:23" outlineLevel="1">
      <c r="A328" s="1" t="s">
        <v>19</v>
      </c>
      <c r="B328" s="12" t="s">
        <v>4</v>
      </c>
      <c r="C328" s="22" t="s">
        <v>711</v>
      </c>
      <c r="D328" s="21" t="s">
        <v>712</v>
      </c>
      <c r="E328" s="23" t="s">
        <v>772</v>
      </c>
      <c r="F328" s="23" t="s">
        <v>779</v>
      </c>
      <c r="G328" s="182">
        <v>-2.92463148556058E-3</v>
      </c>
      <c r="H328" s="182">
        <v>0</v>
      </c>
      <c r="I328" s="182">
        <v>0</v>
      </c>
      <c r="J328" s="182">
        <v>0</v>
      </c>
      <c r="K328" s="182">
        <v>0</v>
      </c>
      <c r="L328" s="168"/>
      <c r="M328" s="168"/>
      <c r="N328" s="168"/>
      <c r="O328" s="168"/>
      <c r="P328" s="168"/>
      <c r="Q328" s="168"/>
      <c r="R328" s="168"/>
      <c r="S328" s="168"/>
      <c r="T328" s="168"/>
      <c r="U328" s="168"/>
      <c r="V328" s="168"/>
      <c r="W328" s="169"/>
    </row>
    <row r="329" spans="1:23" outlineLevel="1">
      <c r="A329" s="1" t="s">
        <v>19</v>
      </c>
      <c r="B329" s="12" t="s">
        <v>4</v>
      </c>
      <c r="C329" s="22" t="s">
        <v>713</v>
      </c>
      <c r="D329" s="21" t="s">
        <v>27</v>
      </c>
      <c r="E329" s="23" t="s">
        <v>772</v>
      </c>
      <c r="F329" s="23" t="s">
        <v>779</v>
      </c>
      <c r="G329" s="182">
        <v>0</v>
      </c>
      <c r="H329" s="182">
        <v>0</v>
      </c>
      <c r="I329" s="186">
        <v>-9.5806469850202337E-3</v>
      </c>
      <c r="J329" s="182">
        <v>0</v>
      </c>
      <c r="K329" s="182">
        <v>0</v>
      </c>
      <c r="L329" s="168"/>
      <c r="M329" s="168"/>
      <c r="N329" s="168"/>
      <c r="O329" s="168"/>
      <c r="P329" s="168"/>
      <c r="Q329" s="168"/>
      <c r="R329" s="168"/>
      <c r="S329" s="168"/>
      <c r="T329" s="168"/>
      <c r="U329" s="168"/>
      <c r="V329" s="168"/>
      <c r="W329" s="169"/>
    </row>
    <row r="330" spans="1:23" outlineLevel="1">
      <c r="A330" s="1" t="s">
        <v>19</v>
      </c>
      <c r="B330" s="12" t="s">
        <v>4</v>
      </c>
      <c r="C330" s="22" t="s">
        <v>714</v>
      </c>
      <c r="D330" s="21" t="s">
        <v>715</v>
      </c>
      <c r="E330" s="23" t="s">
        <v>53</v>
      </c>
      <c r="F330" s="23" t="s">
        <v>776</v>
      </c>
      <c r="G330" s="182">
        <v>0</v>
      </c>
      <c r="H330" s="182">
        <v>0</v>
      </c>
      <c r="I330" s="182">
        <v>0</v>
      </c>
      <c r="J330" s="182">
        <v>0</v>
      </c>
      <c r="K330" s="186">
        <v>-7.664517588016187E-3</v>
      </c>
      <c r="L330" s="168"/>
      <c r="M330" s="168"/>
      <c r="N330" s="168"/>
      <c r="O330" s="168"/>
      <c r="P330" s="168"/>
      <c r="Q330" s="168"/>
      <c r="R330" s="168"/>
      <c r="S330" s="168"/>
      <c r="T330" s="168"/>
      <c r="U330" s="168"/>
      <c r="V330" s="168"/>
      <c r="W330" s="169"/>
    </row>
    <row r="331" spans="1:23" outlineLevel="1">
      <c r="A331" s="1" t="s">
        <v>19</v>
      </c>
      <c r="B331" s="12" t="s">
        <v>4</v>
      </c>
      <c r="C331" s="22" t="s">
        <v>716</v>
      </c>
      <c r="D331" s="21" t="s">
        <v>61</v>
      </c>
      <c r="E331" s="23" t="s">
        <v>58</v>
      </c>
      <c r="F331" s="23" t="s">
        <v>416</v>
      </c>
      <c r="G331" s="182">
        <v>-1.6810693336948425E-3</v>
      </c>
      <c r="H331" s="182">
        <v>0</v>
      </c>
      <c r="I331" s="182">
        <v>0</v>
      </c>
      <c r="J331" s="182">
        <v>0</v>
      </c>
      <c r="K331" s="182">
        <v>0</v>
      </c>
      <c r="L331" s="168"/>
      <c r="M331" s="168"/>
      <c r="N331" s="168"/>
      <c r="O331" s="168"/>
      <c r="P331" s="168"/>
      <c r="Q331" s="168"/>
      <c r="R331" s="168"/>
      <c r="S331" s="168"/>
      <c r="T331" s="168"/>
      <c r="U331" s="168"/>
      <c r="V331" s="168"/>
      <c r="W331" s="169"/>
    </row>
    <row r="332" spans="1:23" outlineLevel="1">
      <c r="A332" s="1" t="s">
        <v>19</v>
      </c>
      <c r="B332" s="12" t="s">
        <v>4</v>
      </c>
      <c r="C332" s="22" t="s">
        <v>389</v>
      </c>
      <c r="D332" s="21" t="s">
        <v>389</v>
      </c>
      <c r="E332" s="23" t="s">
        <v>389</v>
      </c>
      <c r="F332" s="23"/>
      <c r="G332" s="182">
        <v>-1.5492936308267031E-3</v>
      </c>
      <c r="H332" s="182">
        <v>0</v>
      </c>
      <c r="I332" s="182">
        <v>0</v>
      </c>
      <c r="J332" s="182">
        <v>0</v>
      </c>
      <c r="K332" s="182">
        <v>0</v>
      </c>
      <c r="L332" s="168"/>
      <c r="M332" s="168"/>
      <c r="N332" s="168"/>
      <c r="O332" s="168"/>
      <c r="P332" s="168"/>
      <c r="Q332" s="168"/>
      <c r="R332" s="168"/>
      <c r="S332" s="168"/>
      <c r="T332" s="168"/>
      <c r="U332" s="168"/>
      <c r="V332" s="168"/>
      <c r="W332" s="169"/>
    </row>
    <row r="333" spans="1:23" outlineLevel="1">
      <c r="A333" s="1" t="s">
        <v>19</v>
      </c>
      <c r="B333" s="12" t="s">
        <v>4</v>
      </c>
      <c r="C333" s="22" t="s">
        <v>389</v>
      </c>
      <c r="D333" s="21" t="s">
        <v>611</v>
      </c>
      <c r="E333" s="23" t="s">
        <v>389</v>
      </c>
      <c r="F333" s="23" t="s">
        <v>773</v>
      </c>
      <c r="G333" s="182">
        <v>0</v>
      </c>
      <c r="H333" s="182">
        <v>0</v>
      </c>
      <c r="I333" s="182">
        <v>6.7064528895141636E-3</v>
      </c>
      <c r="J333" s="182">
        <v>0</v>
      </c>
      <c r="K333" s="182">
        <v>0</v>
      </c>
      <c r="L333" s="168"/>
      <c r="M333" s="168"/>
      <c r="N333" s="168"/>
      <c r="O333" s="168"/>
      <c r="P333" s="168"/>
      <c r="Q333" s="168"/>
      <c r="R333" s="168"/>
      <c r="S333" s="168"/>
      <c r="T333" s="168"/>
      <c r="U333" s="168"/>
      <c r="V333" s="168"/>
      <c r="W333" s="169"/>
    </row>
    <row r="334" spans="1:23" outlineLevel="1">
      <c r="A334" s="1" t="s">
        <v>19</v>
      </c>
      <c r="B334" s="12" t="s">
        <v>4</v>
      </c>
      <c r="C334" s="22" t="s">
        <v>584</v>
      </c>
      <c r="D334" s="21" t="s">
        <v>584</v>
      </c>
      <c r="E334" s="23" t="s">
        <v>772</v>
      </c>
      <c r="F334" s="23" t="s">
        <v>779</v>
      </c>
      <c r="G334" s="182">
        <v>9.5675676851080243E-4</v>
      </c>
      <c r="H334" s="182">
        <v>0</v>
      </c>
      <c r="I334" s="182">
        <v>0</v>
      </c>
      <c r="J334" s="182">
        <v>0</v>
      </c>
      <c r="K334" s="182">
        <v>0</v>
      </c>
      <c r="L334" s="168"/>
      <c r="M334" s="168"/>
      <c r="N334" s="168"/>
      <c r="O334" s="168"/>
      <c r="P334" s="168"/>
      <c r="Q334" s="168"/>
      <c r="R334" s="168"/>
      <c r="S334" s="168"/>
      <c r="T334" s="168"/>
      <c r="U334" s="168"/>
      <c r="V334" s="168"/>
      <c r="W334" s="169"/>
    </row>
    <row r="335" spans="1:23" outlineLevel="1">
      <c r="A335" s="1" t="s">
        <v>19</v>
      </c>
      <c r="B335" s="12" t="s">
        <v>4</v>
      </c>
      <c r="C335" s="22" t="s">
        <v>717</v>
      </c>
      <c r="D335" s="21" t="s">
        <v>718</v>
      </c>
      <c r="E335" s="23" t="s">
        <v>33</v>
      </c>
      <c r="F335" s="23" t="s">
        <v>781</v>
      </c>
      <c r="G335" s="182">
        <v>0</v>
      </c>
      <c r="H335" s="183">
        <v>-8.1541770043510684E-3</v>
      </c>
      <c r="I335" s="182">
        <v>0</v>
      </c>
      <c r="J335" s="182">
        <v>0</v>
      </c>
      <c r="K335" s="182">
        <v>0</v>
      </c>
      <c r="L335" s="168"/>
      <c r="M335" s="168"/>
      <c r="N335" s="168"/>
      <c r="O335" s="168"/>
      <c r="P335" s="168"/>
      <c r="Q335" s="168"/>
      <c r="R335" s="168"/>
      <c r="S335" s="168"/>
      <c r="T335" s="168"/>
      <c r="U335" s="168"/>
      <c r="V335" s="168"/>
      <c r="W335" s="169"/>
    </row>
    <row r="336" spans="1:23" s="10" customFormat="1" outlineLevel="1">
      <c r="A336" s="1" t="s">
        <v>19</v>
      </c>
      <c r="B336" s="18" t="s">
        <v>4</v>
      </c>
      <c r="C336" s="22" t="s">
        <v>719</v>
      </c>
      <c r="D336" s="21" t="s">
        <v>720</v>
      </c>
      <c r="E336" s="23" t="s">
        <v>772</v>
      </c>
      <c r="F336" s="23" t="s">
        <v>790</v>
      </c>
      <c r="G336" s="184">
        <v>0</v>
      </c>
      <c r="H336" s="184">
        <v>-2.1744472011602851E-4</v>
      </c>
      <c r="I336" s="184">
        <v>0</v>
      </c>
      <c r="J336" s="184">
        <v>0</v>
      </c>
      <c r="K336" s="184">
        <v>0</v>
      </c>
      <c r="L336" s="173"/>
      <c r="M336" s="173"/>
      <c r="N336" s="173"/>
      <c r="O336" s="173"/>
      <c r="P336" s="173"/>
      <c r="Q336" s="173"/>
      <c r="R336" s="173"/>
      <c r="S336" s="173"/>
      <c r="T336" s="173"/>
      <c r="U336" s="173"/>
      <c r="V336" s="173"/>
      <c r="W336" s="174"/>
    </row>
    <row r="337" spans="1:23">
      <c r="A337" s="200" t="s">
        <v>19</v>
      </c>
      <c r="B337" s="200" t="s">
        <v>251</v>
      </c>
      <c r="C337" s="200"/>
      <c r="D337" s="200"/>
      <c r="E337" s="200"/>
      <c r="F337" s="200"/>
      <c r="G337" s="201">
        <v>0.95700927376046108</v>
      </c>
      <c r="H337" s="201">
        <v>0.94188555858695111</v>
      </c>
      <c r="I337" s="201">
        <v>0.94749609008708036</v>
      </c>
      <c r="J337" s="210">
        <v>0.92983179350962808</v>
      </c>
      <c r="K337" s="201">
        <v>0.92983179350962808</v>
      </c>
      <c r="L337" s="211">
        <f>MoDi!D107</f>
        <v>0.92689472418607688</v>
      </c>
      <c r="M337" s="211">
        <f>MoDi!E107</f>
        <v>0.92897698526325501</v>
      </c>
      <c r="N337" s="211">
        <f>MoDi!F107</f>
        <v>0.9281002481517473</v>
      </c>
      <c r="O337" s="211">
        <f>MoDi!G107</f>
        <v>0.91124326746907192</v>
      </c>
      <c r="P337" s="235">
        <f>MoDi!H107</f>
        <v>0.90918924466121465</v>
      </c>
      <c r="Q337" s="211">
        <f>MoDi!I107</f>
        <v>0.91904529754201647</v>
      </c>
      <c r="R337" s="211">
        <f>MoDi!J107</f>
        <v>0.90548077995400034</v>
      </c>
      <c r="S337" s="211">
        <f>MoDi!K107</f>
        <v>0.90896964928973678</v>
      </c>
      <c r="T337" s="211">
        <f>MoDi!L107</f>
        <v>0.90657775736846047</v>
      </c>
      <c r="U337" s="211">
        <f>MoDi!M107</f>
        <v>0.90657775736846047</v>
      </c>
      <c r="V337" s="211">
        <f>MoDi!N107</f>
        <v>0.90657775736846047</v>
      </c>
      <c r="W337" s="211">
        <f>MoDi!O107</f>
        <v>0.90657775736846047</v>
      </c>
    </row>
    <row r="338" spans="1:23" outlineLevel="1">
      <c r="A338" s="1" t="s">
        <v>19</v>
      </c>
      <c r="B338" s="13" t="s">
        <v>5</v>
      </c>
      <c r="C338" s="34" t="s">
        <v>721</v>
      </c>
      <c r="D338" s="34" t="s">
        <v>660</v>
      </c>
      <c r="E338" s="31" t="s">
        <v>142</v>
      </c>
      <c r="F338" s="31" t="s">
        <v>529</v>
      </c>
      <c r="G338" s="182">
        <v>-1.3102533625155871E-2</v>
      </c>
      <c r="H338" s="182"/>
      <c r="I338" s="182"/>
      <c r="J338" s="182"/>
      <c r="K338" s="182"/>
      <c r="L338" s="168"/>
      <c r="M338" s="168"/>
      <c r="N338" s="168"/>
      <c r="O338" s="168"/>
      <c r="P338" s="168"/>
      <c r="Q338" s="168"/>
      <c r="R338" s="168"/>
      <c r="S338" s="168"/>
      <c r="T338" s="168"/>
      <c r="U338" s="168"/>
      <c r="V338" s="168"/>
      <c r="W338" s="169"/>
    </row>
    <row r="339" spans="1:23" outlineLevel="1">
      <c r="A339" s="1" t="s">
        <v>19</v>
      </c>
      <c r="B339" s="13" t="s">
        <v>5</v>
      </c>
      <c r="C339" s="34" t="s">
        <v>722</v>
      </c>
      <c r="D339" s="34" t="s">
        <v>723</v>
      </c>
      <c r="E339" s="31" t="s">
        <v>58</v>
      </c>
      <c r="F339" s="31" t="s">
        <v>775</v>
      </c>
      <c r="G339" s="182">
        <v>-6.523341603480854E-3</v>
      </c>
      <c r="H339" s="182"/>
      <c r="I339" s="182"/>
      <c r="J339" s="182"/>
      <c r="K339" s="182"/>
      <c r="L339" s="168"/>
      <c r="M339" s="168"/>
      <c r="N339" s="168"/>
      <c r="O339" s="168"/>
      <c r="P339" s="168"/>
      <c r="Q339" s="168"/>
      <c r="R339" s="168"/>
      <c r="S339" s="168"/>
      <c r="T339" s="168"/>
      <c r="U339" s="168"/>
      <c r="V339" s="168"/>
      <c r="W339" s="169"/>
    </row>
    <row r="340" spans="1:23" outlineLevel="1">
      <c r="A340" s="1" t="s">
        <v>19</v>
      </c>
      <c r="B340" s="13" t="s">
        <v>5</v>
      </c>
      <c r="C340" s="34" t="s">
        <v>706</v>
      </c>
      <c r="D340" s="34" t="s">
        <v>707</v>
      </c>
      <c r="E340" s="31" t="s">
        <v>58</v>
      </c>
      <c r="F340" s="31" t="s">
        <v>775</v>
      </c>
      <c r="G340" s="182">
        <v>-9.02395588481519E-3</v>
      </c>
      <c r="H340" s="182"/>
      <c r="I340" s="182"/>
      <c r="J340" s="182"/>
      <c r="K340" s="182"/>
      <c r="L340" s="168"/>
      <c r="M340" s="168"/>
      <c r="N340" s="168"/>
      <c r="O340" s="168"/>
      <c r="P340" s="168"/>
      <c r="Q340" s="168"/>
      <c r="R340" s="168"/>
      <c r="S340" s="168"/>
      <c r="T340" s="168"/>
      <c r="U340" s="168"/>
      <c r="V340" s="168"/>
      <c r="W340" s="169"/>
    </row>
    <row r="341" spans="1:23" outlineLevel="1">
      <c r="A341" s="1" t="s">
        <v>19</v>
      </c>
      <c r="B341" s="13" t="s">
        <v>5</v>
      </c>
      <c r="C341" s="34" t="s">
        <v>709</v>
      </c>
      <c r="D341" s="34" t="s">
        <v>710</v>
      </c>
      <c r="E341" s="31" t="s">
        <v>772</v>
      </c>
      <c r="F341" s="31" t="s">
        <v>780</v>
      </c>
      <c r="G341" s="182">
        <v>-7.610565204060998E-4</v>
      </c>
      <c r="H341" s="182"/>
      <c r="I341" s="182"/>
      <c r="J341" s="182"/>
      <c r="K341" s="182"/>
      <c r="L341" s="168"/>
      <c r="M341" s="168"/>
      <c r="N341" s="168"/>
      <c r="O341" s="168"/>
      <c r="P341" s="168"/>
      <c r="Q341" s="168"/>
      <c r="R341" s="168"/>
      <c r="S341" s="168"/>
      <c r="T341" s="168"/>
      <c r="U341" s="168"/>
      <c r="V341" s="168"/>
      <c r="W341" s="169"/>
    </row>
    <row r="342" spans="1:23" outlineLevel="1">
      <c r="A342" s="1" t="s">
        <v>19</v>
      </c>
      <c r="B342" s="13" t="s">
        <v>5</v>
      </c>
      <c r="C342" s="34" t="s">
        <v>711</v>
      </c>
      <c r="D342" s="34" t="s">
        <v>712</v>
      </c>
      <c r="E342" s="31" t="s">
        <v>772</v>
      </c>
      <c r="F342" s="31" t="s">
        <v>779</v>
      </c>
      <c r="G342" s="182">
        <v>-2.9246314855605848E-3</v>
      </c>
      <c r="H342" s="182"/>
      <c r="I342" s="182"/>
      <c r="J342" s="182"/>
      <c r="K342" s="182"/>
      <c r="L342" s="168"/>
      <c r="M342" s="168"/>
      <c r="N342" s="168"/>
      <c r="O342" s="168"/>
      <c r="P342" s="168"/>
      <c r="Q342" s="168"/>
      <c r="R342" s="168"/>
      <c r="S342" s="168"/>
      <c r="T342" s="168"/>
      <c r="U342" s="168"/>
      <c r="V342" s="168"/>
      <c r="W342" s="169"/>
    </row>
    <row r="343" spans="1:23" outlineLevel="1">
      <c r="A343" s="1" t="s">
        <v>19</v>
      </c>
      <c r="B343" s="13" t="s">
        <v>5</v>
      </c>
      <c r="C343" s="34" t="s">
        <v>714</v>
      </c>
      <c r="D343" s="34" t="s">
        <v>715</v>
      </c>
      <c r="E343" s="31" t="s">
        <v>53</v>
      </c>
      <c r="F343" s="31" t="s">
        <v>776</v>
      </c>
      <c r="G343" s="182"/>
      <c r="H343" s="182"/>
      <c r="I343" s="182"/>
      <c r="J343" s="186">
        <v>-7.6105652040609787E-3</v>
      </c>
      <c r="K343" s="182"/>
      <c r="L343" s="168"/>
      <c r="M343" s="168"/>
      <c r="N343" s="168"/>
      <c r="O343" s="168"/>
      <c r="P343" s="168"/>
      <c r="Q343" s="168"/>
      <c r="R343" s="168"/>
      <c r="S343" s="168"/>
      <c r="T343" s="168"/>
      <c r="U343" s="168"/>
      <c r="V343" s="168"/>
      <c r="W343" s="169"/>
    </row>
    <row r="344" spans="1:23" outlineLevel="1">
      <c r="A344" s="1" t="s">
        <v>19</v>
      </c>
      <c r="B344" s="13" t="s">
        <v>5</v>
      </c>
      <c r="C344" s="34" t="s">
        <v>716</v>
      </c>
      <c r="D344" s="34" t="s">
        <v>61</v>
      </c>
      <c r="E344" s="31" t="s">
        <v>58</v>
      </c>
      <c r="F344" s="31" t="s">
        <v>416</v>
      </c>
      <c r="G344" s="182">
        <v>-1.681069333694841E-3</v>
      </c>
      <c r="H344" s="182">
        <v>-1.2002948550404783E-4</v>
      </c>
      <c r="I344" s="182">
        <v>-8.6977888046415457E-6</v>
      </c>
      <c r="J344" s="182">
        <v>-1.4019282997886981E-4</v>
      </c>
      <c r="K344" s="182"/>
      <c r="L344" s="168"/>
      <c r="M344" s="168"/>
      <c r="N344" s="168"/>
      <c r="O344" s="168"/>
      <c r="P344" s="168"/>
      <c r="Q344" s="168"/>
      <c r="R344" s="168"/>
      <c r="S344" s="168"/>
      <c r="T344" s="168"/>
      <c r="U344" s="168"/>
      <c r="V344" s="168"/>
      <c r="W344" s="169"/>
    </row>
    <row r="345" spans="1:23" outlineLevel="1">
      <c r="A345" s="1" t="s">
        <v>19</v>
      </c>
      <c r="B345" s="13" t="s">
        <v>5</v>
      </c>
      <c r="C345" s="34" t="s">
        <v>389</v>
      </c>
      <c r="D345" s="34" t="s">
        <v>389</v>
      </c>
      <c r="E345" s="31" t="s">
        <v>58</v>
      </c>
      <c r="F345" s="31"/>
      <c r="G345" s="182">
        <v>-1.5492936308267042E-3</v>
      </c>
      <c r="H345" s="182"/>
      <c r="I345" s="182"/>
      <c r="J345" s="182"/>
      <c r="K345" s="182"/>
      <c r="L345" s="168"/>
      <c r="M345" s="168"/>
      <c r="N345" s="168"/>
      <c r="O345" s="168"/>
      <c r="P345" s="168"/>
      <c r="Q345" s="168"/>
      <c r="R345" s="168"/>
      <c r="S345" s="168"/>
      <c r="T345" s="168"/>
      <c r="U345" s="168"/>
      <c r="V345" s="168"/>
      <c r="W345" s="169"/>
    </row>
    <row r="346" spans="1:23" outlineLevel="1">
      <c r="A346" s="1" t="s">
        <v>19</v>
      </c>
      <c r="B346" s="13" t="s">
        <v>5</v>
      </c>
      <c r="C346" s="34" t="s">
        <v>389</v>
      </c>
      <c r="D346" s="34" t="s">
        <v>611</v>
      </c>
      <c r="E346" s="31" t="s">
        <v>58</v>
      </c>
      <c r="F346" s="23" t="s">
        <v>773</v>
      </c>
      <c r="G346" s="182"/>
      <c r="H346" s="182"/>
      <c r="I346" s="182">
        <v>6.7064528895141636E-3</v>
      </c>
      <c r="J346" s="182"/>
      <c r="K346" s="182"/>
      <c r="L346" s="168"/>
      <c r="M346" s="168"/>
      <c r="N346" s="168"/>
      <c r="O346" s="168"/>
      <c r="P346" s="168"/>
      <c r="Q346" s="168"/>
      <c r="R346" s="168"/>
      <c r="S346" s="168"/>
      <c r="T346" s="168"/>
      <c r="U346" s="168"/>
      <c r="V346" s="168"/>
      <c r="W346" s="169"/>
    </row>
    <row r="347" spans="1:23" outlineLevel="1">
      <c r="A347" s="1" t="s">
        <v>19</v>
      </c>
      <c r="B347" s="13" t="s">
        <v>5</v>
      </c>
      <c r="C347" s="34" t="s">
        <v>584</v>
      </c>
      <c r="D347" s="34" t="s">
        <v>584</v>
      </c>
      <c r="E347" s="31" t="s">
        <v>772</v>
      </c>
      <c r="F347" s="31" t="s">
        <v>779</v>
      </c>
      <c r="G347" s="182">
        <v>9.5675676851080199E-4</v>
      </c>
      <c r="H347" s="182"/>
      <c r="I347" s="182"/>
      <c r="J347" s="182"/>
      <c r="K347" s="182"/>
      <c r="L347" s="168"/>
      <c r="M347" s="168"/>
      <c r="N347" s="168"/>
      <c r="O347" s="168"/>
      <c r="P347" s="168"/>
      <c r="Q347" s="168"/>
      <c r="R347" s="168"/>
      <c r="S347" s="168"/>
      <c r="T347" s="168"/>
      <c r="U347" s="168"/>
      <c r="V347" s="168"/>
      <c r="W347" s="169"/>
    </row>
    <row r="348" spans="1:23" outlineLevel="1">
      <c r="A348" s="1" t="s">
        <v>19</v>
      </c>
      <c r="B348" s="13" t="s">
        <v>5</v>
      </c>
      <c r="C348" s="34" t="s">
        <v>717</v>
      </c>
      <c r="D348" s="34" t="s">
        <v>718</v>
      </c>
      <c r="E348" s="31" t="s">
        <v>33</v>
      </c>
      <c r="F348" s="31" t="s">
        <v>781</v>
      </c>
      <c r="G348" s="182"/>
      <c r="H348" s="183">
        <v>-7.6105652040610273E-3</v>
      </c>
      <c r="I348" s="182"/>
      <c r="J348" s="182"/>
      <c r="K348" s="182"/>
      <c r="L348" s="168"/>
      <c r="M348" s="168"/>
      <c r="N348" s="168"/>
      <c r="O348" s="168"/>
      <c r="P348" s="168"/>
      <c r="Q348" s="168"/>
      <c r="R348" s="168"/>
      <c r="S348" s="168"/>
      <c r="T348" s="168"/>
      <c r="U348" s="168"/>
      <c r="V348" s="168"/>
      <c r="W348" s="169"/>
    </row>
    <row r="349" spans="1:23" outlineLevel="1">
      <c r="A349" s="1" t="s">
        <v>19</v>
      </c>
      <c r="B349" s="13" t="s">
        <v>5</v>
      </c>
      <c r="C349" s="34" t="s">
        <v>724</v>
      </c>
      <c r="D349" s="34" t="s">
        <v>725</v>
      </c>
      <c r="E349" s="31" t="s">
        <v>33</v>
      </c>
      <c r="F349" s="31" t="s">
        <v>789</v>
      </c>
      <c r="G349" s="182"/>
      <c r="H349" s="183">
        <v>-7.3931204839449531E-3</v>
      </c>
      <c r="I349" s="183">
        <v>-1.087223600580144E-3</v>
      </c>
      <c r="J349" s="182"/>
      <c r="K349" s="182"/>
      <c r="L349" s="168"/>
      <c r="M349" s="168"/>
      <c r="N349" s="168"/>
      <c r="O349" s="168"/>
      <c r="P349" s="168"/>
      <c r="Q349" s="168"/>
      <c r="R349" s="168"/>
      <c r="S349" s="168"/>
      <c r="T349" s="168"/>
      <c r="U349" s="168"/>
      <c r="V349" s="168"/>
      <c r="W349" s="169"/>
    </row>
    <row r="350" spans="1:23" outlineLevel="1">
      <c r="A350" s="1" t="s">
        <v>19</v>
      </c>
      <c r="B350" s="13" t="s">
        <v>5</v>
      </c>
      <c r="C350" s="34" t="s">
        <v>726</v>
      </c>
      <c r="D350" s="34" t="s">
        <v>727</v>
      </c>
      <c r="E350" s="31" t="s">
        <v>772</v>
      </c>
      <c r="F350" s="34" t="s">
        <v>777</v>
      </c>
      <c r="G350" s="182"/>
      <c r="H350" s="182"/>
      <c r="I350" s="182"/>
      <c r="J350" s="187">
        <f>-0.0238727665709185+0.0141339068075418</f>
        <v>-9.7388597633766994E-3</v>
      </c>
      <c r="K350" s="182"/>
      <c r="L350" s="168"/>
      <c r="M350" s="168"/>
      <c r="N350" s="168"/>
      <c r="O350" s="168"/>
      <c r="P350" s="168"/>
      <c r="Q350" s="168"/>
      <c r="R350" s="168"/>
      <c r="S350" s="168"/>
      <c r="T350" s="168"/>
      <c r="U350" s="168"/>
      <c r="V350" s="168"/>
      <c r="W350" s="169"/>
    </row>
    <row r="351" spans="1:23" outlineLevel="1">
      <c r="A351" s="1" t="s">
        <v>19</v>
      </c>
      <c r="B351" s="13" t="s">
        <v>5</v>
      </c>
      <c r="C351" s="34" t="s">
        <v>726</v>
      </c>
      <c r="D351" s="34" t="s">
        <v>728</v>
      </c>
      <c r="E351" s="31" t="s">
        <v>772</v>
      </c>
      <c r="F351" s="34" t="s">
        <v>777</v>
      </c>
      <c r="G351" s="182"/>
      <c r="H351" s="182"/>
      <c r="I351" s="182"/>
      <c r="J351" s="183">
        <f>0.0141339068075418-0.0141339068075418</f>
        <v>0</v>
      </c>
      <c r="K351" s="182"/>
      <c r="L351" s="168"/>
      <c r="M351" s="168"/>
      <c r="N351" s="168"/>
      <c r="O351" s="168"/>
      <c r="P351" s="168"/>
      <c r="Q351" s="168"/>
      <c r="R351" s="168"/>
      <c r="S351" s="168"/>
      <c r="T351" s="168"/>
      <c r="U351" s="168"/>
      <c r="V351" s="168"/>
      <c r="W351" s="169"/>
    </row>
    <row r="352" spans="1:23" outlineLevel="1">
      <c r="A352" s="1" t="s">
        <v>19</v>
      </c>
      <c r="B352" s="13" t="s">
        <v>5</v>
      </c>
      <c r="C352" s="34" t="s">
        <v>272</v>
      </c>
      <c r="D352" s="34" t="s">
        <v>51</v>
      </c>
      <c r="E352" s="31" t="s">
        <v>142</v>
      </c>
      <c r="F352" s="31" t="s">
        <v>529</v>
      </c>
      <c r="G352" s="182"/>
      <c r="H352" s="182"/>
      <c r="I352" s="182"/>
      <c r="J352" s="182">
        <v>-1.7467878003596396E-4</v>
      </c>
      <c r="K352" s="182"/>
      <c r="L352" s="168"/>
      <c r="M352" s="168"/>
      <c r="N352" s="168"/>
      <c r="O352" s="168"/>
      <c r="P352" s="168"/>
      <c r="Q352" s="168"/>
      <c r="R352" s="168"/>
      <c r="S352" s="168"/>
      <c r="T352" s="168"/>
      <c r="U352" s="168"/>
      <c r="V352" s="168"/>
      <c r="W352" s="169"/>
    </row>
    <row r="353" spans="1:23">
      <c r="A353" s="1" t="s">
        <v>19</v>
      </c>
      <c r="B353" s="13" t="s">
        <v>5</v>
      </c>
      <c r="C353" s="34" t="s">
        <v>729</v>
      </c>
      <c r="D353" s="34" t="s">
        <v>578</v>
      </c>
      <c r="E353" s="31" t="s">
        <v>33</v>
      </c>
      <c r="F353" s="31" t="s">
        <v>789</v>
      </c>
      <c r="G353" s="185"/>
      <c r="H353" s="185"/>
      <c r="I353" s="185"/>
      <c r="J353" s="185"/>
      <c r="K353" s="185"/>
      <c r="L353" s="32">
        <v>-2.9137592495547845E-3</v>
      </c>
      <c r="M353" s="32"/>
      <c r="N353" s="32"/>
      <c r="O353" s="43"/>
      <c r="P353" s="43"/>
      <c r="Q353" s="43"/>
      <c r="R353" s="43"/>
      <c r="S353" s="43"/>
      <c r="T353" s="43"/>
      <c r="U353" s="43"/>
      <c r="V353" s="43"/>
      <c r="W353" s="43"/>
    </row>
    <row r="354" spans="1:23">
      <c r="A354" s="1" t="s">
        <v>19</v>
      </c>
      <c r="B354" s="13" t="s">
        <v>5</v>
      </c>
      <c r="C354" s="34" t="s">
        <v>716</v>
      </c>
      <c r="D354" s="34" t="s">
        <v>61</v>
      </c>
      <c r="E354" s="31" t="s">
        <v>58</v>
      </c>
      <c r="F354" s="31" t="s">
        <v>416</v>
      </c>
      <c r="G354" s="185"/>
      <c r="H354" s="185"/>
      <c r="I354" s="185"/>
      <c r="J354" s="185"/>
      <c r="K354" s="185"/>
      <c r="L354" s="107">
        <v>-2.3310073996438621E-5</v>
      </c>
      <c r="M354" s="43"/>
      <c r="N354" s="43">
        <v>-6.9582310437128754E-6</v>
      </c>
      <c r="O354" s="43">
        <v>-1.3378556097361961E-4</v>
      </c>
      <c r="P354" s="43"/>
      <c r="Q354" s="43"/>
      <c r="R354" s="43"/>
      <c r="S354" s="43"/>
      <c r="T354" s="43"/>
      <c r="U354" s="43"/>
      <c r="V354" s="43"/>
      <c r="W354" s="43"/>
    </row>
    <row r="355" spans="1:23">
      <c r="A355" s="1" t="s">
        <v>19</v>
      </c>
      <c r="B355" s="13" t="s">
        <v>5</v>
      </c>
      <c r="C355" s="34" t="s">
        <v>687</v>
      </c>
      <c r="D355" s="34" t="s">
        <v>688</v>
      </c>
      <c r="E355" s="31" t="s">
        <v>53</v>
      </c>
      <c r="F355" s="31" t="s">
        <v>776</v>
      </c>
      <c r="G355" s="185"/>
      <c r="H355" s="185"/>
      <c r="I355" s="185"/>
      <c r="J355" s="185"/>
      <c r="K355" s="185"/>
      <c r="L355" s="107"/>
      <c r="M355" s="43"/>
      <c r="N355" s="43"/>
      <c r="O355" s="43"/>
      <c r="P355" s="43"/>
      <c r="Q355" s="43"/>
      <c r="R355" s="43">
        <v>-7.664517588016187E-3</v>
      </c>
      <c r="S355" s="43"/>
      <c r="T355" s="43"/>
      <c r="U355" s="43"/>
      <c r="V355" s="43"/>
      <c r="W355" s="43"/>
    </row>
    <row r="356" spans="1:23">
      <c r="A356" s="1" t="s">
        <v>19</v>
      </c>
      <c r="B356" s="13" t="s">
        <v>5</v>
      </c>
      <c r="C356" s="34" t="s">
        <v>691</v>
      </c>
      <c r="D356" s="34" t="s">
        <v>692</v>
      </c>
      <c r="E356" s="31" t="s">
        <v>33</v>
      </c>
      <c r="F356" s="31" t="s">
        <v>781</v>
      </c>
      <c r="G356" s="185"/>
      <c r="H356" s="185"/>
      <c r="I356" s="185"/>
      <c r="J356" s="185"/>
      <c r="K356" s="185"/>
      <c r="L356" s="107"/>
      <c r="M356" s="43"/>
      <c r="N356" s="43"/>
      <c r="O356" s="43">
        <v>-1.609090928858611E-2</v>
      </c>
      <c r="P356" s="43"/>
      <c r="Q356" s="43"/>
      <c r="R356" s="43"/>
      <c r="S356" s="43"/>
      <c r="T356" s="43"/>
      <c r="U356" s="43"/>
      <c r="V356" s="43"/>
      <c r="W356" s="43"/>
    </row>
    <row r="357" spans="1:23">
      <c r="A357" s="1" t="s">
        <v>19</v>
      </c>
      <c r="B357" s="13" t="s">
        <v>5</v>
      </c>
      <c r="C357" s="34" t="s">
        <v>693</v>
      </c>
      <c r="D357" s="34" t="s">
        <v>694</v>
      </c>
      <c r="E357" s="31" t="s">
        <v>33</v>
      </c>
      <c r="F357" s="31" t="s">
        <v>781</v>
      </c>
      <c r="G357" s="185"/>
      <c r="H357" s="185"/>
      <c r="I357" s="185"/>
      <c r="J357" s="185"/>
      <c r="K357" s="185"/>
      <c r="L357" s="107"/>
      <c r="M357" s="43"/>
      <c r="N357" s="43"/>
      <c r="O357" s="43"/>
      <c r="P357" s="43"/>
      <c r="Q357" s="43"/>
      <c r="R357" s="43"/>
      <c r="S357" s="43"/>
      <c r="T357" s="43">
        <v>-2.3918919212763136E-3</v>
      </c>
      <c r="U357" s="43"/>
      <c r="V357" s="43"/>
      <c r="W357" s="43"/>
    </row>
    <row r="358" spans="1:23">
      <c r="A358" s="1" t="s">
        <v>19</v>
      </c>
      <c r="B358" s="13" t="s">
        <v>5</v>
      </c>
      <c r="C358" s="34" t="s">
        <v>588</v>
      </c>
      <c r="D358" s="34" t="s">
        <v>730</v>
      </c>
      <c r="E358" s="31" t="s">
        <v>43</v>
      </c>
      <c r="F358" s="31" t="s">
        <v>778</v>
      </c>
      <c r="G358" s="185"/>
      <c r="H358" s="185"/>
      <c r="I358" s="185"/>
      <c r="J358" s="185"/>
      <c r="K358" s="185"/>
      <c r="L358" s="107"/>
      <c r="M358" s="43">
        <v>2.0822610771781659E-3</v>
      </c>
      <c r="N358" s="43"/>
      <c r="O358" s="43"/>
      <c r="P358" s="43"/>
      <c r="Q358" s="43"/>
      <c r="R358" s="43"/>
      <c r="S358" s="43"/>
      <c r="T358" s="43"/>
      <c r="U358" s="43"/>
      <c r="V358" s="43"/>
      <c r="W358" s="43"/>
    </row>
    <row r="359" spans="1:23">
      <c r="A359" s="1" t="s">
        <v>19</v>
      </c>
      <c r="B359" s="13" t="s">
        <v>5</v>
      </c>
      <c r="C359" s="34" t="s">
        <v>588</v>
      </c>
      <c r="D359" s="34" t="s">
        <v>591</v>
      </c>
      <c r="E359" s="31" t="s">
        <v>43</v>
      </c>
      <c r="F359" s="31" t="s">
        <v>778</v>
      </c>
      <c r="G359" s="166"/>
      <c r="H359" s="166"/>
      <c r="I359" s="166"/>
      <c r="J359" s="166"/>
      <c r="K359" s="166"/>
      <c r="L359" s="107"/>
      <c r="M359" s="43"/>
      <c r="N359" s="43"/>
      <c r="O359" s="43"/>
      <c r="P359" s="43"/>
      <c r="Q359" s="195">
        <v>2.1077423367044518E-3</v>
      </c>
      <c r="R359" s="43"/>
      <c r="S359" s="43"/>
      <c r="T359" s="43"/>
      <c r="U359" s="43"/>
      <c r="V359" s="43"/>
      <c r="W359" s="43"/>
    </row>
    <row r="360" spans="1:23">
      <c r="A360" s="1" t="s">
        <v>19</v>
      </c>
      <c r="B360" s="13" t="s">
        <v>5</v>
      </c>
      <c r="C360" s="44" t="s">
        <v>22</v>
      </c>
      <c r="D360" s="44" t="s">
        <v>24</v>
      </c>
      <c r="E360" s="28" t="s">
        <v>772</v>
      </c>
      <c r="F360" s="7" t="s">
        <v>777</v>
      </c>
      <c r="G360" s="166"/>
      <c r="H360" s="166"/>
      <c r="I360" s="166"/>
      <c r="J360" s="166"/>
      <c r="K360" s="166"/>
      <c r="L360" s="107"/>
      <c r="M360" s="43"/>
      <c r="N360" s="43"/>
      <c r="O360" s="43"/>
      <c r="P360" s="43"/>
      <c r="Q360" s="45">
        <v>2.191098375220182E-3</v>
      </c>
      <c r="R360" s="43"/>
      <c r="S360" s="43"/>
      <c r="T360" s="43"/>
      <c r="U360" s="43"/>
      <c r="V360" s="43"/>
      <c r="W360" s="43"/>
    </row>
    <row r="361" spans="1:23">
      <c r="A361" s="1" t="s">
        <v>19</v>
      </c>
      <c r="B361" s="13" t="s">
        <v>5</v>
      </c>
      <c r="C361" s="44" t="s">
        <v>22</v>
      </c>
      <c r="D361" s="44" t="s">
        <v>145</v>
      </c>
      <c r="E361" s="28" t="s">
        <v>53</v>
      </c>
      <c r="F361" s="7" t="s">
        <v>776</v>
      </c>
      <c r="G361" s="166"/>
      <c r="H361" s="166"/>
      <c r="I361" s="166"/>
      <c r="J361" s="166"/>
      <c r="K361" s="166"/>
      <c r="L361" s="107"/>
      <c r="M361" s="43"/>
      <c r="N361" s="43"/>
      <c r="O361" s="43"/>
      <c r="P361" s="43"/>
      <c r="Q361" s="45">
        <v>0</v>
      </c>
      <c r="R361" s="43"/>
      <c r="S361" s="43"/>
      <c r="T361" s="43"/>
      <c r="U361" s="43"/>
      <c r="V361" s="43"/>
      <c r="W361" s="43"/>
    </row>
    <row r="362" spans="1:23">
      <c r="A362" s="1" t="s">
        <v>19</v>
      </c>
      <c r="B362" s="13" t="s">
        <v>5</v>
      </c>
      <c r="C362" s="44" t="s">
        <v>22</v>
      </c>
      <c r="D362" s="44" t="s">
        <v>140</v>
      </c>
      <c r="E362" s="28" t="s">
        <v>43</v>
      </c>
      <c r="F362" s="28" t="s">
        <v>778</v>
      </c>
      <c r="G362" s="166"/>
      <c r="H362" s="166"/>
      <c r="I362" s="166"/>
      <c r="J362" s="166"/>
      <c r="K362" s="166"/>
      <c r="L362" s="107"/>
      <c r="M362" s="43"/>
      <c r="N362" s="43"/>
      <c r="O362" s="43"/>
      <c r="P362" s="43"/>
      <c r="Q362" s="45">
        <v>8.5804977962013489E-4</v>
      </c>
      <c r="R362" s="43"/>
      <c r="S362" s="43"/>
      <c r="T362" s="43"/>
      <c r="U362" s="43"/>
      <c r="V362" s="43"/>
      <c r="W362" s="43"/>
    </row>
    <row r="363" spans="1:23">
      <c r="A363" s="1" t="s">
        <v>19</v>
      </c>
      <c r="B363" s="13" t="s">
        <v>5</v>
      </c>
      <c r="C363" s="44" t="s">
        <v>22</v>
      </c>
      <c r="D363" s="44" t="s">
        <v>49</v>
      </c>
      <c r="E363" s="28" t="s">
        <v>142</v>
      </c>
      <c r="F363" s="7" t="s">
        <v>529</v>
      </c>
      <c r="G363" s="166"/>
      <c r="H363" s="166"/>
      <c r="I363" s="166"/>
      <c r="J363" s="166"/>
      <c r="K363" s="166"/>
      <c r="L363" s="107"/>
      <c r="M363" s="43"/>
      <c r="N363" s="43"/>
      <c r="O363" s="43"/>
      <c r="P363" s="43"/>
      <c r="Q363" s="45">
        <v>9.5222440542801993E-4</v>
      </c>
      <c r="R363" s="43"/>
      <c r="S363" s="43"/>
      <c r="T363" s="43"/>
      <c r="U363" s="43"/>
      <c r="V363" s="43"/>
      <c r="W363" s="43"/>
    </row>
    <row r="364" spans="1:23">
      <c r="A364" s="1" t="s">
        <v>19</v>
      </c>
      <c r="B364" s="13" t="s">
        <v>5</v>
      </c>
      <c r="C364" s="44" t="s">
        <v>22</v>
      </c>
      <c r="D364" s="44" t="s">
        <v>58</v>
      </c>
      <c r="E364" s="28" t="s">
        <v>58</v>
      </c>
      <c r="F364" s="28"/>
      <c r="G364" s="166"/>
      <c r="H364" s="166"/>
      <c r="I364" s="166"/>
      <c r="J364" s="166"/>
      <c r="K364" s="166"/>
      <c r="L364" s="107"/>
      <c r="M364" s="43"/>
      <c r="N364" s="43"/>
      <c r="O364" s="43"/>
      <c r="P364" s="43"/>
      <c r="Q364" s="45"/>
      <c r="R364" s="43"/>
      <c r="S364" s="45">
        <v>3.4888693357364156E-3</v>
      </c>
      <c r="T364" s="43"/>
      <c r="U364" s="43"/>
      <c r="V364" s="43"/>
      <c r="W364" s="43"/>
    </row>
    <row r="365" spans="1:23">
      <c r="A365" s="1" t="s">
        <v>19</v>
      </c>
      <c r="B365" s="13" t="s">
        <v>5</v>
      </c>
      <c r="C365" s="44" t="s">
        <v>22</v>
      </c>
      <c r="D365" s="44" t="s">
        <v>33</v>
      </c>
      <c r="E365" s="28" t="s">
        <v>33</v>
      </c>
      <c r="F365" s="28"/>
      <c r="G365" s="166"/>
      <c r="H365" s="166"/>
      <c r="I365" s="166"/>
      <c r="J365" s="166"/>
      <c r="K365" s="166"/>
      <c r="L365" s="107"/>
      <c r="M365" s="43"/>
      <c r="N365" s="43"/>
      <c r="O365" s="43"/>
      <c r="P365" s="43"/>
      <c r="Q365" s="45">
        <v>9.5879561602223128E-3</v>
      </c>
      <c r="R365" s="43"/>
      <c r="S365" s="43"/>
      <c r="T365" s="43"/>
      <c r="U365" s="43"/>
      <c r="V365" s="43"/>
      <c r="W365" s="43"/>
    </row>
    <row r="366" spans="1:23">
      <c r="A366" s="1" t="s">
        <v>19</v>
      </c>
      <c r="B366" s="13" t="s">
        <v>5</v>
      </c>
      <c r="C366" s="34" t="s">
        <v>272</v>
      </c>
      <c r="D366" s="34" t="s">
        <v>51</v>
      </c>
      <c r="E366" s="31" t="s">
        <v>142</v>
      </c>
      <c r="F366" s="31" t="s">
        <v>529</v>
      </c>
      <c r="G366" s="166"/>
      <c r="H366" s="166"/>
      <c r="I366" s="166"/>
      <c r="J366" s="166"/>
      <c r="K366" s="166"/>
      <c r="L366" s="107"/>
      <c r="M366" s="43"/>
      <c r="N366" s="43"/>
      <c r="O366" s="43">
        <v>-1.7565192087198866E-4</v>
      </c>
      <c r="P366" s="43"/>
      <c r="Q366" s="43"/>
      <c r="R366" s="43"/>
      <c r="S366" s="43"/>
      <c r="T366" s="43"/>
      <c r="U366" s="43"/>
      <c r="V366" s="43"/>
      <c r="W366" s="43"/>
    </row>
    <row r="367" spans="1:23">
      <c r="A367" s="1" t="s">
        <v>19</v>
      </c>
      <c r="B367" s="13" t="s">
        <v>5</v>
      </c>
      <c r="C367" s="34" t="s">
        <v>671</v>
      </c>
      <c r="D367" s="34" t="s">
        <v>731</v>
      </c>
      <c r="E367" s="31" t="s">
        <v>33</v>
      </c>
      <c r="F367" s="31" t="s">
        <v>789</v>
      </c>
      <c r="G367" s="166"/>
      <c r="H367" s="166"/>
      <c r="I367" s="166"/>
      <c r="J367" s="166"/>
      <c r="K367" s="166"/>
      <c r="L367" s="107"/>
      <c r="M367" s="43"/>
      <c r="N367" s="43">
        <v>-4.3488944023206526E-4</v>
      </c>
      <c r="O367" s="43"/>
      <c r="P367" s="43"/>
      <c r="Q367" s="43"/>
      <c r="R367" s="43"/>
      <c r="S367" s="43"/>
      <c r="T367" s="43"/>
      <c r="U367" s="43"/>
      <c r="V367" s="43"/>
      <c r="W367" s="43"/>
    </row>
    <row r="368" spans="1:23">
      <c r="A368" s="1" t="s">
        <v>19</v>
      </c>
      <c r="B368" s="13" t="s">
        <v>5</v>
      </c>
      <c r="C368" s="34" t="s">
        <v>671</v>
      </c>
      <c r="D368" s="34" t="s">
        <v>732</v>
      </c>
      <c r="E368" s="31" t="s">
        <v>772</v>
      </c>
      <c r="F368" s="31" t="s">
        <v>779</v>
      </c>
      <c r="G368" s="166"/>
      <c r="H368" s="166"/>
      <c r="I368" s="166"/>
      <c r="J368" s="166"/>
      <c r="K368" s="166"/>
      <c r="L368" s="107"/>
      <c r="M368" s="43"/>
      <c r="N368" s="43">
        <v>-4.3488944023198573E-4</v>
      </c>
      <c r="O368" s="43"/>
      <c r="P368" s="43"/>
      <c r="Q368" s="43"/>
      <c r="R368" s="43"/>
      <c r="S368" s="43"/>
      <c r="T368" s="43"/>
      <c r="U368" s="43"/>
      <c r="V368" s="43"/>
      <c r="W368" s="43"/>
    </row>
    <row r="369" spans="1:25">
      <c r="A369" s="1" t="s">
        <v>19</v>
      </c>
      <c r="B369" s="13" t="s">
        <v>5</v>
      </c>
      <c r="C369" s="34" t="s">
        <v>671</v>
      </c>
      <c r="D369" s="34" t="s">
        <v>733</v>
      </c>
      <c r="E369" s="31" t="s">
        <v>772</v>
      </c>
      <c r="F369" s="31"/>
      <c r="G369" s="166"/>
      <c r="H369" s="166"/>
      <c r="I369" s="166"/>
      <c r="J369" s="166"/>
      <c r="K369" s="166"/>
      <c r="L369" s="107"/>
      <c r="M369" s="43"/>
      <c r="N369" s="43"/>
      <c r="O369" s="43">
        <v>-4.5663391224366051E-4</v>
      </c>
      <c r="P369" s="43"/>
      <c r="Q369" s="43"/>
      <c r="R369" s="43"/>
      <c r="S369" s="43"/>
      <c r="T369" s="43"/>
      <c r="U369" s="43"/>
      <c r="V369" s="43"/>
      <c r="W369" s="43"/>
    </row>
    <row r="370" spans="1:25">
      <c r="A370" s="1" t="s">
        <v>19</v>
      </c>
      <c r="B370" s="13" t="s">
        <v>5</v>
      </c>
      <c r="C370" s="34" t="s">
        <v>734</v>
      </c>
      <c r="D370" s="34" t="s">
        <v>735</v>
      </c>
      <c r="E370" s="31" t="s">
        <v>33</v>
      </c>
      <c r="F370" s="31" t="s">
        <v>781</v>
      </c>
      <c r="G370" s="166"/>
      <c r="H370" s="166"/>
      <c r="I370" s="166"/>
      <c r="J370" s="166"/>
      <c r="K370" s="166"/>
      <c r="L370" s="107"/>
      <c r="M370" s="43"/>
      <c r="N370" s="43"/>
      <c r="O370" s="43"/>
      <c r="P370" s="43"/>
      <c r="Q370" s="439"/>
      <c r="R370" s="43"/>
      <c r="S370" s="43"/>
      <c r="T370" s="43"/>
      <c r="U370" s="43"/>
      <c r="V370" s="43"/>
      <c r="W370" s="43"/>
      <c r="Y370" s="3"/>
    </row>
    <row r="371" spans="1:25">
      <c r="A371" s="1" t="s">
        <v>19</v>
      </c>
      <c r="B371" s="13" t="s">
        <v>5</v>
      </c>
      <c r="C371" s="34" t="s">
        <v>736</v>
      </c>
      <c r="D371" s="34" t="s">
        <v>737</v>
      </c>
      <c r="E371" s="31" t="s">
        <v>33</v>
      </c>
      <c r="F371" s="31" t="s">
        <v>789</v>
      </c>
      <c r="G371" s="166"/>
      <c r="H371" s="166"/>
      <c r="I371" s="166"/>
      <c r="J371" s="166"/>
      <c r="K371" s="166"/>
      <c r="L371" s="107"/>
      <c r="M371" s="43"/>
      <c r="N371" s="43"/>
      <c r="O371" s="43"/>
      <c r="P371" s="43"/>
      <c r="Q371" s="43"/>
      <c r="R371" s="43"/>
      <c r="S371" s="370">
        <f>-0.011234641734084*0</f>
        <v>0</v>
      </c>
      <c r="T371" s="43"/>
      <c r="U371" s="43"/>
      <c r="V371" s="43"/>
      <c r="W371" s="43"/>
      <c r="Y371" s="3"/>
    </row>
    <row r="372" spans="1:25">
      <c r="A372" s="1" t="s">
        <v>19</v>
      </c>
      <c r="B372" s="13" t="s">
        <v>5</v>
      </c>
      <c r="C372" s="51" t="s">
        <v>291</v>
      </c>
      <c r="D372" s="46" t="s">
        <v>600</v>
      </c>
      <c r="E372" s="47" t="s">
        <v>772</v>
      </c>
      <c r="F372" s="47" t="s">
        <v>777</v>
      </c>
      <c r="G372" s="167"/>
      <c r="H372" s="167"/>
      <c r="I372" s="167"/>
      <c r="J372" s="167"/>
      <c r="K372" s="167"/>
      <c r="L372" s="46"/>
      <c r="M372" s="46"/>
      <c r="N372" s="46"/>
      <c r="O372" s="46"/>
      <c r="P372" s="215">
        <v>-1.8346898259789775E-3</v>
      </c>
      <c r="Q372" s="215"/>
      <c r="R372" s="215"/>
      <c r="S372" s="46"/>
      <c r="T372" s="46"/>
      <c r="U372" s="46"/>
      <c r="V372" s="46"/>
      <c r="W372" s="46"/>
    </row>
    <row r="373" spans="1:25">
      <c r="A373" s="1" t="s">
        <v>19</v>
      </c>
      <c r="B373" s="13" t="s">
        <v>5</v>
      </c>
      <c r="C373" s="51" t="s">
        <v>291</v>
      </c>
      <c r="D373" s="46" t="s">
        <v>67</v>
      </c>
      <c r="E373" s="47" t="s">
        <v>772</v>
      </c>
      <c r="F373" s="47" t="s">
        <v>779</v>
      </c>
      <c r="G373" s="167"/>
      <c r="H373" s="167"/>
      <c r="I373" s="167"/>
      <c r="J373" s="167"/>
      <c r="K373" s="167"/>
      <c r="L373" s="46"/>
      <c r="M373" s="46"/>
      <c r="N373" s="46"/>
      <c r="O373" s="46"/>
      <c r="P373" s="215">
        <v>-2.6028132997890641E-4</v>
      </c>
      <c r="Q373" s="215"/>
      <c r="R373" s="215"/>
      <c r="S373" s="46"/>
      <c r="T373" s="46"/>
      <c r="U373" s="46"/>
      <c r="V373" s="46"/>
      <c r="W373" s="46"/>
    </row>
    <row r="374" spans="1:25">
      <c r="A374" s="1" t="s">
        <v>19</v>
      </c>
      <c r="B374" s="13" t="s">
        <v>5</v>
      </c>
      <c r="C374" s="51" t="s">
        <v>291</v>
      </c>
      <c r="D374" s="46" t="s">
        <v>601</v>
      </c>
      <c r="E374" s="47" t="s">
        <v>389</v>
      </c>
      <c r="F374" s="47" t="s">
        <v>786</v>
      </c>
      <c r="G374" s="167"/>
      <c r="H374" s="167"/>
      <c r="I374" s="167"/>
      <c r="J374" s="167"/>
      <c r="K374" s="167"/>
      <c r="L374" s="46"/>
      <c r="M374" s="46"/>
      <c r="N374" s="46"/>
      <c r="O374" s="46"/>
      <c r="P374" s="215"/>
      <c r="Q374" s="215"/>
      <c r="R374" s="215">
        <v>-5.8999999999999999E-3</v>
      </c>
      <c r="S374" s="46"/>
      <c r="T374" s="46"/>
      <c r="U374" s="46"/>
      <c r="V374" s="46"/>
      <c r="W374" s="46"/>
    </row>
    <row r="375" spans="1:25">
      <c r="A375" s="1" t="s">
        <v>19</v>
      </c>
      <c r="B375" s="13" t="s">
        <v>5</v>
      </c>
      <c r="C375" s="51" t="s">
        <v>750</v>
      </c>
      <c r="D375" s="46" t="s">
        <v>754</v>
      </c>
      <c r="E375" s="47" t="s">
        <v>389</v>
      </c>
      <c r="F375" s="47" t="s">
        <v>773</v>
      </c>
      <c r="G375" s="167"/>
      <c r="H375" s="167"/>
      <c r="I375" s="167"/>
      <c r="J375" s="167"/>
      <c r="K375" s="167"/>
      <c r="L375" s="46"/>
      <c r="M375" s="46"/>
      <c r="N375" s="46"/>
      <c r="O375" s="46"/>
      <c r="P375" s="215"/>
      <c r="Q375" s="430">
        <v>-1.8410181763932399E-3</v>
      </c>
      <c r="R375" s="215"/>
      <c r="S375" s="46"/>
      <c r="T375" s="46"/>
      <c r="U375" s="46"/>
      <c r="V375" s="46"/>
      <c r="W375" s="46"/>
    </row>
    <row r="376" spans="1:25">
      <c r="A376" s="1" t="s">
        <v>19</v>
      </c>
      <c r="B376" s="13" t="s">
        <v>5</v>
      </c>
      <c r="C376" s="51" t="s">
        <v>750</v>
      </c>
      <c r="D376" s="46" t="s">
        <v>755</v>
      </c>
      <c r="E376" s="47" t="s">
        <v>33</v>
      </c>
      <c r="F376" s="47" t="s">
        <v>781</v>
      </c>
      <c r="G376" s="167"/>
      <c r="H376" s="167"/>
      <c r="I376" s="167"/>
      <c r="J376" s="167"/>
      <c r="K376" s="167"/>
      <c r="L376" s="46"/>
      <c r="M376" s="46"/>
      <c r="N376" s="46"/>
      <c r="O376" s="46"/>
      <c r="P376" s="215"/>
      <c r="Q376" s="440">
        <f>-0.0117963760662946*0</f>
        <v>0</v>
      </c>
      <c r="R376" s="215"/>
      <c r="S376" s="46"/>
      <c r="T376" s="46"/>
      <c r="U376" s="46"/>
      <c r="V376" s="46"/>
      <c r="W376" s="46"/>
    </row>
    <row r="377" spans="1:25">
      <c r="A377" s="1" t="s">
        <v>19</v>
      </c>
      <c r="B377" s="13" t="s">
        <v>5</v>
      </c>
      <c r="C377" s="51" t="s">
        <v>750</v>
      </c>
      <c r="D377" s="46" t="s">
        <v>293</v>
      </c>
      <c r="E377" s="47" t="s">
        <v>142</v>
      </c>
      <c r="F377" s="47" t="s">
        <v>529</v>
      </c>
      <c r="G377" s="167"/>
      <c r="H377" s="167"/>
      <c r="I377" s="167"/>
      <c r="J377" s="167"/>
      <c r="K377" s="167"/>
      <c r="L377" s="46"/>
      <c r="M377" s="46"/>
      <c r="N377" s="46"/>
      <c r="O377" s="46"/>
      <c r="P377" s="215"/>
      <c r="Q377" s="426">
        <f>-0.004</f>
        <v>-4.0000000000000001E-3</v>
      </c>
      <c r="R377" s="215"/>
      <c r="S377" s="46"/>
      <c r="T377" s="46"/>
      <c r="U377" s="46"/>
      <c r="V377" s="46"/>
      <c r="W377" s="46"/>
    </row>
    <row r="378" spans="1:25">
      <c r="A378" s="1" t="s">
        <v>19</v>
      </c>
      <c r="B378" s="13" t="s">
        <v>5</v>
      </c>
      <c r="C378" s="51" t="s">
        <v>291</v>
      </c>
      <c r="D378" s="46" t="s">
        <v>738</v>
      </c>
      <c r="E378" s="47" t="s">
        <v>58</v>
      </c>
      <c r="F378" s="47" t="s">
        <v>416</v>
      </c>
      <c r="G378" s="167"/>
      <c r="H378" s="167"/>
      <c r="I378" s="167"/>
      <c r="J378" s="167"/>
      <c r="K378" s="167"/>
      <c r="L378" s="46"/>
      <c r="M378" s="46"/>
      <c r="N378" s="46"/>
      <c r="O378" s="46"/>
      <c r="P378" s="236">
        <v>4.0948348100648853E-5</v>
      </c>
      <c r="Q378" s="46"/>
      <c r="R378" s="46"/>
      <c r="S378" s="46"/>
      <c r="T378" s="46"/>
      <c r="U378" s="46"/>
      <c r="V378" s="46"/>
      <c r="W378" s="46"/>
    </row>
    <row r="379" spans="1:25" s="152" customFormat="1">
      <c r="A379" s="148" t="s">
        <v>64</v>
      </c>
      <c r="B379" s="148" t="s">
        <v>225</v>
      </c>
      <c r="C379" s="151"/>
      <c r="D379" s="148"/>
      <c r="E379" s="148"/>
      <c r="F379" s="148"/>
      <c r="G379" s="199">
        <v>1.2813039350758084</v>
      </c>
      <c r="H379" s="199">
        <v>1.2729323133513415</v>
      </c>
      <c r="I379" s="199">
        <v>1.2700581192558356</v>
      </c>
      <c r="J379" s="199">
        <v>1.2700581192558356</v>
      </c>
      <c r="K379" s="199">
        <v>1.2623936016678194</v>
      </c>
      <c r="L379" s="199">
        <f>MoDi!D124</f>
        <v>1.2855649326755965</v>
      </c>
      <c r="M379" s="199">
        <f>MoDi!E124</f>
        <v>1.2758104731058224</v>
      </c>
      <c r="N379" s="199">
        <f>MoDi!F124</f>
        <v>1.2451588032390943</v>
      </c>
      <c r="O379" s="199">
        <f>MoDi!G124</f>
        <v>1.2256498840995462</v>
      </c>
      <c r="P379" s="234">
        <f>MoDi!H124</f>
        <v>1.2256498840995462</v>
      </c>
      <c r="Q379" s="199">
        <f>MoDi!I124</f>
        <v>1.2256498840995462</v>
      </c>
      <c r="R379" s="199">
        <f>MoDi!J124</f>
        <v>1.2256498840995462</v>
      </c>
      <c r="S379" s="199">
        <f>MoDi!K124</f>
        <v>1.2179853665115301</v>
      </c>
      <c r="T379" s="199">
        <f>MoDi!L124</f>
        <v>1.2111358578278753</v>
      </c>
      <c r="U379" s="199">
        <f>MoDi!M124</f>
        <v>1.2111358578278753</v>
      </c>
      <c r="V379" s="199">
        <f>MoDi!N124</f>
        <v>1.2111358578278753</v>
      </c>
      <c r="W379" s="199">
        <f>MoDi!O124</f>
        <v>1.2111358578278753</v>
      </c>
    </row>
    <row r="380" spans="1:25">
      <c r="A380" s="1" t="s">
        <v>64</v>
      </c>
      <c r="B380" s="12" t="s">
        <v>4</v>
      </c>
      <c r="C380" s="22" t="s">
        <v>687</v>
      </c>
      <c r="D380" s="21" t="s">
        <v>688</v>
      </c>
      <c r="E380" s="23" t="s">
        <v>53</v>
      </c>
      <c r="F380" s="23" t="s">
        <v>776</v>
      </c>
      <c r="G380" s="170"/>
      <c r="H380" s="170"/>
      <c r="I380" s="170"/>
      <c r="J380" s="170"/>
      <c r="K380" s="170"/>
      <c r="L380" s="117">
        <v>0</v>
      </c>
      <c r="M380" s="117">
        <v>0</v>
      </c>
      <c r="N380" s="117">
        <v>0</v>
      </c>
      <c r="O380" s="117">
        <v>0</v>
      </c>
      <c r="P380" s="117">
        <v>0</v>
      </c>
      <c r="Q380" s="117">
        <v>0</v>
      </c>
      <c r="R380" s="117">
        <v>0</v>
      </c>
      <c r="S380" s="117">
        <v>-7.664517588016187E-3</v>
      </c>
      <c r="T380" s="117">
        <v>0</v>
      </c>
      <c r="U380" s="117">
        <v>0</v>
      </c>
      <c r="V380" s="117">
        <v>0</v>
      </c>
      <c r="W380" s="118">
        <v>0</v>
      </c>
      <c r="X380" s="136"/>
    </row>
    <row r="381" spans="1:25">
      <c r="A381" s="1" t="s">
        <v>64</v>
      </c>
      <c r="B381" s="12" t="s">
        <v>4</v>
      </c>
      <c r="C381" s="22" t="s">
        <v>689</v>
      </c>
      <c r="D381" s="21" t="s">
        <v>690</v>
      </c>
      <c r="E381" s="23" t="s">
        <v>33</v>
      </c>
      <c r="F381" s="23" t="s">
        <v>782</v>
      </c>
      <c r="G381" s="170"/>
      <c r="H381" s="170"/>
      <c r="I381" s="170"/>
      <c r="J381" s="170"/>
      <c r="K381" s="170"/>
      <c r="L381" s="117">
        <v>0</v>
      </c>
      <c r="M381" s="117">
        <v>0</v>
      </c>
      <c r="N381" s="117">
        <v>-1.532550387377769E-2</v>
      </c>
      <c r="O381" s="117">
        <v>0</v>
      </c>
      <c r="P381" s="117">
        <v>0</v>
      </c>
      <c r="Q381" s="117">
        <v>0</v>
      </c>
      <c r="R381" s="117">
        <v>0</v>
      </c>
      <c r="S381" s="117">
        <v>0</v>
      </c>
      <c r="T381" s="117">
        <v>0</v>
      </c>
      <c r="U381" s="117">
        <v>0</v>
      </c>
      <c r="V381" s="117">
        <v>0</v>
      </c>
      <c r="W381" s="118">
        <v>0</v>
      </c>
      <c r="X381" s="136"/>
    </row>
    <row r="382" spans="1:25">
      <c r="A382" s="1" t="s">
        <v>64</v>
      </c>
      <c r="B382" s="12" t="s">
        <v>4</v>
      </c>
      <c r="C382" s="22" t="s">
        <v>691</v>
      </c>
      <c r="D382" s="21" t="s">
        <v>692</v>
      </c>
      <c r="E382" s="23" t="s">
        <v>33</v>
      </c>
      <c r="F382" s="23" t="s">
        <v>781</v>
      </c>
      <c r="G382" s="170"/>
      <c r="H382" s="170"/>
      <c r="I382" s="170"/>
      <c r="J382" s="170"/>
      <c r="K382" s="170"/>
      <c r="L382" s="117">
        <v>0</v>
      </c>
      <c r="M382" s="117">
        <v>0</v>
      </c>
      <c r="N382" s="117">
        <v>-1.2451971897444373E-2</v>
      </c>
      <c r="O382" s="117">
        <v>0</v>
      </c>
      <c r="P382" s="117">
        <v>0</v>
      </c>
      <c r="Q382" s="117">
        <v>0</v>
      </c>
      <c r="R382" s="117">
        <v>0</v>
      </c>
      <c r="S382" s="117">
        <v>0</v>
      </c>
      <c r="T382" s="117">
        <v>0</v>
      </c>
      <c r="U382" s="117">
        <v>0</v>
      </c>
      <c r="V382" s="117">
        <v>0</v>
      </c>
      <c r="W382" s="118">
        <v>0</v>
      </c>
      <c r="X382" s="136"/>
    </row>
    <row r="383" spans="1:25">
      <c r="A383" s="1" t="s">
        <v>64</v>
      </c>
      <c r="B383" s="12" t="s">
        <v>4</v>
      </c>
      <c r="C383" s="22" t="s">
        <v>693</v>
      </c>
      <c r="D383" s="21" t="s">
        <v>694</v>
      </c>
      <c r="E383" s="23" t="s">
        <v>33</v>
      </c>
      <c r="F383" s="23" t="s">
        <v>781</v>
      </c>
      <c r="G383" s="170"/>
      <c r="H383" s="170"/>
      <c r="I383" s="170"/>
      <c r="J383" s="170"/>
      <c r="K383" s="170"/>
      <c r="L383" s="117">
        <v>0</v>
      </c>
      <c r="M383" s="117">
        <v>0</v>
      </c>
      <c r="N383" s="117">
        <v>0</v>
      </c>
      <c r="O383" s="117">
        <v>0</v>
      </c>
      <c r="P383" s="117">
        <v>0</v>
      </c>
      <c r="Q383" s="117">
        <v>0</v>
      </c>
      <c r="R383" s="117">
        <v>0</v>
      </c>
      <c r="S383" s="117">
        <v>0</v>
      </c>
      <c r="T383" s="117">
        <v>-6.8495086836548981E-3</v>
      </c>
      <c r="U383" s="117">
        <v>0</v>
      </c>
      <c r="V383" s="117">
        <v>0</v>
      </c>
      <c r="W383" s="118">
        <v>0</v>
      </c>
      <c r="X383" s="136"/>
    </row>
    <row r="384" spans="1:25">
      <c r="A384" s="1" t="s">
        <v>64</v>
      </c>
      <c r="B384" s="12" t="s">
        <v>4</v>
      </c>
      <c r="C384" s="22" t="s">
        <v>695</v>
      </c>
      <c r="D384" s="21" t="s">
        <v>696</v>
      </c>
      <c r="E384" s="23" t="s">
        <v>772</v>
      </c>
      <c r="F384" s="23" t="s">
        <v>777</v>
      </c>
      <c r="G384" s="170"/>
      <c r="H384" s="170"/>
      <c r="I384" s="170"/>
      <c r="J384" s="170"/>
      <c r="K384" s="170"/>
      <c r="L384" s="117">
        <v>0</v>
      </c>
      <c r="M384" s="373">
        <v>-9.7544595697741081E-3</v>
      </c>
      <c r="N384" s="117">
        <v>0</v>
      </c>
      <c r="O384" s="117">
        <v>0</v>
      </c>
      <c r="P384" s="117">
        <v>0</v>
      </c>
      <c r="Q384" s="117">
        <v>0</v>
      </c>
      <c r="R384" s="117">
        <v>0</v>
      </c>
      <c r="S384" s="117">
        <v>0</v>
      </c>
      <c r="T384" s="117">
        <v>0</v>
      </c>
      <c r="U384" s="117">
        <v>0</v>
      </c>
      <c r="V384" s="117">
        <v>0</v>
      </c>
      <c r="W384" s="118">
        <v>0</v>
      </c>
      <c r="X384" s="136"/>
    </row>
    <row r="385" spans="1:24">
      <c r="A385" s="1" t="s">
        <v>64</v>
      </c>
      <c r="B385" s="12" t="s">
        <v>4</v>
      </c>
      <c r="C385" s="22" t="s">
        <v>697</v>
      </c>
      <c r="D385" s="21" t="s">
        <v>698</v>
      </c>
      <c r="E385" s="23" t="s">
        <v>772</v>
      </c>
      <c r="F385" s="23" t="s">
        <v>777</v>
      </c>
      <c r="G385" s="170"/>
      <c r="H385" s="170"/>
      <c r="I385" s="170"/>
      <c r="J385" s="170"/>
      <c r="K385" s="170"/>
      <c r="L385" s="117">
        <v>0</v>
      </c>
      <c r="M385" s="117">
        <v>0</v>
      </c>
      <c r="N385" s="117">
        <v>0</v>
      </c>
      <c r="O385" s="373">
        <v>-1.9508919139548195E-2</v>
      </c>
      <c r="P385" s="117">
        <v>0</v>
      </c>
      <c r="Q385" s="117">
        <v>0</v>
      </c>
      <c r="R385" s="117">
        <v>0</v>
      </c>
      <c r="S385" s="117">
        <v>0</v>
      </c>
      <c r="T385" s="117">
        <v>0</v>
      </c>
      <c r="U385" s="117">
        <v>0</v>
      </c>
      <c r="V385" s="117">
        <v>0</v>
      </c>
      <c r="W385" s="118">
        <v>0</v>
      </c>
      <c r="X385" s="136"/>
    </row>
    <row r="386" spans="1:24">
      <c r="A386" s="1" t="s">
        <v>64</v>
      </c>
      <c r="B386" s="12" t="s">
        <v>4</v>
      </c>
      <c r="C386" s="22" t="s">
        <v>699</v>
      </c>
      <c r="D386" s="21" t="s">
        <v>52</v>
      </c>
      <c r="E386" s="23" t="s">
        <v>142</v>
      </c>
      <c r="F386" s="23" t="s">
        <v>529</v>
      </c>
      <c r="G386" s="170"/>
      <c r="H386" s="170"/>
      <c r="I386" s="170"/>
      <c r="J386" s="170"/>
      <c r="K386" s="170"/>
      <c r="L386" s="117">
        <v>0</v>
      </c>
      <c r="M386" s="117">
        <v>0</v>
      </c>
      <c r="N386" s="339">
        <v>-2.8741940955060706E-3</v>
      </c>
      <c r="O386" s="117">
        <v>0</v>
      </c>
      <c r="P386" s="117">
        <v>0</v>
      </c>
      <c r="Q386" s="117">
        <v>0</v>
      </c>
      <c r="R386" s="117">
        <v>0</v>
      </c>
      <c r="S386" s="117">
        <v>0</v>
      </c>
      <c r="T386" s="117">
        <v>0</v>
      </c>
      <c r="U386" s="117">
        <v>0</v>
      </c>
      <c r="V386" s="117">
        <v>0</v>
      </c>
      <c r="W386" s="118">
        <v>0</v>
      </c>
      <c r="X386" s="136"/>
    </row>
    <row r="387" spans="1:24">
      <c r="A387" s="1" t="s">
        <v>64</v>
      </c>
      <c r="B387" s="12" t="s">
        <v>4</v>
      </c>
      <c r="C387" s="28" t="s">
        <v>22</v>
      </c>
      <c r="D387" s="6" t="s">
        <v>24</v>
      </c>
      <c r="E387" s="7" t="s">
        <v>772</v>
      </c>
      <c r="F387" s="7" t="s">
        <v>777</v>
      </c>
      <c r="G387" s="170"/>
      <c r="H387" s="170"/>
      <c r="I387" s="170"/>
      <c r="J387" s="170"/>
      <c r="K387" s="170"/>
      <c r="L387" s="95">
        <v>2.3600576880842485E-3</v>
      </c>
      <c r="M387" s="117">
        <v>0</v>
      </c>
      <c r="N387" s="117">
        <v>0</v>
      </c>
      <c r="O387" s="117">
        <v>0</v>
      </c>
      <c r="P387" s="117">
        <v>0</v>
      </c>
      <c r="Q387" s="117">
        <v>0</v>
      </c>
      <c r="R387" s="117">
        <v>0</v>
      </c>
      <c r="S387" s="117">
        <v>0</v>
      </c>
      <c r="T387" s="117">
        <v>0</v>
      </c>
      <c r="U387" s="117">
        <v>0</v>
      </c>
      <c r="V387" s="117">
        <v>0</v>
      </c>
      <c r="W387" s="118">
        <v>0</v>
      </c>
      <c r="X387" s="136"/>
    </row>
    <row r="388" spans="1:24">
      <c r="A388" s="1" t="s">
        <v>64</v>
      </c>
      <c r="B388" s="12" t="s">
        <v>4</v>
      </c>
      <c r="C388" s="28" t="s">
        <v>22</v>
      </c>
      <c r="D388" s="6" t="s">
        <v>145</v>
      </c>
      <c r="E388" s="7" t="s">
        <v>53</v>
      </c>
      <c r="F388" s="7" t="s">
        <v>776</v>
      </c>
      <c r="G388" s="170"/>
      <c r="H388" s="170"/>
      <c r="I388" s="170"/>
      <c r="J388" s="170"/>
      <c r="K388" s="170"/>
      <c r="L388" s="95">
        <v>0</v>
      </c>
      <c r="M388" s="117">
        <v>0</v>
      </c>
      <c r="N388" s="117">
        <v>0</v>
      </c>
      <c r="O388" s="117">
        <v>0</v>
      </c>
      <c r="P388" s="117">
        <v>0</v>
      </c>
      <c r="Q388" s="117">
        <v>0</v>
      </c>
      <c r="R388" s="117">
        <v>0</v>
      </c>
      <c r="S388" s="117">
        <v>0</v>
      </c>
      <c r="T388" s="117">
        <v>0</v>
      </c>
      <c r="U388" s="117">
        <v>0</v>
      </c>
      <c r="V388" s="117">
        <v>0</v>
      </c>
      <c r="W388" s="118">
        <v>0</v>
      </c>
      <c r="X388" s="136"/>
    </row>
    <row r="389" spans="1:24">
      <c r="A389" s="1" t="s">
        <v>64</v>
      </c>
      <c r="B389" s="12" t="s">
        <v>4</v>
      </c>
      <c r="C389" s="28" t="s">
        <v>22</v>
      </c>
      <c r="D389" s="6" t="s">
        <v>140</v>
      </c>
      <c r="E389" s="7" t="s">
        <v>43</v>
      </c>
      <c r="F389" s="28" t="s">
        <v>778</v>
      </c>
      <c r="G389" s="170"/>
      <c r="H389" s="170"/>
      <c r="I389" s="170"/>
      <c r="J389" s="170"/>
      <c r="K389" s="170"/>
      <c r="L389" s="95">
        <v>7.2342089904728997E-4</v>
      </c>
      <c r="M389" s="117">
        <v>0</v>
      </c>
      <c r="N389" s="117">
        <v>0</v>
      </c>
      <c r="O389" s="117">
        <v>0</v>
      </c>
      <c r="P389" s="117">
        <v>0</v>
      </c>
      <c r="Q389" s="117">
        <v>0</v>
      </c>
      <c r="R389" s="117">
        <v>0</v>
      </c>
      <c r="S389" s="117">
        <v>0</v>
      </c>
      <c r="T389" s="117">
        <v>0</v>
      </c>
      <c r="U389" s="117">
        <v>0</v>
      </c>
      <c r="V389" s="117">
        <v>0</v>
      </c>
      <c r="W389" s="118">
        <v>0</v>
      </c>
      <c r="X389" s="136"/>
    </row>
    <row r="390" spans="1:24">
      <c r="A390" s="1" t="s">
        <v>64</v>
      </c>
      <c r="B390" s="12" t="s">
        <v>4</v>
      </c>
      <c r="C390" s="28" t="s">
        <v>22</v>
      </c>
      <c r="D390" s="6" t="s">
        <v>49</v>
      </c>
      <c r="E390" s="7" t="s">
        <v>142</v>
      </c>
      <c r="F390" s="7" t="s">
        <v>529</v>
      </c>
      <c r="G390" s="170"/>
      <c r="H390" s="170"/>
      <c r="I390" s="170"/>
      <c r="J390" s="170"/>
      <c r="K390" s="170"/>
      <c r="L390" s="95">
        <v>9.5795741928312065E-4</v>
      </c>
      <c r="M390" s="117">
        <v>0</v>
      </c>
      <c r="N390" s="117">
        <v>0</v>
      </c>
      <c r="O390" s="117">
        <v>0</v>
      </c>
      <c r="P390" s="117">
        <v>0</v>
      </c>
      <c r="Q390" s="117">
        <v>0</v>
      </c>
      <c r="R390" s="117">
        <v>0</v>
      </c>
      <c r="S390" s="117">
        <v>0</v>
      </c>
      <c r="T390" s="117">
        <v>0</v>
      </c>
      <c r="U390" s="117">
        <v>0</v>
      </c>
      <c r="V390" s="117">
        <v>0</v>
      </c>
      <c r="W390" s="118">
        <v>0</v>
      </c>
      <c r="X390" s="136"/>
    </row>
    <row r="391" spans="1:24">
      <c r="A391" s="1" t="s">
        <v>64</v>
      </c>
      <c r="B391" s="12" t="s">
        <v>4</v>
      </c>
      <c r="C391" s="28" t="s">
        <v>22</v>
      </c>
      <c r="D391" s="6" t="s">
        <v>58</v>
      </c>
      <c r="E391" s="7" t="s">
        <v>58</v>
      </c>
      <c r="F391" s="7"/>
      <c r="G391" s="170"/>
      <c r="H391" s="170"/>
      <c r="I391" s="170"/>
      <c r="J391" s="170"/>
      <c r="K391" s="170"/>
      <c r="L391" s="95">
        <v>6.8673718163190026E-3</v>
      </c>
      <c r="M391" s="117">
        <v>0</v>
      </c>
      <c r="N391" s="117">
        <v>0</v>
      </c>
      <c r="O391" s="117">
        <v>0</v>
      </c>
      <c r="P391" s="117">
        <v>0</v>
      </c>
      <c r="Q391" s="117">
        <v>0</v>
      </c>
      <c r="R391" s="117">
        <v>0</v>
      </c>
      <c r="S391" s="117">
        <v>0</v>
      </c>
      <c r="T391" s="117">
        <v>0</v>
      </c>
      <c r="U391" s="117">
        <v>0</v>
      </c>
      <c r="V391" s="117">
        <v>0</v>
      </c>
      <c r="W391" s="118">
        <v>0</v>
      </c>
      <c r="X391" s="136"/>
    </row>
    <row r="392" spans="1:24">
      <c r="A392" s="96" t="s">
        <v>64</v>
      </c>
      <c r="B392" s="18" t="s">
        <v>4</v>
      </c>
      <c r="C392" s="40" t="s">
        <v>22</v>
      </c>
      <c r="D392" s="41" t="s">
        <v>33</v>
      </c>
      <c r="E392" s="42" t="s">
        <v>33</v>
      </c>
      <c r="F392" s="42"/>
      <c r="G392" s="205"/>
      <c r="H392" s="205"/>
      <c r="I392" s="205"/>
      <c r="J392" s="205"/>
      <c r="K392" s="205"/>
      <c r="L392" s="130">
        <v>1.2262523185043277E-2</v>
      </c>
      <c r="M392" s="121">
        <v>0</v>
      </c>
      <c r="N392" s="121">
        <v>0</v>
      </c>
      <c r="O392" s="121">
        <v>0</v>
      </c>
      <c r="P392" s="121">
        <v>0</v>
      </c>
      <c r="Q392" s="121">
        <v>0</v>
      </c>
      <c r="R392" s="121">
        <v>0</v>
      </c>
      <c r="S392" s="121">
        <v>0</v>
      </c>
      <c r="T392" s="121">
        <v>0</v>
      </c>
      <c r="U392" s="121">
        <v>0</v>
      </c>
      <c r="V392" s="121">
        <v>0</v>
      </c>
      <c r="W392" s="122">
        <v>0</v>
      </c>
      <c r="X392" s="136"/>
    </row>
    <row r="393" spans="1:24" outlineLevel="1">
      <c r="A393" s="1" t="s">
        <v>64</v>
      </c>
      <c r="B393" s="12" t="s">
        <v>4</v>
      </c>
      <c r="C393" s="22" t="s">
        <v>703</v>
      </c>
      <c r="D393" s="21" t="s">
        <v>660</v>
      </c>
      <c r="E393" s="23" t="s">
        <v>142</v>
      </c>
      <c r="F393" s="23" t="s">
        <v>529</v>
      </c>
      <c r="G393" s="165">
        <v>-1.3102533625155855E-2</v>
      </c>
      <c r="H393" s="165">
        <v>0</v>
      </c>
      <c r="I393" s="165">
        <v>0</v>
      </c>
      <c r="J393" s="165">
        <v>0</v>
      </c>
      <c r="K393" s="165">
        <v>0</v>
      </c>
      <c r="L393" s="171"/>
      <c r="M393" s="171"/>
      <c r="N393" s="171"/>
      <c r="O393" s="171"/>
      <c r="P393" s="171"/>
      <c r="Q393" s="171"/>
      <c r="R393" s="171"/>
      <c r="S393" s="171"/>
      <c r="T393" s="171"/>
      <c r="U393" s="171"/>
      <c r="V393" s="171"/>
      <c r="W393" s="172"/>
      <c r="X393" s="136"/>
    </row>
    <row r="394" spans="1:24" outlineLevel="1">
      <c r="A394" s="1" t="s">
        <v>64</v>
      </c>
      <c r="B394" s="12" t="s">
        <v>4</v>
      </c>
      <c r="C394" s="22" t="s">
        <v>704</v>
      </c>
      <c r="D394" s="21" t="s">
        <v>705</v>
      </c>
      <c r="E394" s="23" t="s">
        <v>58</v>
      </c>
      <c r="F394" s="23" t="s">
        <v>775</v>
      </c>
      <c r="G394" s="165">
        <v>-6.5233416034808636E-3</v>
      </c>
      <c r="H394" s="165">
        <v>0</v>
      </c>
      <c r="I394" s="165">
        <v>0</v>
      </c>
      <c r="J394" s="165">
        <v>0</v>
      </c>
      <c r="K394" s="165">
        <v>0</v>
      </c>
      <c r="L394" s="171"/>
      <c r="M394" s="171"/>
      <c r="N394" s="171"/>
      <c r="O394" s="171"/>
      <c r="P394" s="171"/>
      <c r="Q394" s="171"/>
      <c r="R394" s="171"/>
      <c r="S394" s="171"/>
      <c r="T394" s="171"/>
      <c r="U394" s="171"/>
      <c r="V394" s="171"/>
      <c r="W394" s="172"/>
      <c r="X394" s="136"/>
    </row>
    <row r="395" spans="1:24" outlineLevel="1">
      <c r="A395" s="1" t="s">
        <v>64</v>
      </c>
      <c r="B395" s="12" t="s">
        <v>4</v>
      </c>
      <c r="C395" s="22" t="s">
        <v>706</v>
      </c>
      <c r="D395" s="21" t="s">
        <v>707</v>
      </c>
      <c r="E395" s="23" t="s">
        <v>58</v>
      </c>
      <c r="F395" s="23" t="s">
        <v>775</v>
      </c>
      <c r="G395" s="165">
        <v>-9.0239558848151831E-3</v>
      </c>
      <c r="H395" s="165">
        <v>0</v>
      </c>
      <c r="I395" s="165">
        <v>0</v>
      </c>
      <c r="J395" s="165">
        <v>0</v>
      </c>
      <c r="K395" s="165">
        <v>0</v>
      </c>
      <c r="L395" s="171"/>
      <c r="M395" s="171"/>
      <c r="N395" s="171"/>
      <c r="O395" s="171"/>
      <c r="P395" s="171"/>
      <c r="Q395" s="171"/>
      <c r="R395" s="171"/>
      <c r="S395" s="171"/>
      <c r="T395" s="171"/>
      <c r="U395" s="171"/>
      <c r="V395" s="171"/>
      <c r="W395" s="172"/>
      <c r="X395" s="136"/>
    </row>
    <row r="396" spans="1:24" outlineLevel="1">
      <c r="A396" s="1" t="s">
        <v>64</v>
      </c>
      <c r="B396" s="12" t="s">
        <v>4</v>
      </c>
      <c r="C396" s="22" t="s">
        <v>739</v>
      </c>
      <c r="D396" s="21" t="s">
        <v>740</v>
      </c>
      <c r="E396" s="23" t="s">
        <v>58</v>
      </c>
      <c r="F396" s="23" t="s">
        <v>416</v>
      </c>
      <c r="G396" s="165">
        <v>-2.1802569852362426E-3</v>
      </c>
      <c r="H396" s="165">
        <v>0</v>
      </c>
      <c r="I396" s="165">
        <v>0</v>
      </c>
      <c r="J396" s="165">
        <v>0</v>
      </c>
      <c r="K396" s="165">
        <v>0</v>
      </c>
      <c r="L396" s="171"/>
      <c r="M396" s="171"/>
      <c r="N396" s="171"/>
      <c r="O396" s="171"/>
      <c r="P396" s="171"/>
      <c r="Q396" s="171"/>
      <c r="R396" s="171"/>
      <c r="S396" s="171"/>
      <c r="T396" s="171"/>
      <c r="U396" s="171"/>
      <c r="V396" s="171"/>
      <c r="W396" s="172"/>
      <c r="X396" s="136"/>
    </row>
    <row r="397" spans="1:24" outlineLevel="1">
      <c r="A397" s="1" t="s">
        <v>64</v>
      </c>
      <c r="B397" s="12" t="s">
        <v>4</v>
      </c>
      <c r="C397" s="22" t="s">
        <v>741</v>
      </c>
      <c r="D397" s="21" t="s">
        <v>742</v>
      </c>
      <c r="E397" s="23" t="s">
        <v>772</v>
      </c>
      <c r="F397" s="23" t="s">
        <v>779</v>
      </c>
      <c r="G397" s="165">
        <v>-2.92463148556058E-3</v>
      </c>
      <c r="H397" s="165">
        <v>0</v>
      </c>
      <c r="I397" s="165">
        <v>0</v>
      </c>
      <c r="J397" s="165">
        <v>0</v>
      </c>
      <c r="K397" s="165">
        <v>0</v>
      </c>
      <c r="L397" s="171"/>
      <c r="M397" s="171"/>
      <c r="N397" s="171"/>
      <c r="O397" s="171"/>
      <c r="P397" s="171"/>
      <c r="Q397" s="171"/>
      <c r="R397" s="171"/>
      <c r="S397" s="171"/>
      <c r="T397" s="171"/>
      <c r="U397" s="171"/>
      <c r="V397" s="171"/>
      <c r="W397" s="172"/>
      <c r="X397" s="136"/>
    </row>
    <row r="398" spans="1:24" outlineLevel="1">
      <c r="A398" s="1" t="s">
        <v>64</v>
      </c>
      <c r="B398" s="12" t="s">
        <v>4</v>
      </c>
      <c r="C398" s="22" t="s">
        <v>714</v>
      </c>
      <c r="D398" s="21" t="s">
        <v>715</v>
      </c>
      <c r="E398" s="23" t="s">
        <v>53</v>
      </c>
      <c r="F398" s="23" t="s">
        <v>776</v>
      </c>
      <c r="G398" s="165">
        <v>0</v>
      </c>
      <c r="H398" s="165">
        <v>0</v>
      </c>
      <c r="I398" s="165">
        <v>0</v>
      </c>
      <c r="J398" s="165">
        <v>0</v>
      </c>
      <c r="K398" s="165">
        <v>-7.664517588016187E-3</v>
      </c>
      <c r="L398" s="171"/>
      <c r="M398" s="171"/>
      <c r="N398" s="171"/>
      <c r="O398" s="171"/>
      <c r="P398" s="171"/>
      <c r="Q398" s="171"/>
      <c r="R398" s="171"/>
      <c r="S398" s="171"/>
      <c r="T398" s="171"/>
      <c r="U398" s="171"/>
      <c r="V398" s="171"/>
      <c r="W398" s="172"/>
      <c r="X398" s="136"/>
    </row>
    <row r="399" spans="1:24" outlineLevel="1">
      <c r="A399" s="1" t="s">
        <v>64</v>
      </c>
      <c r="B399" s="12" t="s">
        <v>4</v>
      </c>
      <c r="C399" s="22" t="s">
        <v>713</v>
      </c>
      <c r="D399" s="21" t="s">
        <v>27</v>
      </c>
      <c r="E399" s="23" t="s">
        <v>772</v>
      </c>
      <c r="F399" s="23" t="s">
        <v>779</v>
      </c>
      <c r="G399" s="165">
        <v>0</v>
      </c>
      <c r="H399" s="165">
        <v>0</v>
      </c>
      <c r="I399" s="165">
        <v>-9.5806469850202337E-3</v>
      </c>
      <c r="J399" s="165">
        <v>0</v>
      </c>
      <c r="K399" s="165">
        <v>0</v>
      </c>
      <c r="L399" s="171"/>
      <c r="M399" s="171"/>
      <c r="N399" s="171"/>
      <c r="O399" s="171"/>
      <c r="P399" s="171"/>
      <c r="Q399" s="171"/>
      <c r="R399" s="171"/>
      <c r="S399" s="171"/>
      <c r="T399" s="171"/>
      <c r="U399" s="171"/>
      <c r="V399" s="171"/>
      <c r="W399" s="172"/>
      <c r="X399" s="136"/>
    </row>
    <row r="400" spans="1:24" outlineLevel="1">
      <c r="A400" s="1" t="s">
        <v>64</v>
      </c>
      <c r="B400" s="12" t="s">
        <v>4</v>
      </c>
      <c r="C400" s="22" t="s">
        <v>743</v>
      </c>
      <c r="D400" s="21" t="s">
        <v>606</v>
      </c>
      <c r="E400" s="23" t="s">
        <v>772</v>
      </c>
      <c r="F400" s="23" t="s">
        <v>780</v>
      </c>
      <c r="G400" s="165">
        <v>-1.4133906807541844E-3</v>
      </c>
      <c r="H400" s="165">
        <v>0</v>
      </c>
      <c r="I400" s="165">
        <v>0</v>
      </c>
      <c r="J400" s="165">
        <v>0</v>
      </c>
      <c r="K400" s="165">
        <v>0</v>
      </c>
      <c r="L400" s="171"/>
      <c r="M400" s="171"/>
      <c r="N400" s="171"/>
      <c r="O400" s="171"/>
      <c r="P400" s="171"/>
      <c r="Q400" s="171"/>
      <c r="R400" s="171"/>
      <c r="S400" s="171"/>
      <c r="T400" s="171"/>
      <c r="U400" s="171"/>
      <c r="V400" s="171"/>
      <c r="W400" s="172"/>
      <c r="X400" s="136"/>
    </row>
    <row r="401" spans="1:24" outlineLevel="1">
      <c r="A401" s="1" t="s">
        <v>64</v>
      </c>
      <c r="B401" s="12" t="s">
        <v>4</v>
      </c>
      <c r="C401" s="22" t="s">
        <v>389</v>
      </c>
      <c r="D401" s="21" t="s">
        <v>744</v>
      </c>
      <c r="E401" s="23" t="s">
        <v>389</v>
      </c>
      <c r="F401" s="23" t="s">
        <v>786</v>
      </c>
      <c r="G401" s="165">
        <v>-1.3318489107106506E-3</v>
      </c>
      <c r="H401" s="165">
        <v>0</v>
      </c>
      <c r="I401" s="165">
        <v>0</v>
      </c>
      <c r="J401" s="165">
        <v>0</v>
      </c>
      <c r="K401" s="165">
        <v>0</v>
      </c>
      <c r="L401" s="171"/>
      <c r="M401" s="171"/>
      <c r="N401" s="171"/>
      <c r="O401" s="171"/>
      <c r="P401" s="171"/>
      <c r="Q401" s="171"/>
      <c r="R401" s="171"/>
      <c r="S401" s="171"/>
      <c r="T401" s="171"/>
      <c r="U401" s="171"/>
      <c r="V401" s="171"/>
      <c r="W401" s="172"/>
      <c r="X401" s="136"/>
    </row>
    <row r="402" spans="1:24" outlineLevel="1">
      <c r="A402" s="1" t="s">
        <v>64</v>
      </c>
      <c r="B402" s="12" t="s">
        <v>4</v>
      </c>
      <c r="C402" s="22" t="s">
        <v>389</v>
      </c>
      <c r="D402" s="21" t="s">
        <v>611</v>
      </c>
      <c r="E402" s="23" t="s">
        <v>389</v>
      </c>
      <c r="F402" s="23" t="s">
        <v>773</v>
      </c>
      <c r="G402" s="165">
        <v>0</v>
      </c>
      <c r="H402" s="165">
        <v>0</v>
      </c>
      <c r="I402" s="165">
        <v>6.7064528895141636E-3</v>
      </c>
      <c r="J402" s="165">
        <v>0</v>
      </c>
      <c r="K402" s="165">
        <v>0</v>
      </c>
      <c r="L402" s="171"/>
      <c r="M402" s="171"/>
      <c r="N402" s="171"/>
      <c r="O402" s="171"/>
      <c r="P402" s="171"/>
      <c r="Q402" s="171"/>
      <c r="R402" s="171"/>
      <c r="S402" s="171"/>
      <c r="T402" s="171"/>
      <c r="U402" s="171"/>
      <c r="V402" s="171"/>
      <c r="W402" s="172"/>
      <c r="X402" s="136"/>
    </row>
    <row r="403" spans="1:24" outlineLevel="1">
      <c r="A403" s="1" t="s">
        <v>64</v>
      </c>
      <c r="B403" s="12" t="s">
        <v>4</v>
      </c>
      <c r="C403" s="22" t="s">
        <v>584</v>
      </c>
      <c r="D403" s="21" t="s">
        <v>584</v>
      </c>
      <c r="E403" s="23" t="s">
        <v>772</v>
      </c>
      <c r="F403" s="23" t="s">
        <v>779</v>
      </c>
      <c r="G403" s="165">
        <v>9.5675676851080243E-4</v>
      </c>
      <c r="H403" s="165">
        <v>0</v>
      </c>
      <c r="I403" s="165">
        <v>0</v>
      </c>
      <c r="J403" s="165">
        <v>0</v>
      </c>
      <c r="K403" s="165">
        <v>0</v>
      </c>
      <c r="L403" s="171"/>
      <c r="M403" s="171"/>
      <c r="N403" s="171"/>
      <c r="O403" s="171"/>
      <c r="P403" s="171"/>
      <c r="Q403" s="171"/>
      <c r="R403" s="171"/>
      <c r="S403" s="171"/>
      <c r="T403" s="171"/>
      <c r="U403" s="171"/>
      <c r="V403" s="171"/>
      <c r="W403" s="172"/>
      <c r="X403" s="136"/>
    </row>
    <row r="404" spans="1:24" outlineLevel="1">
      <c r="A404" s="1" t="s">
        <v>64</v>
      </c>
      <c r="B404" s="12" t="s">
        <v>4</v>
      </c>
      <c r="C404" s="22" t="s">
        <v>717</v>
      </c>
      <c r="D404" s="21" t="s">
        <v>718</v>
      </c>
      <c r="E404" s="23" t="s">
        <v>33</v>
      </c>
      <c r="F404" s="23" t="s">
        <v>781</v>
      </c>
      <c r="G404" s="165">
        <v>0</v>
      </c>
      <c r="H404" s="165">
        <v>-8.1541770043510684E-3</v>
      </c>
      <c r="I404" s="165">
        <v>0</v>
      </c>
      <c r="J404" s="165">
        <v>0</v>
      </c>
      <c r="K404" s="165">
        <v>0</v>
      </c>
      <c r="L404" s="171"/>
      <c r="M404" s="171"/>
      <c r="N404" s="171"/>
      <c r="O404" s="171"/>
      <c r="P404" s="171"/>
      <c r="Q404" s="171"/>
      <c r="R404" s="171"/>
      <c r="S404" s="171"/>
      <c r="T404" s="171"/>
      <c r="U404" s="171"/>
      <c r="V404" s="171"/>
      <c r="W404" s="172"/>
      <c r="X404" s="136"/>
    </row>
    <row r="405" spans="1:24" s="10" customFormat="1" outlineLevel="1">
      <c r="A405" s="96" t="s">
        <v>64</v>
      </c>
      <c r="B405" s="18" t="s">
        <v>4</v>
      </c>
      <c r="C405" s="25" t="s">
        <v>719</v>
      </c>
      <c r="D405" s="26" t="s">
        <v>720</v>
      </c>
      <c r="E405" s="27" t="s">
        <v>772</v>
      </c>
      <c r="F405" s="27" t="s">
        <v>790</v>
      </c>
      <c r="G405" s="175">
        <v>0</v>
      </c>
      <c r="H405" s="175">
        <v>-2.1744472011602851E-4</v>
      </c>
      <c r="I405" s="175">
        <v>0</v>
      </c>
      <c r="J405" s="175">
        <v>0</v>
      </c>
      <c r="K405" s="175">
        <v>0</v>
      </c>
      <c r="L405" s="176"/>
      <c r="M405" s="176"/>
      <c r="N405" s="176"/>
      <c r="O405" s="176"/>
      <c r="P405" s="176"/>
      <c r="Q405" s="176"/>
      <c r="R405" s="176"/>
      <c r="S405" s="176"/>
      <c r="T405" s="176"/>
      <c r="U405" s="176"/>
      <c r="V405" s="176"/>
      <c r="W405" s="177"/>
      <c r="X405" s="178"/>
    </row>
    <row r="406" spans="1:24">
      <c r="A406" s="200" t="s">
        <v>64</v>
      </c>
      <c r="B406" s="200" t="s">
        <v>251</v>
      </c>
      <c r="C406" s="200"/>
      <c r="D406" s="200"/>
      <c r="E406" s="200"/>
      <c r="F406" s="200"/>
      <c r="G406" s="201">
        <v>1.2813039350758084</v>
      </c>
      <c r="H406" s="201">
        <v>1.2767196424488516</v>
      </c>
      <c r="I406" s="201">
        <v>1.2832500191280893</v>
      </c>
      <c r="J406" s="201">
        <v>1.2657617987609118</v>
      </c>
      <c r="K406" s="201">
        <v>1.2657617987609118</v>
      </c>
      <c r="L406" s="201">
        <f>MoDi!D126</f>
        <v>1.2657617987609118</v>
      </c>
      <c r="M406" s="201">
        <f>MoDi!E126</f>
        <v>1.2634603742805504</v>
      </c>
      <c r="N406" s="201">
        <f>MoDi!F126</f>
        <v>1.2502550694991583</v>
      </c>
      <c r="O406" s="211">
        <f>MoDi!G126</f>
        <v>1.2333213743192284</v>
      </c>
      <c r="P406" s="235">
        <f>MoDi!H126</f>
        <v>1.2251635824047618</v>
      </c>
      <c r="Q406" s="201">
        <f>MoDi!I126</f>
        <v>1.2418003487759233</v>
      </c>
      <c r="R406" s="201">
        <f>MoDi!J126</f>
        <v>1.229137858207588</v>
      </c>
      <c r="S406" s="201">
        <f>MoDi!K126</f>
        <v>1.2077143057969306</v>
      </c>
      <c r="T406" s="211">
        <f>MoDi!L126</f>
        <v>1.2053224138756542</v>
      </c>
      <c r="U406" s="211">
        <f>MoDi!M126</f>
        <v>1.2053224138756542</v>
      </c>
      <c r="V406" s="211">
        <f>MoDi!N126</f>
        <v>1.2053224138756542</v>
      </c>
      <c r="W406" s="211">
        <f>MoDi!O126</f>
        <v>1.2053224138756542</v>
      </c>
    </row>
    <row r="407" spans="1:24" outlineLevel="1">
      <c r="A407" s="1" t="s">
        <v>64</v>
      </c>
      <c r="B407" s="13" t="s">
        <v>5</v>
      </c>
      <c r="C407" s="34" t="s">
        <v>721</v>
      </c>
      <c r="D407" s="34" t="s">
        <v>660</v>
      </c>
      <c r="E407" s="31" t="s">
        <v>142</v>
      </c>
      <c r="F407" s="31" t="s">
        <v>529</v>
      </c>
      <c r="G407" s="165">
        <v>-1.3102533625155871E-2</v>
      </c>
      <c r="H407" s="165"/>
      <c r="I407" s="165"/>
      <c r="J407" s="165"/>
      <c r="K407" s="165"/>
      <c r="L407" s="171"/>
      <c r="M407" s="171"/>
      <c r="N407" s="171"/>
      <c r="O407" s="171"/>
      <c r="P407" s="171"/>
      <c r="Q407" s="171"/>
      <c r="R407" s="171"/>
      <c r="S407" s="171"/>
      <c r="T407" s="171"/>
      <c r="U407" s="171"/>
      <c r="V407" s="171"/>
      <c r="W407" s="172"/>
      <c r="X407" s="136"/>
    </row>
    <row r="408" spans="1:24" outlineLevel="1">
      <c r="A408" s="1" t="s">
        <v>64</v>
      </c>
      <c r="B408" s="13" t="s">
        <v>5</v>
      </c>
      <c r="C408" s="34" t="s">
        <v>722</v>
      </c>
      <c r="D408" s="34" t="s">
        <v>723</v>
      </c>
      <c r="E408" s="31" t="s">
        <v>58</v>
      </c>
      <c r="F408" s="31" t="s">
        <v>775</v>
      </c>
      <c r="G408" s="165">
        <v>-6.5233416034808636E-3</v>
      </c>
      <c r="H408" s="165"/>
      <c r="I408" s="165"/>
      <c r="J408" s="165"/>
      <c r="K408" s="165"/>
      <c r="L408" s="171"/>
      <c r="M408" s="171"/>
      <c r="N408" s="171"/>
      <c r="O408" s="171"/>
      <c r="P408" s="171"/>
      <c r="Q408" s="171"/>
      <c r="R408" s="171"/>
      <c r="S408" s="171"/>
      <c r="T408" s="171"/>
      <c r="U408" s="171"/>
      <c r="V408" s="171"/>
      <c r="W408" s="172"/>
      <c r="X408" s="136"/>
    </row>
    <row r="409" spans="1:24" outlineLevel="1">
      <c r="A409" s="1" t="s">
        <v>64</v>
      </c>
      <c r="B409" s="13" t="s">
        <v>5</v>
      </c>
      <c r="C409" s="34" t="s">
        <v>706</v>
      </c>
      <c r="D409" s="34" t="s">
        <v>707</v>
      </c>
      <c r="E409" s="31" t="s">
        <v>58</v>
      </c>
      <c r="F409" s="31" t="s">
        <v>775</v>
      </c>
      <c r="G409" s="165">
        <v>-9.02395588481519E-3</v>
      </c>
      <c r="H409" s="165"/>
      <c r="I409" s="165"/>
      <c r="J409" s="165"/>
      <c r="K409" s="165"/>
      <c r="L409" s="171"/>
      <c r="M409" s="171"/>
      <c r="N409" s="171"/>
      <c r="O409" s="171"/>
      <c r="P409" s="171"/>
      <c r="Q409" s="171"/>
      <c r="R409" s="171"/>
      <c r="S409" s="171"/>
      <c r="T409" s="171"/>
      <c r="U409" s="171"/>
      <c r="V409" s="171"/>
      <c r="W409" s="172"/>
      <c r="X409" s="136"/>
    </row>
    <row r="410" spans="1:24" outlineLevel="1">
      <c r="A410" s="1" t="s">
        <v>64</v>
      </c>
      <c r="B410" s="13" t="s">
        <v>5</v>
      </c>
      <c r="C410" s="34" t="s">
        <v>739</v>
      </c>
      <c r="D410" s="34" t="s">
        <v>740</v>
      </c>
      <c r="E410" s="31" t="s">
        <v>58</v>
      </c>
      <c r="F410" s="31" t="s">
        <v>416</v>
      </c>
      <c r="G410" s="165">
        <v>-2.1802569852362418E-3</v>
      </c>
      <c r="H410" s="165">
        <v>-4.1079656524320562E-5</v>
      </c>
      <c r="I410" s="165">
        <v>-1.3974302402873667E-6</v>
      </c>
      <c r="J410" s="165">
        <v>-1.3879539973949816E-4</v>
      </c>
      <c r="K410" s="165"/>
      <c r="L410" s="171"/>
      <c r="M410" s="171"/>
      <c r="N410" s="171"/>
      <c r="O410" s="171"/>
      <c r="P410" s="171"/>
      <c r="Q410" s="171"/>
      <c r="R410" s="171"/>
      <c r="S410" s="171"/>
      <c r="T410" s="171"/>
      <c r="U410" s="171"/>
      <c r="V410" s="171"/>
      <c r="W410" s="172"/>
      <c r="X410" s="136"/>
    </row>
    <row r="411" spans="1:24" outlineLevel="1">
      <c r="A411" s="1" t="s">
        <v>64</v>
      </c>
      <c r="B411" s="13" t="s">
        <v>5</v>
      </c>
      <c r="C411" s="34" t="s">
        <v>741</v>
      </c>
      <c r="D411" s="34" t="s">
        <v>742</v>
      </c>
      <c r="E411" s="31" t="s">
        <v>772</v>
      </c>
      <c r="F411" s="31" t="s">
        <v>779</v>
      </c>
      <c r="G411" s="165">
        <v>-2.9246314855605848E-3</v>
      </c>
      <c r="H411" s="165"/>
      <c r="I411" s="165"/>
      <c r="J411" s="165"/>
      <c r="K411" s="165"/>
      <c r="L411" s="171"/>
      <c r="M411" s="171"/>
      <c r="N411" s="171"/>
      <c r="O411" s="171"/>
      <c r="P411" s="171"/>
      <c r="Q411" s="171"/>
      <c r="R411" s="171"/>
      <c r="S411" s="171"/>
      <c r="T411" s="171"/>
      <c r="U411" s="171"/>
      <c r="V411" s="171"/>
      <c r="W411" s="172"/>
      <c r="X411" s="136"/>
    </row>
    <row r="412" spans="1:24" outlineLevel="1">
      <c r="A412" s="1" t="s">
        <v>64</v>
      </c>
      <c r="B412" s="13" t="s">
        <v>5</v>
      </c>
      <c r="C412" s="34" t="s">
        <v>714</v>
      </c>
      <c r="D412" s="34" t="s">
        <v>715</v>
      </c>
      <c r="E412" s="31" t="s">
        <v>53</v>
      </c>
      <c r="F412" s="31" t="s">
        <v>776</v>
      </c>
      <c r="G412" s="165"/>
      <c r="H412" s="165"/>
      <c r="I412" s="165"/>
      <c r="J412" s="165">
        <v>-7.6105652040609787E-3</v>
      </c>
      <c r="K412" s="165"/>
      <c r="L412" s="171"/>
      <c r="M412" s="171"/>
      <c r="N412" s="171"/>
      <c r="O412" s="171"/>
      <c r="P412" s="171"/>
      <c r="Q412" s="171"/>
      <c r="R412" s="171"/>
      <c r="S412" s="171"/>
      <c r="T412" s="171"/>
      <c r="U412" s="171"/>
      <c r="V412" s="171"/>
      <c r="W412" s="172"/>
      <c r="X412" s="136"/>
    </row>
    <row r="413" spans="1:24" outlineLevel="1">
      <c r="A413" s="1" t="s">
        <v>64</v>
      </c>
      <c r="B413" s="13" t="s">
        <v>5</v>
      </c>
      <c r="C413" s="34" t="s">
        <v>743</v>
      </c>
      <c r="D413" s="34" t="s">
        <v>606</v>
      </c>
      <c r="E413" s="31" t="s">
        <v>772</v>
      </c>
      <c r="F413" s="31" t="s">
        <v>780</v>
      </c>
      <c r="G413" s="165">
        <v>-1.4133906807541814E-3</v>
      </c>
      <c r="H413" s="165"/>
      <c r="I413" s="165"/>
      <c r="J413" s="165"/>
      <c r="K413" s="165"/>
      <c r="L413" s="171"/>
      <c r="M413" s="171"/>
      <c r="N413" s="171"/>
      <c r="O413" s="171"/>
      <c r="P413" s="171"/>
      <c r="Q413" s="171"/>
      <c r="R413" s="171"/>
      <c r="S413" s="171"/>
      <c r="T413" s="171"/>
      <c r="U413" s="171"/>
      <c r="V413" s="171"/>
      <c r="W413" s="172"/>
      <c r="X413" s="136"/>
    </row>
    <row r="414" spans="1:24" outlineLevel="1">
      <c r="A414" s="1" t="s">
        <v>64</v>
      </c>
      <c r="B414" s="13" t="s">
        <v>5</v>
      </c>
      <c r="C414" s="34" t="s">
        <v>389</v>
      </c>
      <c r="D414" s="34" t="s">
        <v>744</v>
      </c>
      <c r="E414" s="31" t="s">
        <v>389</v>
      </c>
      <c r="F414" s="31" t="s">
        <v>786</v>
      </c>
      <c r="G414" s="165">
        <v>-1.3318489107106506E-3</v>
      </c>
      <c r="H414" s="165"/>
      <c r="I414" s="165"/>
      <c r="J414" s="165"/>
      <c r="K414" s="165"/>
      <c r="L414" s="171"/>
      <c r="M414" s="171"/>
      <c r="N414" s="171"/>
      <c r="O414" s="171"/>
      <c r="P414" s="171"/>
      <c r="Q414" s="171"/>
      <c r="R414" s="171"/>
      <c r="S414" s="171"/>
      <c r="T414" s="171"/>
      <c r="U414" s="171"/>
      <c r="V414" s="171"/>
      <c r="W414" s="172"/>
      <c r="X414" s="136"/>
    </row>
    <row r="415" spans="1:24" outlineLevel="1">
      <c r="A415" s="1" t="s">
        <v>64</v>
      </c>
      <c r="B415" s="13" t="s">
        <v>5</v>
      </c>
      <c r="C415" s="34" t="s">
        <v>389</v>
      </c>
      <c r="D415" s="34" t="s">
        <v>611</v>
      </c>
      <c r="E415" s="31" t="s">
        <v>389</v>
      </c>
      <c r="F415" s="31" t="s">
        <v>773</v>
      </c>
      <c r="G415" s="165"/>
      <c r="H415" s="165">
        <v>5.9174409510741983E-4</v>
      </c>
      <c r="I415" s="165">
        <v>6.7064528895140682E-3</v>
      </c>
      <c r="J415" s="165"/>
      <c r="K415" s="165"/>
      <c r="L415" s="171"/>
      <c r="M415" s="171"/>
      <c r="N415" s="171"/>
      <c r="O415" s="171"/>
      <c r="P415" s="171"/>
      <c r="Q415" s="171"/>
      <c r="R415" s="171"/>
      <c r="S415" s="171"/>
      <c r="T415" s="171"/>
      <c r="U415" s="171"/>
      <c r="V415" s="171"/>
      <c r="W415" s="172"/>
      <c r="X415" s="136"/>
    </row>
    <row r="416" spans="1:24" outlineLevel="1">
      <c r="A416" s="1" t="s">
        <v>64</v>
      </c>
      <c r="B416" s="13" t="s">
        <v>5</v>
      </c>
      <c r="C416" s="34" t="s">
        <v>584</v>
      </c>
      <c r="D416" s="34" t="s">
        <v>584</v>
      </c>
      <c r="E416" s="31" t="s">
        <v>772</v>
      </c>
      <c r="F416" s="31" t="s">
        <v>779</v>
      </c>
      <c r="G416" s="165">
        <v>9.5675676851080199E-4</v>
      </c>
      <c r="H416" s="165"/>
      <c r="I416" s="165"/>
      <c r="J416" s="165"/>
      <c r="K416" s="165"/>
      <c r="L416" s="171"/>
      <c r="M416" s="171"/>
      <c r="N416" s="171"/>
      <c r="O416" s="171"/>
      <c r="P416" s="171"/>
      <c r="Q416" s="171"/>
      <c r="R416" s="171"/>
      <c r="S416" s="171"/>
      <c r="T416" s="171"/>
      <c r="U416" s="171"/>
      <c r="V416" s="171"/>
      <c r="W416" s="172"/>
      <c r="X416" s="136"/>
    </row>
    <row r="417" spans="1:24" outlineLevel="1">
      <c r="A417" s="1" t="s">
        <v>64</v>
      </c>
      <c r="B417" s="13" t="s">
        <v>5</v>
      </c>
      <c r="C417" s="34" t="s">
        <v>717</v>
      </c>
      <c r="D417" s="34" t="s">
        <v>718</v>
      </c>
      <c r="E417" s="31" t="s">
        <v>33</v>
      </c>
      <c r="F417" s="31" t="s">
        <v>781</v>
      </c>
      <c r="G417" s="165"/>
      <c r="H417" s="165">
        <v>-7.6105652040610273E-3</v>
      </c>
      <c r="I417" s="165"/>
      <c r="J417" s="165"/>
      <c r="K417" s="165"/>
      <c r="L417" s="171"/>
      <c r="M417" s="171"/>
      <c r="N417" s="171"/>
      <c r="O417" s="171"/>
      <c r="P417" s="171"/>
      <c r="Q417" s="171"/>
      <c r="R417" s="171"/>
      <c r="S417" s="171"/>
      <c r="T417" s="171"/>
      <c r="U417" s="171"/>
      <c r="V417" s="171"/>
      <c r="W417" s="172"/>
      <c r="X417" s="136"/>
    </row>
    <row r="418" spans="1:24" outlineLevel="1">
      <c r="A418" s="1" t="s">
        <v>64</v>
      </c>
      <c r="B418" s="13" t="s">
        <v>5</v>
      </c>
      <c r="C418" s="34" t="s">
        <v>616</v>
      </c>
      <c r="D418" s="34" t="s">
        <v>745</v>
      </c>
      <c r="E418" s="31" t="s">
        <v>772</v>
      </c>
      <c r="F418" s="29" t="s">
        <v>777</v>
      </c>
      <c r="G418" s="165"/>
      <c r="H418" s="165">
        <v>2.4756081385209809E-3</v>
      </c>
      <c r="I418" s="165"/>
      <c r="J418" s="165"/>
      <c r="K418" s="165"/>
      <c r="L418" s="171"/>
      <c r="M418" s="171"/>
      <c r="N418" s="171"/>
      <c r="O418" s="171"/>
      <c r="P418" s="171"/>
      <c r="Q418" s="171"/>
      <c r="R418" s="171"/>
      <c r="S418" s="171"/>
      <c r="T418" s="171"/>
      <c r="U418" s="171"/>
      <c r="V418" s="171"/>
      <c r="W418" s="172"/>
      <c r="X418" s="136"/>
    </row>
    <row r="419" spans="1:24" outlineLevel="1">
      <c r="A419" s="1" t="s">
        <v>64</v>
      </c>
      <c r="B419" s="13" t="s">
        <v>5</v>
      </c>
      <c r="C419" s="34" t="s">
        <v>726</v>
      </c>
      <c r="D419" s="34" t="s">
        <v>727</v>
      </c>
      <c r="E419" s="31" t="s">
        <v>772</v>
      </c>
      <c r="F419" s="34" t="s">
        <v>777</v>
      </c>
      <c r="G419" s="165"/>
      <c r="H419" s="165"/>
      <c r="I419" s="165"/>
      <c r="J419" s="165">
        <v>-1.8143194410339389E-2</v>
      </c>
      <c r="K419" s="165"/>
      <c r="L419" s="171"/>
      <c r="M419" s="171"/>
      <c r="N419" s="171"/>
      <c r="O419" s="171"/>
      <c r="P419" s="171"/>
      <c r="Q419" s="171"/>
      <c r="R419" s="171"/>
      <c r="S419" s="171"/>
      <c r="T419" s="171"/>
      <c r="U419" s="171"/>
      <c r="V419" s="171"/>
      <c r="W419" s="172"/>
      <c r="X419" s="136"/>
    </row>
    <row r="420" spans="1:24" outlineLevel="1">
      <c r="A420" s="1" t="s">
        <v>64</v>
      </c>
      <c r="B420" s="13" t="s">
        <v>5</v>
      </c>
      <c r="C420" s="34" t="s">
        <v>272</v>
      </c>
      <c r="D420" s="34" t="s">
        <v>51</v>
      </c>
      <c r="E420" s="31" t="s">
        <v>142</v>
      </c>
      <c r="F420" s="31" t="s">
        <v>529</v>
      </c>
      <c r="G420" s="165"/>
      <c r="H420" s="165"/>
      <c r="I420" s="165">
        <v>-1.7467878003601185E-4</v>
      </c>
      <c r="J420" s="165"/>
      <c r="K420" s="165"/>
      <c r="L420" s="171"/>
      <c r="M420" s="171"/>
      <c r="N420" s="171"/>
      <c r="O420" s="171"/>
      <c r="P420" s="171"/>
      <c r="Q420" s="171"/>
      <c r="R420" s="171"/>
      <c r="S420" s="171"/>
      <c r="T420" s="171"/>
      <c r="U420" s="171"/>
      <c r="V420" s="171"/>
      <c r="W420" s="172"/>
      <c r="X420" s="136"/>
    </row>
    <row r="421" spans="1:24" outlineLevel="1">
      <c r="A421" s="1" t="s">
        <v>64</v>
      </c>
      <c r="B421" s="13" t="s">
        <v>5</v>
      </c>
      <c r="C421" s="34" t="s">
        <v>726</v>
      </c>
      <c r="D421" s="34" t="s">
        <v>728</v>
      </c>
      <c r="E421" s="31" t="s">
        <v>772</v>
      </c>
      <c r="F421" s="34" t="s">
        <v>777</v>
      </c>
      <c r="G421" s="165"/>
      <c r="H421" s="165"/>
      <c r="I421" s="165"/>
      <c r="J421" s="165">
        <v>8.4043346469623807E-3</v>
      </c>
      <c r="K421" s="165"/>
      <c r="L421" s="171"/>
      <c r="M421" s="171"/>
      <c r="N421" s="171"/>
      <c r="O421" s="171"/>
      <c r="P421" s="171"/>
      <c r="Q421" s="171"/>
      <c r="R421" s="171"/>
      <c r="S421" s="171"/>
      <c r="T421" s="171"/>
      <c r="U421" s="171"/>
      <c r="V421" s="171"/>
      <c r="W421" s="172"/>
      <c r="X421" s="136"/>
    </row>
    <row r="422" spans="1:24">
      <c r="A422" s="1" t="s">
        <v>64</v>
      </c>
      <c r="B422" s="13" t="s">
        <v>5</v>
      </c>
      <c r="C422" s="34" t="s">
        <v>739</v>
      </c>
      <c r="D422" s="34" t="s">
        <v>740</v>
      </c>
      <c r="E422" s="31" t="s">
        <v>58</v>
      </c>
      <c r="F422" s="31" t="s">
        <v>416</v>
      </c>
      <c r="G422" s="166"/>
      <c r="H422" s="166"/>
      <c r="I422" s="166"/>
      <c r="J422" s="166"/>
      <c r="K422" s="166"/>
      <c r="L422" s="34"/>
      <c r="M422" s="43">
        <v>-1.8265273653543316E-5</v>
      </c>
      <c r="N422" s="32">
        <v>-1.0480400620152343E-4</v>
      </c>
      <c r="O422" s="43">
        <v>-1.3439440618994342E-4</v>
      </c>
      <c r="P422" s="43"/>
      <c r="Q422" s="43"/>
      <c r="R422" s="43"/>
      <c r="S422" s="43"/>
      <c r="T422" s="43"/>
      <c r="U422" s="43"/>
      <c r="V422" s="43"/>
      <c r="W422" s="43"/>
    </row>
    <row r="423" spans="1:24">
      <c r="A423" s="1" t="s">
        <v>64</v>
      </c>
      <c r="B423" s="13" t="s">
        <v>5</v>
      </c>
      <c r="C423" s="34" t="s">
        <v>687</v>
      </c>
      <c r="D423" s="34" t="s">
        <v>688</v>
      </c>
      <c r="E423" s="31" t="s">
        <v>53</v>
      </c>
      <c r="F423" s="31" t="s">
        <v>776</v>
      </c>
      <c r="G423" s="166"/>
      <c r="H423" s="166"/>
      <c r="I423" s="166"/>
      <c r="J423" s="166"/>
      <c r="K423" s="166"/>
      <c r="L423" s="34"/>
      <c r="M423" s="43"/>
      <c r="N423" s="32"/>
      <c r="O423" s="43"/>
      <c r="P423" s="43"/>
      <c r="Q423" s="43"/>
      <c r="R423" s="43">
        <v>-7.664517588016187E-3</v>
      </c>
      <c r="S423" s="43"/>
      <c r="T423" s="43"/>
      <c r="U423" s="43"/>
      <c r="V423" s="43"/>
      <c r="W423" s="43"/>
    </row>
    <row r="424" spans="1:24">
      <c r="A424" s="1" t="s">
        <v>64</v>
      </c>
      <c r="B424" s="13" t="s">
        <v>5</v>
      </c>
      <c r="C424" s="34" t="s">
        <v>689</v>
      </c>
      <c r="D424" s="34" t="s">
        <v>690</v>
      </c>
      <c r="E424" s="31" t="s">
        <v>33</v>
      </c>
      <c r="F424" s="31" t="s">
        <v>782</v>
      </c>
      <c r="G424" s="166"/>
      <c r="H424" s="166"/>
      <c r="I424" s="166"/>
      <c r="J424" s="166"/>
      <c r="K424" s="166"/>
      <c r="L424" s="34"/>
      <c r="M424" s="43"/>
      <c r="N424" s="32">
        <v>-1.304668320696171E-2</v>
      </c>
      <c r="O424" s="43"/>
      <c r="P424" s="43"/>
      <c r="Q424" s="43"/>
      <c r="R424" s="43"/>
      <c r="S424" s="43"/>
      <c r="T424" s="43"/>
      <c r="U424" s="43"/>
      <c r="V424" s="43"/>
      <c r="W424" s="43"/>
    </row>
    <row r="425" spans="1:24">
      <c r="A425" s="1" t="s">
        <v>64</v>
      </c>
      <c r="B425" s="13" t="s">
        <v>5</v>
      </c>
      <c r="C425" s="34" t="s">
        <v>691</v>
      </c>
      <c r="D425" s="34" t="s">
        <v>692</v>
      </c>
      <c r="E425" s="31" t="s">
        <v>33</v>
      </c>
      <c r="F425" s="31" t="s">
        <v>781</v>
      </c>
      <c r="G425" s="166"/>
      <c r="H425" s="166"/>
      <c r="I425" s="166"/>
      <c r="J425" s="166"/>
      <c r="K425" s="166"/>
      <c r="L425" s="34"/>
      <c r="M425" s="43"/>
      <c r="N425" s="32"/>
      <c r="O425" s="43">
        <v>-1.609090928858611E-2</v>
      </c>
      <c r="P425" s="43"/>
      <c r="Q425" s="43"/>
      <c r="R425" s="43"/>
      <c r="S425" s="43"/>
      <c r="T425" s="43"/>
      <c r="U425" s="43"/>
      <c r="V425" s="43"/>
      <c r="W425" s="43"/>
    </row>
    <row r="426" spans="1:24">
      <c r="A426" s="1" t="s">
        <v>64</v>
      </c>
      <c r="B426" s="13" t="s">
        <v>5</v>
      </c>
      <c r="C426" s="34" t="s">
        <v>693</v>
      </c>
      <c r="D426" s="34" t="s">
        <v>694</v>
      </c>
      <c r="E426" s="31" t="s">
        <v>33</v>
      </c>
      <c r="F426" s="31" t="s">
        <v>781</v>
      </c>
      <c r="G426" s="166"/>
      <c r="H426" s="166"/>
      <c r="I426" s="166"/>
      <c r="J426" s="166"/>
      <c r="K426" s="166"/>
      <c r="L426" s="34"/>
      <c r="M426" s="43"/>
      <c r="N426" s="43"/>
      <c r="O426" s="43"/>
      <c r="P426" s="43"/>
      <c r="Q426" s="43"/>
      <c r="R426" s="43"/>
      <c r="S426" s="43"/>
      <c r="T426" s="43">
        <v>-2.3918919212763136E-3</v>
      </c>
      <c r="U426" s="43"/>
      <c r="V426" s="43"/>
      <c r="W426" s="43"/>
    </row>
    <row r="427" spans="1:24">
      <c r="A427" s="1" t="s">
        <v>64</v>
      </c>
      <c r="B427" s="13" t="s">
        <v>5</v>
      </c>
      <c r="C427" s="34" t="s">
        <v>588</v>
      </c>
      <c r="D427" s="34" t="s">
        <v>730</v>
      </c>
      <c r="E427" s="31" t="s">
        <v>43</v>
      </c>
      <c r="F427" s="31" t="s">
        <v>778</v>
      </c>
      <c r="G427" s="166"/>
      <c r="H427" s="166"/>
      <c r="I427" s="166"/>
      <c r="J427" s="166"/>
      <c r="K427" s="166"/>
      <c r="L427" s="34"/>
      <c r="M427" s="43">
        <v>4.1639805302545055E-3</v>
      </c>
      <c r="N427" s="43"/>
      <c r="O427" s="43"/>
      <c r="P427" s="43"/>
      <c r="Q427" s="43"/>
      <c r="R427" s="43"/>
      <c r="S427" s="43"/>
      <c r="T427" s="43"/>
      <c r="U427" s="43"/>
      <c r="V427" s="43"/>
      <c r="W427" s="43"/>
    </row>
    <row r="428" spans="1:24">
      <c r="A428" s="1" t="s">
        <v>64</v>
      </c>
      <c r="B428" s="13" t="s">
        <v>5</v>
      </c>
      <c r="C428" s="34" t="s">
        <v>588</v>
      </c>
      <c r="D428" s="34" t="s">
        <v>730</v>
      </c>
      <c r="E428" s="319" t="s">
        <v>43</v>
      </c>
      <c r="F428" s="31" t="s">
        <v>778</v>
      </c>
      <c r="G428" s="166"/>
      <c r="H428" s="166"/>
      <c r="I428" s="166"/>
      <c r="J428" s="166"/>
      <c r="K428" s="166"/>
      <c r="L428" s="34"/>
      <c r="M428" s="43">
        <v>-6.4471397369623307E-3</v>
      </c>
      <c r="N428" s="43"/>
      <c r="O428" s="43"/>
      <c r="P428" s="43"/>
      <c r="Q428" s="43"/>
      <c r="R428" s="43"/>
      <c r="S428" s="43"/>
      <c r="T428" s="43"/>
      <c r="U428" s="43"/>
      <c r="V428" s="43"/>
      <c r="W428" s="43"/>
    </row>
    <row r="429" spans="1:24">
      <c r="A429" s="1" t="s">
        <v>64</v>
      </c>
      <c r="B429" s="13" t="s">
        <v>5</v>
      </c>
      <c r="C429" s="34" t="s">
        <v>588</v>
      </c>
      <c r="D429" s="34" t="s">
        <v>591</v>
      </c>
      <c r="E429" s="31" t="s">
        <v>43</v>
      </c>
      <c r="F429" s="31" t="s">
        <v>778</v>
      </c>
      <c r="G429" s="166"/>
      <c r="H429" s="166"/>
      <c r="I429" s="166"/>
      <c r="J429" s="166"/>
      <c r="K429" s="166"/>
      <c r="L429" s="34"/>
      <c r="M429" s="43"/>
      <c r="N429" s="43"/>
      <c r="O429" s="43"/>
      <c r="P429" s="43"/>
      <c r="Q429" s="195">
        <v>2.1077423367044518E-3</v>
      </c>
      <c r="R429" s="43"/>
      <c r="S429" s="43"/>
      <c r="T429" s="43"/>
      <c r="U429" s="43"/>
      <c r="V429" s="43"/>
      <c r="W429" s="43"/>
    </row>
    <row r="430" spans="1:24">
      <c r="A430" s="1" t="s">
        <v>64</v>
      </c>
      <c r="B430" s="13" t="s">
        <v>5</v>
      </c>
      <c r="C430" s="44" t="s">
        <v>22</v>
      </c>
      <c r="D430" s="44" t="s">
        <v>24</v>
      </c>
      <c r="E430" s="28" t="s">
        <v>772</v>
      </c>
      <c r="F430" s="7" t="s">
        <v>777</v>
      </c>
      <c r="G430" s="166"/>
      <c r="H430" s="166"/>
      <c r="I430" s="166"/>
      <c r="J430" s="166"/>
      <c r="K430" s="166"/>
      <c r="L430" s="34"/>
      <c r="M430" s="43"/>
      <c r="N430" s="43"/>
      <c r="O430" s="43"/>
      <c r="P430" s="43"/>
      <c r="Q430" s="45">
        <v>2.8369750957052925E-3</v>
      </c>
      <c r="R430" s="43"/>
      <c r="S430" s="43"/>
      <c r="T430" s="43"/>
      <c r="U430" s="43"/>
      <c r="V430" s="43"/>
      <c r="W430" s="43"/>
    </row>
    <row r="431" spans="1:24">
      <c r="A431" s="1" t="s">
        <v>64</v>
      </c>
      <c r="B431" s="13" t="s">
        <v>5</v>
      </c>
      <c r="C431" s="44" t="s">
        <v>22</v>
      </c>
      <c r="D431" s="44" t="s">
        <v>145</v>
      </c>
      <c r="E431" s="28" t="s">
        <v>53</v>
      </c>
      <c r="F431" s="7" t="s">
        <v>776</v>
      </c>
      <c r="G431" s="166"/>
      <c r="H431" s="166"/>
      <c r="I431" s="166"/>
      <c r="J431" s="166"/>
      <c r="K431" s="166"/>
      <c r="L431" s="34"/>
      <c r="M431" s="43"/>
      <c r="N431" s="43"/>
      <c r="O431" s="43"/>
      <c r="P431" s="43"/>
      <c r="Q431" s="45">
        <v>0</v>
      </c>
      <c r="R431" s="43"/>
      <c r="S431" s="43"/>
      <c r="T431" s="43"/>
      <c r="U431" s="43"/>
      <c r="V431" s="43"/>
      <c r="W431" s="43"/>
    </row>
    <row r="432" spans="1:24">
      <c r="A432" s="1" t="s">
        <v>64</v>
      </c>
      <c r="B432" s="13" t="s">
        <v>5</v>
      </c>
      <c r="C432" s="44" t="s">
        <v>22</v>
      </c>
      <c r="D432" s="44" t="s">
        <v>140</v>
      </c>
      <c r="E432" s="28" t="s">
        <v>43</v>
      </c>
      <c r="F432" s="28" t="s">
        <v>778</v>
      </c>
      <c r="G432" s="166"/>
      <c r="H432" s="166"/>
      <c r="I432" s="166"/>
      <c r="J432" s="166"/>
      <c r="K432" s="166"/>
      <c r="L432" s="34"/>
      <c r="M432" s="43"/>
      <c r="N432" s="43"/>
      <c r="O432" s="43"/>
      <c r="P432" s="43"/>
      <c r="Q432" s="45">
        <v>9.1194562670554482E-4</v>
      </c>
      <c r="R432" s="43"/>
      <c r="S432" s="43"/>
      <c r="T432" s="43"/>
      <c r="U432" s="43"/>
      <c r="V432" s="43"/>
      <c r="W432" s="43"/>
    </row>
    <row r="433" spans="1:23">
      <c r="A433" s="1" t="s">
        <v>64</v>
      </c>
      <c r="B433" s="13" t="s">
        <v>5</v>
      </c>
      <c r="C433" s="44" t="s">
        <v>22</v>
      </c>
      <c r="D433" s="44" t="s">
        <v>49</v>
      </c>
      <c r="E433" s="28" t="s">
        <v>142</v>
      </c>
      <c r="F433" s="7" t="s">
        <v>529</v>
      </c>
      <c r="G433" s="166"/>
      <c r="H433" s="166"/>
      <c r="I433" s="166"/>
      <c r="J433" s="166"/>
      <c r="K433" s="166"/>
      <c r="L433" s="34"/>
      <c r="M433" s="43"/>
      <c r="N433" s="43"/>
      <c r="O433" s="43"/>
      <c r="P433" s="43"/>
      <c r="Q433" s="45">
        <v>9.5222440542805994E-4</v>
      </c>
      <c r="R433" s="43"/>
      <c r="S433" s="43"/>
      <c r="T433" s="43"/>
      <c r="U433" s="43"/>
      <c r="V433" s="43"/>
      <c r="W433" s="43"/>
    </row>
    <row r="434" spans="1:23">
      <c r="A434" s="1" t="s">
        <v>64</v>
      </c>
      <c r="B434" s="13" t="s">
        <v>5</v>
      </c>
      <c r="C434" s="44" t="s">
        <v>22</v>
      </c>
      <c r="D434" s="44" t="s">
        <v>58</v>
      </c>
      <c r="E434" s="28" t="s">
        <v>58</v>
      </c>
      <c r="F434" s="28"/>
      <c r="G434" s="166"/>
      <c r="H434" s="166"/>
      <c r="I434" s="166"/>
      <c r="J434" s="166"/>
      <c r="K434" s="166"/>
      <c r="L434" s="34"/>
      <c r="M434" s="43"/>
      <c r="N434" s="43"/>
      <c r="O434" s="43"/>
      <c r="P434" s="43"/>
      <c r="Q434" s="45"/>
      <c r="R434" s="43"/>
      <c r="S434" s="45">
        <v>4.8110893234266918E-3</v>
      </c>
      <c r="T434" s="43"/>
      <c r="U434" s="43"/>
      <c r="V434" s="43"/>
      <c r="W434" s="43"/>
    </row>
    <row r="435" spans="1:23">
      <c r="A435" s="1" t="s">
        <v>64</v>
      </c>
      <c r="B435" s="13" t="s">
        <v>5</v>
      </c>
      <c r="C435" s="44" t="s">
        <v>22</v>
      </c>
      <c r="D435" s="44" t="s">
        <v>33</v>
      </c>
      <c r="E435" s="28" t="s">
        <v>33</v>
      </c>
      <c r="F435" s="28"/>
      <c r="G435" s="166"/>
      <c r="H435" s="166"/>
      <c r="I435" s="166"/>
      <c r="J435" s="166"/>
      <c r="K435" s="166"/>
      <c r="L435" s="34"/>
      <c r="M435" s="43"/>
      <c r="N435" s="43"/>
      <c r="O435" s="43"/>
      <c r="P435" s="43"/>
      <c r="Q435" s="45">
        <v>1.5668897083011307E-2</v>
      </c>
      <c r="R435" s="43"/>
      <c r="S435" s="43"/>
      <c r="T435" s="43"/>
      <c r="U435" s="43"/>
      <c r="V435" s="43"/>
      <c r="W435" s="43"/>
    </row>
    <row r="436" spans="1:23">
      <c r="A436" s="1" t="s">
        <v>64</v>
      </c>
      <c r="B436" s="13" t="s">
        <v>5</v>
      </c>
      <c r="C436" s="34" t="s">
        <v>272</v>
      </c>
      <c r="D436" s="34" t="s">
        <v>51</v>
      </c>
      <c r="E436" s="31" t="s">
        <v>142</v>
      </c>
      <c r="F436" s="31" t="s">
        <v>529</v>
      </c>
      <c r="G436" s="166"/>
      <c r="H436" s="166"/>
      <c r="I436" s="166"/>
      <c r="J436" s="166"/>
      <c r="K436" s="166"/>
      <c r="L436" s="34"/>
      <c r="M436" s="43"/>
      <c r="N436" s="43"/>
      <c r="O436" s="43">
        <v>-1.7565192086954617E-4</v>
      </c>
      <c r="P436" s="43"/>
      <c r="Q436" s="43"/>
      <c r="R436" s="43"/>
      <c r="S436" s="43"/>
      <c r="T436" s="43"/>
      <c r="U436" s="43"/>
      <c r="V436" s="43"/>
      <c r="W436" s="43"/>
    </row>
    <row r="437" spans="1:23">
      <c r="A437" s="1" t="s">
        <v>64</v>
      </c>
      <c r="B437" s="13" t="s">
        <v>5</v>
      </c>
      <c r="C437" s="34" t="s">
        <v>479</v>
      </c>
      <c r="D437" s="34" t="s">
        <v>746</v>
      </c>
      <c r="E437" s="31" t="s">
        <v>772</v>
      </c>
      <c r="F437" s="31" t="s">
        <v>779</v>
      </c>
      <c r="G437" s="166"/>
      <c r="H437" s="166"/>
      <c r="I437" s="166"/>
      <c r="J437" s="166"/>
      <c r="K437" s="166"/>
      <c r="L437" s="34"/>
      <c r="M437" s="43"/>
      <c r="N437" s="43"/>
      <c r="O437" s="43">
        <v>-5.3273956428427117E-4</v>
      </c>
      <c r="P437" s="43"/>
      <c r="Q437" s="43"/>
      <c r="R437" s="43"/>
      <c r="S437" s="43"/>
      <c r="T437" s="43"/>
      <c r="U437" s="43"/>
      <c r="V437" s="43"/>
      <c r="W437" s="43"/>
    </row>
    <row r="438" spans="1:23">
      <c r="A438" s="1" t="s">
        <v>64</v>
      </c>
      <c r="B438" s="13" t="s">
        <v>5</v>
      </c>
      <c r="C438" s="34" t="s">
        <v>479</v>
      </c>
      <c r="D438" s="34" t="s">
        <v>68</v>
      </c>
      <c r="E438" s="31" t="s">
        <v>772</v>
      </c>
      <c r="F438" s="29" t="s">
        <v>777</v>
      </c>
      <c r="G438" s="166"/>
      <c r="H438" s="166"/>
      <c r="I438" s="166"/>
      <c r="J438" s="166"/>
      <c r="K438" s="166"/>
      <c r="L438" s="34"/>
      <c r="M438" s="43"/>
      <c r="N438" s="43">
        <v>-5.3817568228716511E-5</v>
      </c>
      <c r="O438" s="43"/>
      <c r="P438" s="43"/>
      <c r="Q438" s="43"/>
      <c r="R438" s="43"/>
      <c r="S438" s="43"/>
      <c r="T438" s="43"/>
      <c r="U438" s="43"/>
      <c r="V438" s="43"/>
      <c r="W438" s="43"/>
    </row>
    <row r="439" spans="1:23">
      <c r="A439" s="1" t="s">
        <v>64</v>
      </c>
      <c r="B439" s="13" t="s">
        <v>5</v>
      </c>
      <c r="C439" s="34" t="s">
        <v>734</v>
      </c>
      <c r="D439" s="34" t="s">
        <v>735</v>
      </c>
      <c r="E439" s="31" t="s">
        <v>33</v>
      </c>
      <c r="F439" s="31" t="s">
        <v>781</v>
      </c>
      <c r="G439" s="166"/>
      <c r="H439" s="166"/>
      <c r="I439" s="166"/>
      <c r="J439" s="166"/>
      <c r="K439" s="166"/>
      <c r="L439" s="34"/>
      <c r="M439" s="43"/>
      <c r="N439" s="43"/>
      <c r="O439" s="43"/>
      <c r="P439" s="43"/>
      <c r="Q439" s="43"/>
      <c r="R439" s="43"/>
      <c r="S439" s="43">
        <v>-1.4999999999999999E-2</v>
      </c>
      <c r="T439" s="43"/>
      <c r="U439" s="43"/>
      <c r="V439" s="43"/>
      <c r="W439" s="43"/>
    </row>
    <row r="440" spans="1:23">
      <c r="A440" s="1" t="s">
        <v>64</v>
      </c>
      <c r="B440" s="13" t="s">
        <v>5</v>
      </c>
      <c r="C440" s="34" t="s">
        <v>736</v>
      </c>
      <c r="D440" s="34" t="s">
        <v>737</v>
      </c>
      <c r="E440" s="31" t="s">
        <v>33</v>
      </c>
      <c r="F440" s="31" t="s">
        <v>789</v>
      </c>
      <c r="G440" s="166" t="s">
        <v>747</v>
      </c>
      <c r="H440" s="166"/>
      <c r="I440" s="166"/>
      <c r="J440" s="166"/>
      <c r="K440" s="166"/>
      <c r="L440" s="34"/>
      <c r="M440" s="43"/>
      <c r="N440" s="43"/>
      <c r="O440" s="43"/>
      <c r="P440" s="43"/>
      <c r="Q440" s="43"/>
      <c r="R440" s="43"/>
      <c r="S440" s="43">
        <v>-1.1234641734084E-2</v>
      </c>
      <c r="T440" s="43"/>
      <c r="U440" s="43"/>
      <c r="V440" s="43"/>
      <c r="W440" s="43"/>
    </row>
    <row r="441" spans="1:23">
      <c r="A441" s="1" t="s">
        <v>64</v>
      </c>
      <c r="B441" s="13" t="s">
        <v>5</v>
      </c>
      <c r="C441" s="51" t="s">
        <v>291</v>
      </c>
      <c r="D441" s="46" t="s">
        <v>600</v>
      </c>
      <c r="E441" s="47" t="s">
        <v>772</v>
      </c>
      <c r="F441" s="47" t="s">
        <v>777</v>
      </c>
      <c r="G441" s="167"/>
      <c r="H441" s="167"/>
      <c r="I441" s="167"/>
      <c r="J441" s="167"/>
      <c r="K441" s="167"/>
      <c r="L441" s="46"/>
      <c r="M441" s="46"/>
      <c r="N441" s="46"/>
      <c r="O441" s="46"/>
      <c r="P441" s="215">
        <v>-7.9187930948254708E-3</v>
      </c>
      <c r="Q441" s="215"/>
      <c r="R441" s="215"/>
      <c r="S441" s="46"/>
      <c r="T441" s="46"/>
      <c r="U441" s="46"/>
      <c r="V441" s="46"/>
      <c r="W441" s="46"/>
    </row>
    <row r="442" spans="1:23">
      <c r="A442" s="1" t="s">
        <v>64</v>
      </c>
      <c r="B442" s="13" t="s">
        <v>5</v>
      </c>
      <c r="C442" s="51" t="s">
        <v>291</v>
      </c>
      <c r="D442" s="46" t="s">
        <v>67</v>
      </c>
      <c r="E442" s="47" t="s">
        <v>772</v>
      </c>
      <c r="F442" s="47" t="s">
        <v>779</v>
      </c>
      <c r="G442" s="167"/>
      <c r="H442" s="167"/>
      <c r="I442" s="167"/>
      <c r="J442" s="167"/>
      <c r="K442" s="167"/>
      <c r="L442" s="46"/>
      <c r="M442" s="46"/>
      <c r="N442" s="46"/>
      <c r="O442" s="46"/>
      <c r="P442" s="215">
        <v>-2.6028132997890641E-4</v>
      </c>
      <c r="Q442" s="215"/>
      <c r="R442" s="215"/>
      <c r="S442" s="46"/>
      <c r="T442" s="46"/>
      <c r="U442" s="46"/>
      <c r="V442" s="46"/>
      <c r="W442" s="46"/>
    </row>
    <row r="443" spans="1:23">
      <c r="A443" s="1" t="s">
        <v>64</v>
      </c>
      <c r="B443" s="13" t="s">
        <v>5</v>
      </c>
      <c r="C443" s="51" t="s">
        <v>291</v>
      </c>
      <c r="D443" s="46" t="s">
        <v>601</v>
      </c>
      <c r="E443" s="47" t="s">
        <v>389</v>
      </c>
      <c r="F443" s="47" t="s">
        <v>786</v>
      </c>
      <c r="G443" s="167"/>
      <c r="H443" s="167"/>
      <c r="I443" s="167"/>
      <c r="J443" s="167"/>
      <c r="K443" s="167"/>
      <c r="L443" s="46"/>
      <c r="M443" s="46"/>
      <c r="N443" s="46"/>
      <c r="O443" s="46"/>
      <c r="P443" s="215"/>
      <c r="Q443" s="215"/>
      <c r="R443" s="215">
        <v>-4.4000000000000003E-3</v>
      </c>
      <c r="S443" s="46"/>
      <c r="T443" s="46"/>
      <c r="U443" s="46"/>
      <c r="V443" s="46"/>
      <c r="W443" s="46"/>
    </row>
    <row r="444" spans="1:23">
      <c r="A444" s="1" t="s">
        <v>64</v>
      </c>
      <c r="B444" s="13" t="s">
        <v>5</v>
      </c>
      <c r="C444" s="51" t="s">
        <v>291</v>
      </c>
      <c r="D444" s="224" t="s">
        <v>748</v>
      </c>
      <c r="E444" s="47" t="s">
        <v>772</v>
      </c>
      <c r="F444" s="47" t="s">
        <v>779</v>
      </c>
      <c r="G444" s="167"/>
      <c r="H444" s="167"/>
      <c r="I444" s="167"/>
      <c r="J444" s="167"/>
      <c r="K444" s="167"/>
      <c r="L444" s="46"/>
      <c r="M444" s="46"/>
      <c r="N444" s="46"/>
      <c r="O444" s="46"/>
      <c r="P444" s="46"/>
      <c r="Q444" s="221"/>
      <c r="R444" s="215">
        <f>-0.0055/9.19774</f>
        <v>-5.9797298031907841E-4</v>
      </c>
      <c r="S444" s="46"/>
      <c r="T444" s="46"/>
      <c r="U444" s="46"/>
      <c r="V444" s="46"/>
      <c r="W444" s="46"/>
    </row>
    <row r="445" spans="1:23">
      <c r="A445" s="1" t="s">
        <v>64</v>
      </c>
      <c r="B445" s="13" t="s">
        <v>5</v>
      </c>
      <c r="C445" s="51" t="s">
        <v>291</v>
      </c>
      <c r="D445" s="224" t="s">
        <v>602</v>
      </c>
      <c r="E445" s="47" t="s">
        <v>58</v>
      </c>
      <c r="F445" s="47" t="s">
        <v>416</v>
      </c>
      <c r="G445" s="167"/>
      <c r="H445" s="167"/>
      <c r="I445" s="167"/>
      <c r="J445" s="167"/>
      <c r="K445" s="167"/>
      <c r="L445" s="46"/>
      <c r="M445" s="46"/>
      <c r="N445" s="46"/>
      <c r="O445" s="46"/>
      <c r="P445" s="236">
        <v>2.1282510337647213E-5</v>
      </c>
      <c r="Q445" s="221"/>
      <c r="R445" s="215"/>
      <c r="S445" s="46"/>
      <c r="T445" s="46"/>
      <c r="U445" s="46"/>
      <c r="V445" s="46"/>
      <c r="W445" s="46"/>
    </row>
    <row r="446" spans="1:23">
      <c r="A446" s="1" t="s">
        <v>64</v>
      </c>
      <c r="B446" s="13" t="s">
        <v>5</v>
      </c>
      <c r="C446" s="51" t="s">
        <v>750</v>
      </c>
      <c r="D446" s="46" t="s">
        <v>755</v>
      </c>
      <c r="E446" s="47" t="s">
        <v>33</v>
      </c>
      <c r="F446" s="47" t="s">
        <v>781</v>
      </c>
      <c r="G446" s="167"/>
      <c r="H446" s="167"/>
      <c r="I446" s="167"/>
      <c r="J446" s="167"/>
      <c r="K446" s="167"/>
      <c r="L446" s="46"/>
      <c r="M446" s="46"/>
      <c r="N446" s="46"/>
      <c r="O446" s="46"/>
      <c r="P446" s="236"/>
      <c r="Q446" s="440">
        <f>-0.0117963760662946*0</f>
        <v>0</v>
      </c>
      <c r="R446" s="215"/>
      <c r="S446" s="46"/>
      <c r="T446" s="46"/>
      <c r="U446" s="46"/>
      <c r="V446" s="46"/>
      <c r="W446" s="46"/>
    </row>
    <row r="447" spans="1:23">
      <c r="A447" s="1" t="s">
        <v>64</v>
      </c>
      <c r="B447" s="13" t="s">
        <v>5</v>
      </c>
      <c r="C447" s="51" t="s">
        <v>750</v>
      </c>
      <c r="D447" s="46" t="s">
        <v>293</v>
      </c>
      <c r="E447" s="47" t="s">
        <v>142</v>
      </c>
      <c r="F447" s="47" t="s">
        <v>529</v>
      </c>
      <c r="G447" s="167"/>
      <c r="H447" s="167"/>
      <c r="I447" s="167"/>
      <c r="J447" s="167"/>
      <c r="K447" s="167"/>
      <c r="L447" s="46"/>
      <c r="M447" s="46"/>
      <c r="N447" s="46"/>
      <c r="O447" s="46"/>
      <c r="P447" s="236"/>
      <c r="Q447" s="426">
        <v>-4.0000000000000001E-3</v>
      </c>
      <c r="R447" s="215"/>
      <c r="S447" s="46"/>
      <c r="T447" s="46"/>
      <c r="U447" s="46"/>
      <c r="V447" s="46"/>
      <c r="W447" s="46"/>
    </row>
    <row r="448" spans="1:23">
      <c r="A448" s="1" t="s">
        <v>64</v>
      </c>
      <c r="B448" s="13" t="s">
        <v>5</v>
      </c>
      <c r="C448" s="51" t="s">
        <v>750</v>
      </c>
      <c r="D448" s="46" t="s">
        <v>754</v>
      </c>
      <c r="E448" s="47" t="s">
        <v>389</v>
      </c>
      <c r="F448" s="47" t="s">
        <v>773</v>
      </c>
      <c r="L448" s="46"/>
      <c r="M448" s="46"/>
      <c r="N448" s="46"/>
      <c r="O448" s="46"/>
      <c r="P448" s="46"/>
      <c r="Q448" s="430">
        <v>-1.8410181763932399E-3</v>
      </c>
      <c r="R448" s="215"/>
      <c r="S448" s="46"/>
      <c r="T448" s="46"/>
      <c r="U448" s="46"/>
      <c r="V448" s="46"/>
      <c r="W448" s="46"/>
    </row>
    <row r="449" spans="19:19">
      <c r="S449" s="404">
        <f>S439*9.19774</f>
        <v>-0.13796609999999998</v>
      </c>
    </row>
  </sheetData>
  <autoFilter ref="A2:AF449" xr:uid="{755CE831-F2F3-458A-8FBD-3A928637001A}"/>
  <phoneticPr fontId="57" type="noConversion"/>
  <conditionalFormatting sqref="L4:W28">
    <cfRule type="cellIs" dxfId="0" priority="1" operator="greaterThan">
      <formula>0</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A6E6B02BC6134CAD14676E60B7253B" ma:contentTypeVersion="6" ma:contentTypeDescription="Create a new document." ma:contentTypeScope="" ma:versionID="faff4fbd72c0f39789b7a79ce843892f">
  <xsd:schema xmlns:xsd="http://www.w3.org/2001/XMLSchema" xmlns:xs="http://www.w3.org/2001/XMLSchema" xmlns:p="http://schemas.microsoft.com/office/2006/metadata/properties" xmlns:ns2="92ee6b33-525b-417c-822b-d0174d60cd72" xmlns:ns3="bf8be6e3-9271-4234-8d68-a8962f855a77" targetNamespace="http://schemas.microsoft.com/office/2006/metadata/properties" ma:root="true" ma:fieldsID="e806a84fb1ba2fcb9213b74af62510ad" ns2:_="" ns3:_="">
    <xsd:import namespace="92ee6b33-525b-417c-822b-d0174d60cd72"/>
    <xsd:import namespace="bf8be6e3-9271-4234-8d68-a8962f855a7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ee6b33-525b-417c-822b-d0174d60cd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8be6e3-9271-4234-8d68-a8962f855a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46761E-5C48-41F2-8E29-FE5AFB857DB6}">
  <ds:schemaRefs>
    <ds:schemaRef ds:uri="http://purl.org/dc/elements/1.1/"/>
    <ds:schemaRef ds:uri="http://schemas.microsoft.com/office/infopath/2007/PartnerControls"/>
    <ds:schemaRef ds:uri="http://www.w3.org/XML/1998/namespace"/>
    <ds:schemaRef ds:uri="http://schemas.microsoft.com/office/2006/documentManagement/types"/>
    <ds:schemaRef ds:uri="http://purl.org/dc/dcmitype/"/>
    <ds:schemaRef ds:uri="http://schemas.microsoft.com/office/2006/metadata/properties"/>
    <ds:schemaRef ds:uri="3893c0c0-ae40-4862-9f78-d2843b272e52"/>
    <ds:schemaRef ds:uri="http://schemas.openxmlformats.org/package/2006/metadata/core-properties"/>
    <ds:schemaRef ds:uri="0ef0f2b3-86dc-4e8c-9905-7780368d1e3c"/>
    <ds:schemaRef ds:uri="http://purl.org/dc/terms/"/>
  </ds:schemaRefs>
</ds:datastoreItem>
</file>

<file path=customXml/itemProps2.xml><?xml version="1.0" encoding="utf-8"?>
<ds:datastoreItem xmlns:ds="http://schemas.openxmlformats.org/officeDocument/2006/customXml" ds:itemID="{9CCCDA25-CB01-4D67-9D52-4DB53A0D7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ee6b33-525b-417c-822b-d0174d60cd72"/>
    <ds:schemaRef ds:uri="bf8be6e3-9271-4234-8d68-a8962f855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F017EC-93DB-4688-9447-EF0963D644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6</vt:i4>
      </vt:variant>
    </vt:vector>
  </HeadingPairs>
  <TitlesOfParts>
    <vt:vector size="6" baseType="lpstr">
      <vt:lpstr>Gap Analysis update</vt:lpstr>
      <vt:lpstr>Summary</vt:lpstr>
      <vt:lpstr>RCS</vt:lpstr>
      <vt:lpstr>RCS Initiatives</vt:lpstr>
      <vt:lpstr>MoDi</vt:lpstr>
      <vt:lpstr>MoDi Initiatives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Sanchez Curtidor</dc:creator>
  <cp:keywords/>
  <dc:description/>
  <cp:lastModifiedBy>Zhu Yue</cp:lastModifiedBy>
  <cp:revision/>
  <dcterms:created xsi:type="dcterms:W3CDTF">2024-10-29T12:12:33Z</dcterms:created>
  <dcterms:modified xsi:type="dcterms:W3CDTF">2025-04-21T14:10:07Z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fea72e-161c-48c8-8e82-3fc1e9b3162c_Enabled">
    <vt:lpwstr>true</vt:lpwstr>
  </property>
  <property fmtid="{D5CDD505-2E9C-101B-9397-08002B2CF9AE}" pid="3" name="MSIP_Label_e9fea72e-161c-48c8-8e82-3fc1e9b3162c_SetDate">
    <vt:lpwstr>2024-10-29T13:48:39Z</vt:lpwstr>
  </property>
  <property fmtid="{D5CDD505-2E9C-101B-9397-08002B2CF9AE}" pid="4" name="MSIP_Label_e9fea72e-161c-48c8-8e82-3fc1e9b3162c_Method">
    <vt:lpwstr>Standard</vt:lpwstr>
  </property>
  <property fmtid="{D5CDD505-2E9C-101B-9397-08002B2CF9AE}" pid="5" name="MSIP_Label_e9fea72e-161c-48c8-8e82-3fc1e9b3162c_Name">
    <vt:lpwstr>Normal sensitivity label</vt:lpwstr>
  </property>
  <property fmtid="{D5CDD505-2E9C-101B-9397-08002B2CF9AE}" pid="6" name="MSIP_Label_e9fea72e-161c-48c8-8e82-3fc1e9b3162c_SiteId">
    <vt:lpwstr>ff9c7474-421d-4957-8d47-c4b64dec87b5</vt:lpwstr>
  </property>
  <property fmtid="{D5CDD505-2E9C-101B-9397-08002B2CF9AE}" pid="7" name="MSIP_Label_e9fea72e-161c-48c8-8e82-3fc1e9b3162c_ActionId">
    <vt:lpwstr>f10fa0c6-c5bd-4807-b877-616ab137aeff</vt:lpwstr>
  </property>
  <property fmtid="{D5CDD505-2E9C-101B-9397-08002B2CF9AE}" pid="8" name="MSIP_Label_e9fea72e-161c-48c8-8e82-3fc1e9b3162c_ContentBits">
    <vt:lpwstr>0</vt:lpwstr>
  </property>
  <property fmtid="{D5CDD505-2E9C-101B-9397-08002B2CF9AE}" pid="9" name="ContentTypeId">
    <vt:lpwstr>0x0101009FA6E6B02BC6134CAD14676E60B7253B</vt:lpwstr>
  </property>
  <property fmtid="{D5CDD505-2E9C-101B-9397-08002B2CF9AE}" pid="10" name="MediaServiceImageTags">
    <vt:lpwstr/>
  </property>
</Properties>
</file>