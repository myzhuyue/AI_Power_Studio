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ional\04_Git\AI_Power_Studio\20250329_Alcon\"/>
    </mc:Choice>
  </mc:AlternateContent>
  <xr:revisionPtr revIDLastSave="0" documentId="13_ncr:1_{81DCF67A-FCDD-4095-908D-F5EECCDB9508}" xr6:coauthVersionLast="47" xr6:coauthVersionMax="47" xr10:uidLastSave="{00000000-0000-0000-0000-000000000000}"/>
  <bookViews>
    <workbookView xWindow="-110" yWindow="-110" windowWidth="38620" windowHeight="21360" activeTab="2" xr2:uid="{16C9D6C5-AC6D-44B3-AEB6-33A9C276A7DF}"/>
  </bookViews>
  <sheets>
    <sheet name="Surgical TGT25 Value" sheetId="1" r:id="rId1"/>
    <sheet name="Surgical TGT25 Unit" sheetId="2" r:id="rId2"/>
    <sheet name="targe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11" i="3" l="1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2" i="2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2" i="1"/>
</calcChain>
</file>

<file path=xl/sharedStrings.xml><?xml version="1.0" encoding="utf-8"?>
<sst xmlns="http://schemas.openxmlformats.org/spreadsheetml/2006/main" count="3664" uniqueCount="235">
  <si>
    <t>Verion - Reference Unit</t>
  </si>
  <si>
    <t>Verion - Digital Marker - Microscopes</t>
  </si>
  <si>
    <t>Verion - Accessories</t>
  </si>
  <si>
    <t>Verion - Digital Marker - LenSx</t>
  </si>
  <si>
    <t>Cataract LenSx Equip - Sales</t>
  </si>
  <si>
    <t>Cataract LenSx Equip - Rental Income</t>
  </si>
  <si>
    <t>Phaco Equipment</t>
  </si>
  <si>
    <t>Centurion Silver Equip - Sales</t>
  </si>
  <si>
    <t>Centurion Equip - Sales</t>
  </si>
  <si>
    <t>Laureate Equip Sales</t>
  </si>
  <si>
    <t>Legion Equip - Sales</t>
  </si>
  <si>
    <t>Infiniti Equip. - Sales</t>
  </si>
  <si>
    <t>Endure Q-Vue Equipment Sales</t>
    <phoneticPr fontId="0" type="noConversion"/>
  </si>
  <si>
    <t>Phaco Accessories</t>
  </si>
  <si>
    <t>Centurion Active Sentry Handpiece</t>
  </si>
  <si>
    <t>Intrepid AutoSert IOL Injector</t>
  </si>
  <si>
    <t>Cataract LenSx Disposable</t>
  </si>
  <si>
    <t>Flap LenSx Disposable</t>
  </si>
  <si>
    <t>Phaco Cassette Paks</t>
  </si>
  <si>
    <t>Centurion Paks</t>
  </si>
  <si>
    <t>Infiniti Paks</t>
  </si>
  <si>
    <t>Laureate Paks</t>
  </si>
  <si>
    <t>Constellation Phaco Paks</t>
  </si>
  <si>
    <t>Accurus Phaco Paks</t>
  </si>
  <si>
    <t>Cataract Other Equip Disp</t>
  </si>
  <si>
    <t>Anterior Vitrectomy Disposables</t>
  </si>
  <si>
    <t>Bipolar.</t>
  </si>
  <si>
    <t>Misc Paks Disposables</t>
  </si>
  <si>
    <t>Ultrasound Tips</t>
  </si>
  <si>
    <t>Alcon Closure Systems</t>
  </si>
  <si>
    <t>Misc. Cataract Disposables</t>
  </si>
  <si>
    <t>Cataract Incisional Instruments</t>
  </si>
  <si>
    <t>BSS Large Bag</t>
  </si>
  <si>
    <t>BSS Large Glass</t>
  </si>
  <si>
    <t>Discovisc.</t>
    <phoneticPr fontId="0" type="noConversion"/>
  </si>
  <si>
    <t>Hand Held Instruments</t>
  </si>
  <si>
    <t>Cataract Miscellaneous</t>
  </si>
  <si>
    <t>IOL Delivery Systems</t>
  </si>
  <si>
    <t>IOLs - Foldable</t>
  </si>
  <si>
    <t>AcrySof IQ PanOptix</t>
  </si>
  <si>
    <t>Clareon Panoptix</t>
    <phoneticPr fontId="0" type="noConversion"/>
  </si>
  <si>
    <t>CLAREON PANOPTIX TORIC</t>
    <phoneticPr fontId="0" type="noConversion"/>
  </si>
  <si>
    <t>Acrysof Vivity</t>
    <phoneticPr fontId="0" type="noConversion"/>
  </si>
  <si>
    <t>Acrysof Vivity Toric</t>
    <phoneticPr fontId="0" type="noConversion"/>
  </si>
  <si>
    <t>Acrysof Restor</t>
  </si>
  <si>
    <t>Acrysof Restor Toric</t>
  </si>
  <si>
    <t>Acrysof Toric</t>
  </si>
  <si>
    <t>Acrysof IQ</t>
  </si>
  <si>
    <t>Acrysof IQ AcrySert</t>
  </si>
  <si>
    <t>AcrySof IQ Ultrasert</t>
  </si>
  <si>
    <t>Clareon</t>
    <phoneticPr fontId="0" type="noConversion"/>
  </si>
  <si>
    <t>Acrysof Multi-Piece</t>
  </si>
  <si>
    <t>Acrysof Single Piece</t>
  </si>
  <si>
    <t>Acrysof Natural</t>
  </si>
  <si>
    <t>IOLs - Nonfoldable</t>
  </si>
  <si>
    <t>PMMA IOLs</t>
  </si>
  <si>
    <t>Glaucoma Devices</t>
  </si>
  <si>
    <t>Ex-PRESS</t>
  </si>
  <si>
    <t>Hydrus Microstent</t>
    <phoneticPr fontId="0" type="noConversion"/>
  </si>
  <si>
    <t>Vit Equipment</t>
  </si>
  <si>
    <t>Constellation Equip - Sales</t>
  </si>
  <si>
    <t>Purepoint Laser</t>
  </si>
  <si>
    <t>Ngenuity - Sales</t>
  </si>
  <si>
    <t>Constellation Vit Accessories</t>
  </si>
  <si>
    <t>Grieshaber Accessories</t>
  </si>
  <si>
    <t>Vit Laser Other Accessories.</t>
  </si>
  <si>
    <t>Vit Laser Eyelite Accessories</t>
  </si>
  <si>
    <t>Vit Machine Paks</t>
  </si>
  <si>
    <t>Vit Accurus Paks 23G</t>
  </si>
  <si>
    <t>Accurus Accessories</t>
  </si>
  <si>
    <t>Vit Constellation Paks 20G</t>
  </si>
  <si>
    <t>Vit Constellation Paks 23G</t>
  </si>
  <si>
    <t>Vit Constellation Paks 25G</t>
  </si>
  <si>
    <t>Vit Constellation Paks 27G</t>
  </si>
  <si>
    <t>Vit Other Disposable</t>
  </si>
  <si>
    <t>Constellation Other Disposables</t>
  </si>
  <si>
    <t>Illumination.</t>
  </si>
  <si>
    <t>Infusion.</t>
  </si>
  <si>
    <t>MVS/AUMVS Disposables.</t>
  </si>
  <si>
    <t>Standalone Probes.</t>
  </si>
  <si>
    <t>Accurus Other Disposables</t>
  </si>
  <si>
    <t>Vit Grieshaber Disposables</t>
  </si>
  <si>
    <t>Vit Incisional Instruments</t>
  </si>
  <si>
    <t>Vit Lasers Disposables.</t>
  </si>
  <si>
    <t>Retinal Tamponade</t>
  </si>
  <si>
    <t>Perfluoron.</t>
  </si>
  <si>
    <t>Retinal Tamponade Gas</t>
  </si>
  <si>
    <t>Ispan Accessories.</t>
  </si>
  <si>
    <t>FS200 Equip Sales</t>
  </si>
  <si>
    <t>WL EX500 Equip Sales</t>
  </si>
  <si>
    <t>WL Diagnostics Topolyzer Sales</t>
  </si>
  <si>
    <t>InnovEyes Sightmap - Sales</t>
    <phoneticPr fontId="0" type="noConversion"/>
  </si>
  <si>
    <t>Femto Disposables</t>
  </si>
  <si>
    <t>Wavelight Wavecards</t>
  </si>
  <si>
    <t>InnovEyes Sightmap Wavecards</t>
  </si>
  <si>
    <t>MD PHL5 Brand</t>
  </si>
  <si>
    <t>MD PHL4 Segment</t>
  </si>
  <si>
    <t>MD PHL3 Group</t>
  </si>
  <si>
    <t>Sub Franchise</t>
  </si>
  <si>
    <t>Franchise</t>
  </si>
  <si>
    <t>Surgical Business</t>
  </si>
  <si>
    <t>EQP</t>
  </si>
  <si>
    <t>Cataract Diagnostics.</t>
  </si>
  <si>
    <t>Cataract</t>
  </si>
  <si>
    <t>Centurion Active Sentry - Sales</t>
  </si>
  <si>
    <t>Cataract Equip Accessories</t>
  </si>
  <si>
    <t>ACC</t>
  </si>
  <si>
    <t>Cataract I and A Accessories</t>
  </si>
  <si>
    <t>Legion Single-Use Paks</t>
  </si>
  <si>
    <t>I and A Disposables</t>
  </si>
  <si>
    <t>CNS</t>
  </si>
  <si>
    <t>IOL</t>
  </si>
  <si>
    <t>Panoptix Toric</t>
  </si>
  <si>
    <t>ACRYSOF IQ RESTOR + 2.5</t>
  </si>
  <si>
    <t>ACRYSOF IQ RESTOR TORIC + 2.5</t>
  </si>
  <si>
    <t>CLAREON BLF TORIC</t>
  </si>
  <si>
    <t>Refractive Disposables Other</t>
  </si>
  <si>
    <t>Q-Vue Equipment Sales</t>
  </si>
  <si>
    <t>Cataract Microscopes</t>
  </si>
  <si>
    <t>LuxOR Q-Vue LX3 Accessories</t>
  </si>
  <si>
    <t>Refractive Other</t>
  </si>
  <si>
    <t>Cataract LenSx Equipment</t>
  </si>
  <si>
    <t>Cataract LenSx Disposables</t>
  </si>
  <si>
    <t>Cataract Disposables</t>
  </si>
  <si>
    <t>Cataract Knives</t>
  </si>
  <si>
    <t>SGS</t>
  </si>
  <si>
    <t>Surgical Solutions</t>
  </si>
  <si>
    <t>Viscoelastics</t>
  </si>
  <si>
    <t>Cataract Other</t>
  </si>
  <si>
    <t>OTH</t>
  </si>
  <si>
    <t>Glaucoma Shunts</t>
  </si>
  <si>
    <t>MIGS Devices</t>
  </si>
  <si>
    <t>Vitreoretinal</t>
  </si>
  <si>
    <t>Vit Other Equipment</t>
  </si>
  <si>
    <t>Vit Equip Accessories</t>
  </si>
  <si>
    <t>Refractive</t>
  </si>
  <si>
    <t>Refractive Equipment</t>
  </si>
  <si>
    <t>Refractive Femto Disposables</t>
  </si>
  <si>
    <t>Refractive Technology Fees</t>
  </si>
  <si>
    <t>TOTAL</t>
  </si>
  <si>
    <t>Legacy product class</t>
    <phoneticPr fontId="9" type="noConversion"/>
  </si>
  <si>
    <t>Vision Care Business</t>
  </si>
  <si>
    <t>CTL</t>
  </si>
  <si>
    <t>Contact Lenses</t>
  </si>
  <si>
    <t>SiHy Clear Daily</t>
  </si>
  <si>
    <t>CV Voyager/Total 1 Sphere</t>
  </si>
  <si>
    <t>15570051</t>
  </si>
  <si>
    <t>15570049</t>
  </si>
  <si>
    <t>HEMA Clear Daily</t>
  </si>
  <si>
    <t>CV  Dailies ADC/FDAR Sphere</t>
  </si>
  <si>
    <t>15564701</t>
  </si>
  <si>
    <t>CV  Dailies ACP Sphere</t>
  </si>
  <si>
    <t>1556712</t>
  </si>
  <si>
    <t>1556711</t>
  </si>
  <si>
    <t>ZDAN30CN</t>
  </si>
  <si>
    <t>SiHy CLEAR DAILY - MASS SiHy</t>
  </si>
  <si>
    <t>DAILIES PRECISION SPHERICAL</t>
  </si>
  <si>
    <t>EVBDA29</t>
  </si>
  <si>
    <t>EVBDA28</t>
  </si>
  <si>
    <t>PRECISION1 TORIC</t>
  </si>
  <si>
    <t>EVBDB01</t>
  </si>
  <si>
    <t>EVBDB03</t>
  </si>
  <si>
    <t>HEMA Color Daily</t>
  </si>
  <si>
    <t>CV Dailies Freshlook Sphere (1-Day)</t>
  </si>
  <si>
    <t>1556466</t>
  </si>
  <si>
    <t>CV Dailies Freshlook Sphere (Illuminate)</t>
  </si>
  <si>
    <t>15567801</t>
  </si>
  <si>
    <t>9999923</t>
  </si>
  <si>
    <t>IL Lt Br</t>
  </si>
  <si>
    <t>DAILIES FRESHLOOK ILLUMINATE W3</t>
  </si>
  <si>
    <t>EVAJA08</t>
  </si>
  <si>
    <t>EVAJA10</t>
  </si>
  <si>
    <t>DAILIES FRESHLOOK CC LENS</t>
  </si>
  <si>
    <t>EVAHA06</t>
  </si>
  <si>
    <t>EVAHA08</t>
  </si>
  <si>
    <t>EVAHA10</t>
  </si>
  <si>
    <t>EVAHA45</t>
  </si>
  <si>
    <t>EVAJA30</t>
  </si>
  <si>
    <t>EVAJA14</t>
  </si>
  <si>
    <t>EVAHA01</t>
  </si>
  <si>
    <t>EVAHA03</t>
  </si>
  <si>
    <t>EVAJA01</t>
  </si>
  <si>
    <t>EVAJA03</t>
  </si>
  <si>
    <t>EVAJA05</t>
  </si>
  <si>
    <t>EVAHA44</t>
  </si>
  <si>
    <t>EVAJA29</t>
  </si>
  <si>
    <t>EVAJA31</t>
  </si>
  <si>
    <t>SiHy Clear Monthly</t>
  </si>
  <si>
    <t>CV Night and Day Sphere</t>
  </si>
  <si>
    <t>NDN3</t>
  </si>
  <si>
    <t>NDN3CHN</t>
  </si>
  <si>
    <t>NDN1CHV2</t>
  </si>
  <si>
    <t>CV AirOptix Aqua Sphere</t>
  </si>
  <si>
    <t>AIRU1TCN</t>
  </si>
  <si>
    <t>1556733</t>
  </si>
  <si>
    <t>1556734</t>
  </si>
  <si>
    <t>CV AirOptix Aqua Sphere Hydraglyde</t>
  </si>
  <si>
    <t>AIRH1T</t>
  </si>
  <si>
    <t>AIRH3RW</t>
  </si>
  <si>
    <t>AIRH6RW</t>
  </si>
  <si>
    <t>CV TOTAL 30 SPHERICAL</t>
  </si>
  <si>
    <t>EVCHA04</t>
  </si>
  <si>
    <t>EVCHA02</t>
  </si>
  <si>
    <t>CV AirOptix Toric w/ Hydraglyde</t>
  </si>
  <si>
    <t>AIRHT3</t>
  </si>
  <si>
    <t>CLC</t>
  </si>
  <si>
    <t>Contact Lens Care</t>
  </si>
  <si>
    <t>Chemical Disinfectants</t>
  </si>
  <si>
    <t>CV AO Sept (Clear Care)</t>
  </si>
  <si>
    <t>0003580164</t>
  </si>
  <si>
    <t>0013580002</t>
  </si>
  <si>
    <t>0013580001</t>
  </si>
  <si>
    <t>CV Nectar</t>
  </si>
  <si>
    <t>0013640002</t>
  </si>
  <si>
    <t>OTC</t>
  </si>
  <si>
    <t>Rewetting Drops</t>
  </si>
  <si>
    <t>Opti-Free Rewetting Drops</t>
  </si>
  <si>
    <t>0004180373</t>
  </si>
  <si>
    <t>Opti-Free Express PQE</t>
  </si>
  <si>
    <t>0001440682</t>
  </si>
  <si>
    <t>0001440681</t>
  </si>
  <si>
    <t>0001440447</t>
  </si>
  <si>
    <t>Opti-Free Replenish</t>
  </si>
  <si>
    <t>0003560371</t>
  </si>
  <si>
    <t>0003560372</t>
  </si>
  <si>
    <t>0003560373</t>
  </si>
  <si>
    <t>0003560374</t>
  </si>
  <si>
    <t>Opti-Free Puremoist (Evermoist)</t>
  </si>
  <si>
    <t>0003610475</t>
  </si>
  <si>
    <t>0003610472</t>
  </si>
  <si>
    <t>0003610473</t>
  </si>
  <si>
    <t>0003700049</t>
  </si>
  <si>
    <t>Target Type</t>
    <phoneticPr fontId="13" type="noConversion"/>
  </si>
  <si>
    <t>volume</t>
    <phoneticPr fontId="13" type="noConversion"/>
  </si>
  <si>
    <t>value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</si>
</sst>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[$-F400]h:mm:ss\ AM/PM"/>
    <numFmt numFmtId="177" formatCode="###,000"/>
    <numFmt numFmtId="178" formatCode="_(* #,##0_);_(* \(#,##0\);_(* &quot;-&quot;??_);_(@_)"/>
    <numFmt numFmtId="179" formatCode="_(* #,##0.00_);_(* \(#,##0.00\);_(* &quot;-&quot;??_);_(@_)"/>
    <numFmt numFmtId="180" formatCode="_ * #,##0_ ;_ * \-#,##0_ ;_ * &quot;-&quot;??_ ;_ @_ "/>
  </numFmts>
  <fonts count="14" x14ac:knownFonts="1">
    <font>
      <sz val="11"/>
      <color theme="1"/>
      <name val="Arial"/>
      <family val="2"/>
      <charset val="134"/>
    </font>
    <font>
      <sz val="11"/>
      <color theme="1"/>
      <name val="等线"/>
      <family val="2"/>
      <scheme val="minor"/>
    </font>
    <font>
      <sz val="11"/>
      <color theme="1"/>
      <name val="Arial"/>
      <family val="2"/>
      <charset val="134"/>
    </font>
    <font>
      <sz val="11"/>
      <color theme="1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8"/>
      <color rgb="FF000000"/>
      <name val="Verdana"/>
      <family val="2"/>
    </font>
    <font>
      <b/>
      <sz val="9"/>
      <color rgb="FF000000"/>
      <name val="Arial"/>
      <family val="2"/>
    </font>
    <font>
      <b/>
      <sz val="9"/>
      <color theme="1" tint="0.14993743705557422"/>
      <name val="Arial"/>
      <family val="2"/>
    </font>
    <font>
      <sz val="11"/>
      <color rgb="FF9C5700"/>
      <name val="Arial"/>
      <family val="2"/>
      <charset val="134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name val="Arial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DBDBDB"/>
        <bgColor indexed="64"/>
      </patternFill>
    </fill>
    <fill>
      <patternFill patternType="solid">
        <fgColor rgb="FFE7E9EB"/>
        <bgColor rgb="FF000000"/>
      </patternFill>
    </fill>
    <fill>
      <patternFill patternType="solid">
        <fgColor rgb="FF9999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/>
      <right/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0000"/>
      </left>
      <right style="thin">
        <color rgb="FF800000"/>
      </right>
      <top style="thin">
        <color rgb="FF800000"/>
      </top>
      <bottom style="thin">
        <color rgb="FF800000"/>
      </bottom>
      <diagonal/>
    </border>
    <border>
      <left/>
      <right style="thin">
        <color auto="1"/>
      </right>
      <top/>
      <bottom/>
      <diagonal/>
    </border>
    <border>
      <left style="thin">
        <color rgb="FF616365"/>
      </left>
      <right style="thin">
        <color rgb="FF616365"/>
      </right>
      <top style="thin">
        <color rgb="FF616365"/>
      </top>
      <bottom style="thin">
        <color rgb="FF6163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176" fontId="6" fillId="3" borderId="2" applyNumberFormat="0" applyAlignment="0" applyProtection="0">
      <alignment horizontal="left" vertical="center" indent="1"/>
    </xf>
    <xf numFmtId="4" fontId="7" fillId="4" borderId="4" applyNumberFormat="0" applyProtection="0">
      <alignment horizontal="left" vertical="center" indent="1"/>
    </xf>
    <xf numFmtId="0" fontId="2" fillId="0" borderId="0"/>
    <xf numFmtId="177" fontId="8" fillId="6" borderId="6" applyNumberFormat="0" applyAlignment="0" applyProtection="0">
      <alignment horizontal="left" vertical="center" indent="1"/>
    </xf>
    <xf numFmtId="179" fontId="3" fillId="0" borderId="0" applyFont="0" applyFill="0" applyBorder="0" applyAlignment="0" applyProtection="0"/>
  </cellStyleXfs>
  <cellXfs count="28">
    <xf numFmtId="0" fontId="0" fillId="0" borderId="0" xfId="0"/>
    <xf numFmtId="49" fontId="0" fillId="0" borderId="0" xfId="0" applyNumberFormat="1"/>
    <xf numFmtId="49" fontId="3" fillId="0" borderId="1" xfId="0" applyNumberFormat="1" applyFont="1" applyBorder="1" applyAlignment="1">
      <alignment horizontal="left" indent="2"/>
    </xf>
    <xf numFmtId="49" fontId="0" fillId="0" borderId="1" xfId="0" applyNumberFormat="1" applyBorder="1" applyAlignment="1">
      <alignment horizontal="left" indent="2"/>
    </xf>
    <xf numFmtId="49" fontId="4" fillId="0" borderId="1" xfId="0" applyNumberFormat="1" applyFont="1" applyBorder="1" applyAlignment="1">
      <alignment horizontal="left" indent="2"/>
    </xf>
    <xf numFmtId="49" fontId="5" fillId="0" borderId="1" xfId="0" applyNumberFormat="1" applyFont="1" applyBorder="1" applyAlignment="1">
      <alignment horizontal="left" indent="2"/>
    </xf>
    <xf numFmtId="49" fontId="5" fillId="0" borderId="1" xfId="0" applyNumberFormat="1" applyFont="1" applyBorder="1" applyAlignment="1">
      <alignment horizontal="left" indent="3"/>
    </xf>
    <xf numFmtId="49" fontId="4" fillId="0" borderId="1" xfId="0" applyNumberFormat="1" applyFont="1" applyBorder="1" applyAlignment="1">
      <alignment horizontal="left" indent="3"/>
    </xf>
    <xf numFmtId="49" fontId="3" fillId="0" borderId="1" xfId="0" applyNumberFormat="1" applyFont="1" applyBorder="1" applyAlignment="1">
      <alignment horizontal="left" indent="3"/>
    </xf>
    <xf numFmtId="49" fontId="3" fillId="2" borderId="1" xfId="0" applyNumberFormat="1" applyFont="1" applyFill="1" applyBorder="1" applyAlignment="1">
      <alignment horizontal="left" indent="2"/>
    </xf>
    <xf numFmtId="49" fontId="4" fillId="2" borderId="1" xfId="0" applyNumberFormat="1" applyFont="1" applyFill="1" applyBorder="1" applyAlignment="1">
      <alignment horizontal="left" indent="2"/>
    </xf>
    <xf numFmtId="49" fontId="0" fillId="0" borderId="0" xfId="0" applyNumberFormat="1" applyAlignment="1">
      <alignment horizontal="left"/>
    </xf>
    <xf numFmtId="0" fontId="6" fillId="3" borderId="3" xfId="2" quotePrefix="1" applyNumberFormat="1" applyBorder="1" applyAlignment="1">
      <alignment horizontal="center" vertical="center" wrapText="1"/>
    </xf>
    <xf numFmtId="0" fontId="7" fillId="4" borderId="4" xfId="3" quotePrefix="1" applyNumberFormat="1" applyAlignment="1">
      <alignment horizontal="center" vertical="center" wrapText="1"/>
    </xf>
    <xf numFmtId="1" fontId="3" fillId="0" borderId="1" xfId="1" applyNumberFormat="1" applyFont="1" applyBorder="1" applyAlignment="1">
      <alignment horizontal="right"/>
    </xf>
    <xf numFmtId="1" fontId="3" fillId="0" borderId="0" xfId="1" applyNumberFormat="1" applyFont="1" applyBorder="1" applyAlignment="1">
      <alignment horizontal="right"/>
    </xf>
    <xf numFmtId="1" fontId="3" fillId="0" borderId="5" xfId="1" applyNumberFormat="1" applyFont="1" applyBorder="1" applyAlignment="1">
      <alignment horizontal="right"/>
    </xf>
    <xf numFmtId="49" fontId="2" fillId="5" borderId="0" xfId="4" quotePrefix="1" applyNumberFormat="1" applyFill="1"/>
    <xf numFmtId="0" fontId="8" fillId="6" borderId="6" xfId="5" quotePrefix="1" applyNumberFormat="1" applyAlignment="1"/>
    <xf numFmtId="178" fontId="3" fillId="0" borderId="1" xfId="1" applyNumberFormat="1" applyFont="1" applyBorder="1" applyAlignment="1">
      <alignment horizontal="right"/>
    </xf>
    <xf numFmtId="178" fontId="3" fillId="0" borderId="0" xfId="1" applyNumberFormat="1" applyFont="1" applyBorder="1" applyAlignment="1">
      <alignment horizontal="right"/>
    </xf>
    <xf numFmtId="178" fontId="3" fillId="0" borderId="5" xfId="1" applyNumberFormat="1" applyFont="1" applyBorder="1" applyAlignment="1">
      <alignment horizontal="right"/>
    </xf>
    <xf numFmtId="1" fontId="0" fillId="0" borderId="0" xfId="0" applyNumberFormat="1"/>
    <xf numFmtId="0" fontId="10" fillId="7" borderId="0" xfId="0" applyFont="1" applyFill="1" applyAlignment="1">
      <alignment horizontal="left" vertical="center"/>
    </xf>
    <xf numFmtId="180" fontId="11" fillId="0" borderId="7" xfId="6" applyNumberFormat="1" applyFont="1" applyFill="1" applyBorder="1"/>
    <xf numFmtId="180" fontId="12" fillId="0" borderId="7" xfId="6" applyNumberFormat="1" applyFont="1" applyFill="1" applyBorder="1"/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</cellXfs>
  <cellStyles count="7">
    <cellStyle name="Normal 2" xfId="4" xr:uid="{85EEC27E-362D-4C25-B9A5-D506FBC71ED7}"/>
    <cellStyle name="SAPBEXstdItem" xfId="3" xr:uid="{CEDCC837-1072-4DE9-A926-CFDEA2514928}"/>
    <cellStyle name="SAPDimensionCell" xfId="2" xr:uid="{B47CFACC-EF7D-4657-8B45-4DDC52BD6F9E}"/>
    <cellStyle name="SAPMemberCell 6" xfId="5" xr:uid="{FA128BCB-85A2-486A-92B6-1C4422D1C6AE}"/>
    <cellStyle name="常规" xfId="0" builtinId="0"/>
    <cellStyle name="千位分隔" xfId="1" builtinId="3"/>
    <cellStyle name="千位分隔 2 2" xfId="6" xr:uid="{6B4698F4-13D9-4F35-B100-D35EB6CF51FB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1284-9116-4BBE-B45E-5DB9551F9F74}">
  <dimension ref="A1:S156"/>
  <sheetViews>
    <sheetView zoomScaleNormal="100" workbookViewId="0">
      <pane xSplit="5" ySplit="1" topLeftCell="F35" activePane="bottomRight" state="frozen"/>
      <selection pane="topRight" activeCell="F1" sqref="F1"/>
      <selection pane="bottomLeft" activeCell="A2" sqref="A2"/>
      <selection pane="bottomRight" activeCell="E150" sqref="A1:S156"/>
    </sheetView>
  </sheetViews>
  <sheetFormatPr defaultRowHeight="14" x14ac:dyDescent="0.3"/>
  <cols>
    <col min="1" max="1" width="15.4140625" bestFit="1" customWidth="1"/>
    <col min="4" max="4" width="18.58203125" bestFit="1" customWidth="1"/>
    <col min="5" max="5" width="34.83203125" style="11" bestFit="1" customWidth="1"/>
    <col min="6" max="6" width="34.83203125" style="11" customWidth="1"/>
    <col min="7" max="18" width="13.4140625" bestFit="1" customWidth="1"/>
  </cols>
  <sheetData>
    <row r="1" spans="1:19" ht="23" x14ac:dyDescent="0.3">
      <c r="A1" s="13" t="s">
        <v>99</v>
      </c>
      <c r="B1" s="13" t="s">
        <v>98</v>
      </c>
      <c r="C1" s="12" t="s">
        <v>97</v>
      </c>
      <c r="D1" s="12" t="s">
        <v>96</v>
      </c>
      <c r="E1" s="12" t="s">
        <v>95</v>
      </c>
      <c r="F1" s="23" t="s">
        <v>140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 t="s">
        <v>139</v>
      </c>
    </row>
    <row r="2" spans="1:19" x14ac:dyDescent="0.3">
      <c r="A2" t="s">
        <v>100</v>
      </c>
      <c r="B2" t="s">
        <v>101</v>
      </c>
      <c r="C2" s="17" t="s">
        <v>103</v>
      </c>
      <c r="D2" s="17" t="s">
        <v>102</v>
      </c>
      <c r="E2" s="2" t="s">
        <v>0</v>
      </c>
      <c r="F2" s="2"/>
      <c r="G2" s="14">
        <v>0</v>
      </c>
      <c r="H2" s="15">
        <v>0</v>
      </c>
      <c r="I2" s="15">
        <v>443548.08179584</v>
      </c>
      <c r="J2" s="15">
        <v>443548.08179584</v>
      </c>
      <c r="K2" s="15">
        <v>0</v>
      </c>
      <c r="L2" s="15">
        <v>443548.08179584</v>
      </c>
      <c r="M2" s="15">
        <v>443548.08179584</v>
      </c>
      <c r="N2" s="15">
        <v>0</v>
      </c>
      <c r="O2" s="15">
        <v>443548.08179584</v>
      </c>
      <c r="P2" s="15">
        <v>443548.08179584</v>
      </c>
      <c r="Q2" s="15">
        <v>0</v>
      </c>
      <c r="R2" s="16">
        <v>443548.08179584</v>
      </c>
      <c r="S2" s="22">
        <f>SUM(G2:R2)</f>
        <v>3104836.5725708799</v>
      </c>
    </row>
    <row r="3" spans="1:19" x14ac:dyDescent="0.3">
      <c r="A3" t="s">
        <v>100</v>
      </c>
      <c r="B3" t="s">
        <v>101</v>
      </c>
      <c r="C3" t="s">
        <v>103</v>
      </c>
      <c r="D3" t="s">
        <v>102</v>
      </c>
      <c r="E3" s="2" t="s">
        <v>1</v>
      </c>
      <c r="F3" s="2"/>
      <c r="G3" s="14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6">
        <v>0</v>
      </c>
      <c r="S3" s="22">
        <f t="shared" ref="S3:S66" si="0">SUM(G3:R3)</f>
        <v>0</v>
      </c>
    </row>
    <row r="4" spans="1:19" x14ac:dyDescent="0.3">
      <c r="A4" t="s">
        <v>100</v>
      </c>
      <c r="B4" t="s">
        <v>101</v>
      </c>
      <c r="C4" t="s">
        <v>103</v>
      </c>
      <c r="D4" t="s">
        <v>102</v>
      </c>
      <c r="E4" s="2" t="s">
        <v>2</v>
      </c>
      <c r="F4" s="2"/>
      <c r="G4" s="14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6">
        <v>0</v>
      </c>
      <c r="S4" s="22">
        <f t="shared" si="0"/>
        <v>0</v>
      </c>
    </row>
    <row r="5" spans="1:19" x14ac:dyDescent="0.3">
      <c r="A5" t="s">
        <v>100</v>
      </c>
      <c r="B5" t="s">
        <v>101</v>
      </c>
      <c r="C5" t="s">
        <v>103</v>
      </c>
      <c r="D5" t="s">
        <v>102</v>
      </c>
      <c r="E5" s="2" t="s">
        <v>3</v>
      </c>
      <c r="F5" s="2"/>
      <c r="G5" s="14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6">
        <v>0</v>
      </c>
      <c r="S5" s="22">
        <f t="shared" si="0"/>
        <v>0</v>
      </c>
    </row>
    <row r="6" spans="1:19" x14ac:dyDescent="0.3">
      <c r="A6" t="s">
        <v>100</v>
      </c>
      <c r="B6" t="s">
        <v>101</v>
      </c>
      <c r="C6" t="s">
        <v>103</v>
      </c>
      <c r="D6" t="s">
        <v>121</v>
      </c>
      <c r="E6" s="2" t="s">
        <v>4</v>
      </c>
      <c r="F6" s="2"/>
      <c r="G6" s="14">
        <v>1554094.2783385599</v>
      </c>
      <c r="H6" s="15">
        <v>1554094.2783385599</v>
      </c>
      <c r="I6" s="15">
        <v>4662282.8350156806</v>
      </c>
      <c r="J6" s="15">
        <v>3108188.5566771198</v>
      </c>
      <c r="K6" s="15">
        <v>3108188.5566771198</v>
      </c>
      <c r="L6" s="15">
        <v>4662282.8350156806</v>
      </c>
      <c r="M6" s="15">
        <v>3108188.5566771198</v>
      </c>
      <c r="N6" s="15">
        <v>3108188.5566771198</v>
      </c>
      <c r="O6" s="15">
        <v>3108188.5566771198</v>
      </c>
      <c r="P6" s="15">
        <v>3108188.5566771198</v>
      </c>
      <c r="Q6" s="15">
        <v>3108188.5566771198</v>
      </c>
      <c r="R6" s="16">
        <v>3108188.5566771198</v>
      </c>
      <c r="S6" s="22">
        <f t="shared" si="0"/>
        <v>37298262.68012543</v>
      </c>
    </row>
    <row r="7" spans="1:19" x14ac:dyDescent="0.3">
      <c r="A7" t="s">
        <v>100</v>
      </c>
      <c r="B7" t="s">
        <v>101</v>
      </c>
      <c r="C7" t="s">
        <v>103</v>
      </c>
      <c r="D7" t="s">
        <v>121</v>
      </c>
      <c r="E7" s="2" t="s">
        <v>5</v>
      </c>
      <c r="F7" s="2"/>
      <c r="G7" s="14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6">
        <v>0</v>
      </c>
      <c r="S7" s="22">
        <f t="shared" si="0"/>
        <v>0</v>
      </c>
    </row>
    <row r="8" spans="1:19" x14ac:dyDescent="0.3">
      <c r="A8" t="s">
        <v>100</v>
      </c>
      <c r="B8" t="s">
        <v>101</v>
      </c>
      <c r="C8" t="s">
        <v>103</v>
      </c>
      <c r="D8" t="s">
        <v>6</v>
      </c>
      <c r="E8" s="3" t="s">
        <v>104</v>
      </c>
      <c r="F8" s="3"/>
      <c r="G8" s="14">
        <v>4163133.3407910406</v>
      </c>
      <c r="H8" s="15">
        <v>2312851.8561523203</v>
      </c>
      <c r="I8" s="15">
        <v>3700562.9692774401</v>
      </c>
      <c r="J8" s="15">
        <v>3700562.9692774401</v>
      </c>
      <c r="K8" s="15">
        <v>5550844.4546240009</v>
      </c>
      <c r="L8" s="15">
        <v>5550844.4546240009</v>
      </c>
      <c r="M8" s="15">
        <v>3700562.9692774401</v>
      </c>
      <c r="N8" s="15">
        <v>4625703.7115968</v>
      </c>
      <c r="O8" s="15">
        <v>5550844.4546240009</v>
      </c>
      <c r="P8" s="15">
        <v>2775422.2269580802</v>
      </c>
      <c r="Q8" s="15">
        <v>5550844.4546240009</v>
      </c>
      <c r="R8" s="16">
        <v>6013414.8254297609</v>
      </c>
      <c r="S8" s="22">
        <f t="shared" si="0"/>
        <v>53195592.687256329</v>
      </c>
    </row>
    <row r="9" spans="1:19" x14ac:dyDescent="0.3">
      <c r="A9" t="s">
        <v>100</v>
      </c>
      <c r="B9" t="s">
        <v>101</v>
      </c>
      <c r="C9" t="s">
        <v>103</v>
      </c>
      <c r="D9" t="s">
        <v>6</v>
      </c>
      <c r="E9" s="3" t="s">
        <v>7</v>
      </c>
      <c r="F9" s="3"/>
      <c r="G9" s="14">
        <v>0</v>
      </c>
      <c r="H9" s="15">
        <v>1379132.2855654401</v>
      </c>
      <c r="I9" s="15">
        <v>1838843.0478924802</v>
      </c>
      <c r="J9" s="15">
        <v>919421.52394624008</v>
      </c>
      <c r="K9" s="15">
        <v>1379132.2855654401</v>
      </c>
      <c r="L9" s="15">
        <v>919421.52394624008</v>
      </c>
      <c r="M9" s="15">
        <v>919421.52394624008</v>
      </c>
      <c r="N9" s="15">
        <v>1379132.2855654401</v>
      </c>
      <c r="O9" s="15">
        <v>919421.52394624008</v>
      </c>
      <c r="P9" s="15">
        <v>919421.52394624008</v>
      </c>
      <c r="Q9" s="15">
        <v>1379132.2855654401</v>
      </c>
      <c r="R9" s="16">
        <v>919421.52394624008</v>
      </c>
      <c r="S9" s="22">
        <f t="shared" si="0"/>
        <v>12871901.333831683</v>
      </c>
    </row>
    <row r="10" spans="1:19" x14ac:dyDescent="0.3">
      <c r="A10" t="s">
        <v>100</v>
      </c>
      <c r="B10" t="s">
        <v>101</v>
      </c>
      <c r="C10" t="s">
        <v>103</v>
      </c>
      <c r="D10" t="s">
        <v>6</v>
      </c>
      <c r="E10" s="3" t="s">
        <v>8</v>
      </c>
      <c r="F10" s="3"/>
      <c r="G10" s="14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6">
        <v>0</v>
      </c>
      <c r="S10" s="22">
        <f t="shared" si="0"/>
        <v>0</v>
      </c>
    </row>
    <row r="11" spans="1:19" x14ac:dyDescent="0.3">
      <c r="A11" t="s">
        <v>100</v>
      </c>
      <c r="B11" t="s">
        <v>101</v>
      </c>
      <c r="C11" t="s">
        <v>103</v>
      </c>
      <c r="D11" t="s">
        <v>6</v>
      </c>
      <c r="E11" s="3" t="s">
        <v>9</v>
      </c>
      <c r="F11" s="3"/>
      <c r="G11" s="14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6">
        <v>0</v>
      </c>
      <c r="S11" s="22">
        <f t="shared" si="0"/>
        <v>0</v>
      </c>
    </row>
    <row r="12" spans="1:19" x14ac:dyDescent="0.3">
      <c r="A12" t="s">
        <v>100</v>
      </c>
      <c r="B12" t="s">
        <v>101</v>
      </c>
      <c r="C12" t="s">
        <v>103</v>
      </c>
      <c r="D12" t="s">
        <v>6</v>
      </c>
      <c r="E12" s="3" t="s">
        <v>10</v>
      </c>
      <c r="F12" s="3"/>
      <c r="G12" s="14">
        <v>732721.3156928001</v>
      </c>
      <c r="H12" s="15">
        <v>1953923.5080422403</v>
      </c>
      <c r="I12" s="15">
        <v>2686644.8230272005</v>
      </c>
      <c r="J12" s="15">
        <v>1953923.5080422403</v>
      </c>
      <c r="K12" s="15">
        <v>1953923.5080422403</v>
      </c>
      <c r="L12" s="15">
        <v>1953923.5080422403</v>
      </c>
      <c r="M12" s="15">
        <v>2198163.9463705602</v>
      </c>
      <c r="N12" s="15">
        <v>1953923.5080422403</v>
      </c>
      <c r="O12" s="15">
        <v>2198163.9463705602</v>
      </c>
      <c r="P12" s="15">
        <v>2442404.3846988799</v>
      </c>
      <c r="Q12" s="15">
        <v>2442404.3846988799</v>
      </c>
      <c r="R12" s="16">
        <v>2442404.3846988799</v>
      </c>
      <c r="S12" s="22">
        <f t="shared" si="0"/>
        <v>24912524.725768961</v>
      </c>
    </row>
    <row r="13" spans="1:19" x14ac:dyDescent="0.3">
      <c r="A13" t="s">
        <v>100</v>
      </c>
      <c r="B13" t="s">
        <v>101</v>
      </c>
      <c r="C13" t="s">
        <v>103</v>
      </c>
      <c r="D13" t="s">
        <v>6</v>
      </c>
      <c r="E13" s="3" t="s">
        <v>11</v>
      </c>
      <c r="F13" s="3"/>
      <c r="G13" s="14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6">
        <v>0</v>
      </c>
      <c r="S13" s="22">
        <f t="shared" si="0"/>
        <v>0</v>
      </c>
    </row>
    <row r="14" spans="1:19" x14ac:dyDescent="0.3">
      <c r="A14" t="s">
        <v>100</v>
      </c>
      <c r="B14" t="s">
        <v>101</v>
      </c>
      <c r="C14" t="s">
        <v>103</v>
      </c>
      <c r="D14" t="s">
        <v>118</v>
      </c>
      <c r="E14" s="3" t="s">
        <v>12</v>
      </c>
      <c r="F14" s="3"/>
      <c r="G14" s="14">
        <v>0</v>
      </c>
      <c r="H14" s="15">
        <v>943995.38367232017</v>
      </c>
      <c r="I14" s="15">
        <v>2359988.4598886403</v>
      </c>
      <c r="J14" s="15">
        <v>1415993.07621632</v>
      </c>
      <c r="K14" s="15">
        <v>1415993.07621632</v>
      </c>
      <c r="L14" s="15">
        <v>1887990.76805248</v>
      </c>
      <c r="M14" s="15">
        <v>1415993.07621632</v>
      </c>
      <c r="N14" s="15">
        <v>1415993.07621632</v>
      </c>
      <c r="O14" s="15">
        <v>2359988.4598886403</v>
      </c>
      <c r="P14" s="15">
        <v>1415993.07621632</v>
      </c>
      <c r="Q14" s="15">
        <v>1887990.76805248</v>
      </c>
      <c r="R14" s="16">
        <v>2359988.4598886403</v>
      </c>
      <c r="S14" s="22">
        <f t="shared" si="0"/>
        <v>18879907.6805248</v>
      </c>
    </row>
    <row r="15" spans="1:19" x14ac:dyDescent="0.3">
      <c r="A15" t="s">
        <v>100</v>
      </c>
      <c r="B15" t="s">
        <v>110</v>
      </c>
      <c r="C15" t="s">
        <v>103</v>
      </c>
      <c r="D15" t="s">
        <v>105</v>
      </c>
      <c r="E15" s="2" t="s">
        <v>107</v>
      </c>
      <c r="F15" s="2"/>
      <c r="G15" s="14">
        <v>697107.75752575998</v>
      </c>
      <c r="H15" s="15">
        <v>562679.2646451199</v>
      </c>
      <c r="I15" s="15">
        <v>990930.03570176009</v>
      </c>
      <c r="J15" s="15">
        <v>908352.53225471987</v>
      </c>
      <c r="K15" s="15">
        <v>935238.23139712005</v>
      </c>
      <c r="L15" s="15">
        <v>906432.12552704022</v>
      </c>
      <c r="M15" s="15">
        <v>764322.00432000007</v>
      </c>
      <c r="N15" s="15">
        <v>764322.00432000007</v>
      </c>
      <c r="O15" s="15">
        <v>1015895.3267008001</v>
      </c>
      <c r="P15" s="15">
        <v>946760.67317888001</v>
      </c>
      <c r="Q15" s="15">
        <v>1004372.8849190399</v>
      </c>
      <c r="R15" s="16">
        <v>919874.97474432003</v>
      </c>
      <c r="S15" s="22">
        <f t="shared" si="0"/>
        <v>10416287.815234561</v>
      </c>
    </row>
    <row r="16" spans="1:19" x14ac:dyDescent="0.3">
      <c r="A16" t="s">
        <v>100</v>
      </c>
      <c r="B16" t="s">
        <v>106</v>
      </c>
      <c r="C16" t="s">
        <v>103</v>
      </c>
      <c r="D16" t="s">
        <v>105</v>
      </c>
      <c r="E16" s="2" t="s">
        <v>13</v>
      </c>
      <c r="F16" s="2"/>
      <c r="G16" s="14">
        <v>3311840.97373696</v>
      </c>
      <c r="H16" s="15">
        <v>2666136.13018368</v>
      </c>
      <c r="I16" s="15">
        <v>4686567.4161062408</v>
      </c>
      <c r="J16" s="15">
        <v>4311642.0227327999</v>
      </c>
      <c r="K16" s="15">
        <v>4436617.1538572805</v>
      </c>
      <c r="L16" s="15">
        <v>4290812.8340940801</v>
      </c>
      <c r="M16" s="15">
        <v>3624278.8019020804</v>
      </c>
      <c r="N16" s="15">
        <v>3624278.8019020804</v>
      </c>
      <c r="O16" s="15">
        <v>4811542.5472307205</v>
      </c>
      <c r="P16" s="15">
        <v>4478275.53113472</v>
      </c>
      <c r="Q16" s="15">
        <v>4769884.1699532801</v>
      </c>
      <c r="R16" s="16">
        <v>4353300.4000102403</v>
      </c>
      <c r="S16" s="22">
        <f t="shared" si="0"/>
        <v>49365176.782844171</v>
      </c>
    </row>
    <row r="17" spans="1:19" x14ac:dyDescent="0.3">
      <c r="A17" t="s">
        <v>100</v>
      </c>
      <c r="B17" t="s">
        <v>106</v>
      </c>
      <c r="C17" t="s">
        <v>103</v>
      </c>
      <c r="D17" t="s">
        <v>105</v>
      </c>
      <c r="E17" s="2" t="s">
        <v>14</v>
      </c>
      <c r="F17" s="2"/>
      <c r="G17" s="14">
        <v>119207.93464832001</v>
      </c>
      <c r="H17" s="15">
        <v>95366.34814336001</v>
      </c>
      <c r="I17" s="15">
        <v>166891.10907392</v>
      </c>
      <c r="J17" s="15">
        <v>143049.52186111998</v>
      </c>
      <c r="K17" s="15">
        <v>143049.52186111998</v>
      </c>
      <c r="L17" s="15">
        <v>119207.93464832001</v>
      </c>
      <c r="M17" s="15">
        <v>119207.93464832001</v>
      </c>
      <c r="N17" s="15">
        <v>119207.93464832001</v>
      </c>
      <c r="O17" s="15">
        <v>143049.52186111998</v>
      </c>
      <c r="P17" s="15">
        <v>143049.52186111998</v>
      </c>
      <c r="Q17" s="15">
        <v>166891.10907392</v>
      </c>
      <c r="R17" s="16">
        <v>143049.52186111998</v>
      </c>
      <c r="S17" s="22">
        <f t="shared" si="0"/>
        <v>1621227.9141900796</v>
      </c>
    </row>
    <row r="18" spans="1:19" x14ac:dyDescent="0.3">
      <c r="A18" t="s">
        <v>100</v>
      </c>
      <c r="B18" t="s">
        <v>106</v>
      </c>
      <c r="C18" t="s">
        <v>103</v>
      </c>
      <c r="D18" t="s">
        <v>105</v>
      </c>
      <c r="E18" s="2" t="s">
        <v>15</v>
      </c>
      <c r="F18" s="2"/>
      <c r="G18" s="14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6">
        <v>0</v>
      </c>
      <c r="S18" s="22">
        <f t="shared" si="0"/>
        <v>0</v>
      </c>
    </row>
    <row r="19" spans="1:19" x14ac:dyDescent="0.3">
      <c r="A19" t="s">
        <v>100</v>
      </c>
      <c r="B19" t="s">
        <v>110</v>
      </c>
      <c r="C19" t="s">
        <v>103</v>
      </c>
      <c r="D19" t="s">
        <v>122</v>
      </c>
      <c r="E19" s="2" t="s">
        <v>16</v>
      </c>
      <c r="F19" s="2"/>
      <c r="G19" s="14">
        <v>9156750.0001689605</v>
      </c>
      <c r="H19" s="15">
        <v>6216150.0000588801</v>
      </c>
      <c r="I19" s="15">
        <v>9488800.0000550393</v>
      </c>
      <c r="J19" s="15">
        <v>9250999.9996915217</v>
      </c>
      <c r="K19" s="15">
        <v>9532300.0000524782</v>
      </c>
      <c r="L19" s="15">
        <v>9250999.9996915217</v>
      </c>
      <c r="M19" s="15">
        <v>8079399.9997132802</v>
      </c>
      <c r="N19" s="15">
        <v>8079399.9997132802</v>
      </c>
      <c r="O19" s="15">
        <v>10773500.000309762</v>
      </c>
      <c r="P19" s="15">
        <v>10022399.99983488</v>
      </c>
      <c r="Q19" s="15">
        <v>10629950.00017664</v>
      </c>
      <c r="R19" s="16">
        <v>9719350.0001830403</v>
      </c>
      <c r="S19" s="22">
        <f t="shared" si="0"/>
        <v>110199999.9996493</v>
      </c>
    </row>
    <row r="20" spans="1:19" x14ac:dyDescent="0.3">
      <c r="A20" t="s">
        <v>100</v>
      </c>
      <c r="B20" t="s">
        <v>110</v>
      </c>
      <c r="C20" t="s">
        <v>103</v>
      </c>
      <c r="D20" t="s">
        <v>122</v>
      </c>
      <c r="E20" s="2" t="s">
        <v>17</v>
      </c>
      <c r="F20" s="2"/>
      <c r="G20" s="14">
        <v>335999.99978496006</v>
      </c>
      <c r="H20" s="15">
        <v>271199.99986687995</v>
      </c>
      <c r="I20" s="15">
        <v>475999.99969535996</v>
      </c>
      <c r="J20" s="15">
        <v>403199.99988352001</v>
      </c>
      <c r="K20" s="15">
        <v>415200.00007807999</v>
      </c>
      <c r="L20" s="15">
        <v>402399.99982336001</v>
      </c>
      <c r="M20" s="15">
        <v>352000.00028031995</v>
      </c>
      <c r="N20" s="15">
        <v>352000.00028031995</v>
      </c>
      <c r="O20" s="15">
        <v>468799.99986176001</v>
      </c>
      <c r="P20" s="15">
        <v>436800.00028671999</v>
      </c>
      <c r="Q20" s="15">
        <v>463200.00014848006</v>
      </c>
      <c r="R20" s="16">
        <v>423199.99997184006</v>
      </c>
      <c r="S20" s="22">
        <f t="shared" si="0"/>
        <v>4799999.9999615997</v>
      </c>
    </row>
    <row r="21" spans="1:19" x14ac:dyDescent="0.3">
      <c r="A21" t="s">
        <v>100</v>
      </c>
      <c r="B21" t="s">
        <v>110</v>
      </c>
      <c r="C21" t="s">
        <v>103</v>
      </c>
      <c r="D21" t="s">
        <v>18</v>
      </c>
      <c r="E21" s="2" t="s">
        <v>19</v>
      </c>
      <c r="F21" s="2"/>
      <c r="G21" s="14">
        <v>11511981.56927616</v>
      </c>
      <c r="H21" s="15">
        <v>9284092.5807436816</v>
      </c>
      <c r="I21" s="15">
        <v>16339629.73876352</v>
      </c>
      <c r="J21" s="15">
        <v>13819176.2074688</v>
      </c>
      <c r="K21" s="15">
        <v>14238030.00047232</v>
      </c>
      <c r="L21" s="15">
        <v>13819509.424564481</v>
      </c>
      <c r="M21" s="15">
        <v>12069120.424426241</v>
      </c>
      <c r="N21" s="15">
        <v>12069120.424426241</v>
      </c>
      <c r="O21" s="15">
        <v>16092382.711104002</v>
      </c>
      <c r="P21" s="15">
        <v>14970774.225406721</v>
      </c>
      <c r="Q21" s="15">
        <v>15878124.167422721</v>
      </c>
      <c r="R21" s="16">
        <v>14517265.86223872</v>
      </c>
      <c r="S21" s="22">
        <f t="shared" si="0"/>
        <v>164609207.33631361</v>
      </c>
    </row>
    <row r="22" spans="1:19" x14ac:dyDescent="0.3">
      <c r="A22" t="s">
        <v>100</v>
      </c>
      <c r="B22" t="s">
        <v>110</v>
      </c>
      <c r="C22" t="s">
        <v>103</v>
      </c>
      <c r="D22" t="s">
        <v>18</v>
      </c>
      <c r="E22" s="2" t="s">
        <v>20</v>
      </c>
      <c r="F22" s="2"/>
      <c r="G22" s="14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6">
        <v>0</v>
      </c>
      <c r="S22" s="22">
        <f t="shared" si="0"/>
        <v>0</v>
      </c>
    </row>
    <row r="23" spans="1:19" x14ac:dyDescent="0.3">
      <c r="A23" t="s">
        <v>100</v>
      </c>
      <c r="B23" t="s">
        <v>110</v>
      </c>
      <c r="C23" t="s">
        <v>103</v>
      </c>
      <c r="D23" t="s">
        <v>18</v>
      </c>
      <c r="E23" s="2" t="s">
        <v>21</v>
      </c>
      <c r="F23" s="2"/>
      <c r="G23" s="14">
        <v>2393603.0099430401</v>
      </c>
      <c r="H23" s="15">
        <v>1930257.06875904</v>
      </c>
      <c r="I23" s="15">
        <v>3397168.1956262402</v>
      </c>
      <c r="J23" s="15">
        <v>2873095.8546124804</v>
      </c>
      <c r="K23" s="15">
        <v>2960148.7288396801</v>
      </c>
      <c r="L23" s="15">
        <v>2873446.8745919997</v>
      </c>
      <c r="M23" s="15">
        <v>2138060.7026867201</v>
      </c>
      <c r="N23" s="15">
        <v>2138060.7026867201</v>
      </c>
      <c r="O23" s="15">
        <v>2850981.6171379201</v>
      </c>
      <c r="P23" s="15">
        <v>2652304.4934758404</v>
      </c>
      <c r="Q23" s="15">
        <v>2813071.4940339201</v>
      </c>
      <c r="R23" s="16">
        <v>2571569.9732172801</v>
      </c>
      <c r="S23" s="22">
        <f t="shared" si="0"/>
        <v>31591768.71561088</v>
      </c>
    </row>
    <row r="24" spans="1:19" x14ac:dyDescent="0.3">
      <c r="A24" t="s">
        <v>100</v>
      </c>
      <c r="B24" t="s">
        <v>110</v>
      </c>
      <c r="C24" t="s">
        <v>103</v>
      </c>
      <c r="D24" t="s">
        <v>18</v>
      </c>
      <c r="E24" s="2" t="s">
        <v>22</v>
      </c>
      <c r="F24" s="2"/>
      <c r="G24" s="14">
        <v>1075353.0974592001</v>
      </c>
      <c r="H24" s="15">
        <v>867182.30055296002</v>
      </c>
      <c r="I24" s="15">
        <v>1526193.8049075203</v>
      </c>
      <c r="J24" s="15">
        <v>1290972.5661772799</v>
      </c>
      <c r="K24" s="15">
        <v>1330176.1062016001</v>
      </c>
      <c r="L24" s="15">
        <v>1290580.5311168001</v>
      </c>
      <c r="M24" s="15">
        <v>1127493.8050969599</v>
      </c>
      <c r="N24" s="15">
        <v>1127493.8050969599</v>
      </c>
      <c r="O24" s="15">
        <v>1503063.7165196799</v>
      </c>
      <c r="P24" s="15">
        <v>1398390.2654758401</v>
      </c>
      <c r="Q24" s="15">
        <v>1483069.9114470398</v>
      </c>
      <c r="R24" s="16">
        <v>1356380.0265971201</v>
      </c>
      <c r="S24" s="22">
        <f t="shared" si="0"/>
        <v>15376349.936648961</v>
      </c>
    </row>
    <row r="25" spans="1:19" x14ac:dyDescent="0.3">
      <c r="A25" t="s">
        <v>100</v>
      </c>
      <c r="B25" t="s">
        <v>110</v>
      </c>
      <c r="C25" t="s">
        <v>103</v>
      </c>
      <c r="D25" t="s">
        <v>18</v>
      </c>
      <c r="E25" s="2" t="s">
        <v>23</v>
      </c>
      <c r="F25" s="2"/>
      <c r="G25" s="14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6">
        <v>0</v>
      </c>
      <c r="S25" s="22">
        <f t="shared" si="0"/>
        <v>0</v>
      </c>
    </row>
    <row r="26" spans="1:19" x14ac:dyDescent="0.3">
      <c r="A26" t="s">
        <v>100</v>
      </c>
      <c r="B26" t="s">
        <v>110</v>
      </c>
      <c r="C26" t="s">
        <v>103</v>
      </c>
      <c r="D26" t="s">
        <v>18</v>
      </c>
      <c r="E26" s="2" t="s">
        <v>108</v>
      </c>
      <c r="F26" s="2"/>
      <c r="G26" s="14">
        <v>294623.99970304</v>
      </c>
      <c r="H26" s="15">
        <v>237600.00017152005</v>
      </c>
      <c r="I26" s="15">
        <v>417887.99982720002</v>
      </c>
      <c r="J26" s="15">
        <v>353663.99975424004</v>
      </c>
      <c r="K26" s="15">
        <v>364320.00007424003</v>
      </c>
      <c r="L26" s="15">
        <v>353376.00018560007</v>
      </c>
      <c r="M26" s="15">
        <v>308735.9998016</v>
      </c>
      <c r="N26" s="15">
        <v>308735.9998016</v>
      </c>
      <c r="O26" s="15">
        <v>411839.99968384003</v>
      </c>
      <c r="P26" s="15">
        <v>383040.00034943997</v>
      </c>
      <c r="Q26" s="15">
        <v>406368.00009344</v>
      </c>
      <c r="R26" s="16">
        <v>371232.00033920008</v>
      </c>
      <c r="S26" s="22">
        <f t="shared" si="0"/>
        <v>4211423.9997849604</v>
      </c>
    </row>
    <row r="27" spans="1:19" x14ac:dyDescent="0.3">
      <c r="A27" t="s">
        <v>100</v>
      </c>
      <c r="B27" t="s">
        <v>110</v>
      </c>
      <c r="C27" t="s">
        <v>103</v>
      </c>
      <c r="D27" t="s">
        <v>24</v>
      </c>
      <c r="E27" s="2" t="s">
        <v>25</v>
      </c>
      <c r="F27" s="2"/>
      <c r="G27" s="14">
        <v>959287.40967807989</v>
      </c>
      <c r="H27" s="15">
        <v>773575.77997055999</v>
      </c>
      <c r="I27" s="15">
        <v>1362775.98601984</v>
      </c>
      <c r="J27" s="15">
        <v>1151679.3133619202</v>
      </c>
      <c r="K27" s="15">
        <v>1186416.7404454399</v>
      </c>
      <c r="L27" s="15">
        <v>1153015.36844032</v>
      </c>
      <c r="M27" s="15">
        <v>1006049.3310515201</v>
      </c>
      <c r="N27" s="15">
        <v>1006049.3310515201</v>
      </c>
      <c r="O27" s="15">
        <v>1341399.1075968002</v>
      </c>
      <c r="P27" s="15">
        <v>1247875.2655577601</v>
      </c>
      <c r="Q27" s="15">
        <v>1324030.39370112</v>
      </c>
      <c r="R27" s="16">
        <v>1210198.5173017601</v>
      </c>
      <c r="S27" s="22">
        <f t="shared" si="0"/>
        <v>13722352.54417664</v>
      </c>
    </row>
    <row r="28" spans="1:19" x14ac:dyDescent="0.3">
      <c r="A28" t="s">
        <v>100</v>
      </c>
      <c r="B28" t="s">
        <v>110</v>
      </c>
      <c r="C28" t="s">
        <v>103</v>
      </c>
      <c r="D28" t="s">
        <v>24</v>
      </c>
      <c r="E28" s="2" t="s">
        <v>109</v>
      </c>
      <c r="F28" s="2"/>
      <c r="G28" s="14">
        <v>2195.6354470400001</v>
      </c>
      <c r="H28" s="15">
        <v>1756.5084992</v>
      </c>
      <c r="I28" s="15">
        <v>2854.3258688000001</v>
      </c>
      <c r="J28" s="15">
        <v>2415.1989209600001</v>
      </c>
      <c r="K28" s="15">
        <v>2634.7623948800001</v>
      </c>
      <c r="L28" s="15">
        <v>2415.1989209600001</v>
      </c>
      <c r="M28" s="15">
        <v>2195.6354470400001</v>
      </c>
      <c r="N28" s="15">
        <v>2195.6354470400001</v>
      </c>
      <c r="O28" s="15">
        <v>2854.3258688000001</v>
      </c>
      <c r="P28" s="15">
        <v>2634.7623948800001</v>
      </c>
      <c r="Q28" s="15">
        <v>2854.3258688000001</v>
      </c>
      <c r="R28" s="16">
        <v>2634.7623948800001</v>
      </c>
      <c r="S28" s="22">
        <f t="shared" si="0"/>
        <v>29641.077473279995</v>
      </c>
    </row>
    <row r="29" spans="1:19" x14ac:dyDescent="0.3">
      <c r="A29" t="s">
        <v>100</v>
      </c>
      <c r="B29" t="s">
        <v>110</v>
      </c>
      <c r="C29" t="s">
        <v>103</v>
      </c>
      <c r="D29" t="s">
        <v>24</v>
      </c>
      <c r="E29" s="4" t="s">
        <v>26</v>
      </c>
      <c r="F29" s="4"/>
      <c r="G29" s="14">
        <v>52639.89764096</v>
      </c>
      <c r="H29" s="15">
        <v>42434.203185920007</v>
      </c>
      <c r="I29" s="15">
        <v>74662.711916800006</v>
      </c>
      <c r="J29" s="15">
        <v>63114.162872320012</v>
      </c>
      <c r="K29" s="15">
        <v>64994.159722240001</v>
      </c>
      <c r="L29" s="15">
        <v>63114.162872320012</v>
      </c>
      <c r="M29" s="15">
        <v>55057.036043519998</v>
      </c>
      <c r="N29" s="15">
        <v>55057.036043519998</v>
      </c>
      <c r="O29" s="15">
        <v>73588.428811520003</v>
      </c>
      <c r="P29" s="15">
        <v>68485.581230080003</v>
      </c>
      <c r="Q29" s="15">
        <v>72514.144998400006</v>
      </c>
      <c r="R29" s="16">
        <v>66337.014311680003</v>
      </c>
      <c r="S29" s="22">
        <f t="shared" si="0"/>
        <v>751998.53964928002</v>
      </c>
    </row>
    <row r="30" spans="1:19" x14ac:dyDescent="0.3">
      <c r="A30" t="s">
        <v>100</v>
      </c>
      <c r="B30" t="s">
        <v>110</v>
      </c>
      <c r="C30" t="s">
        <v>103</v>
      </c>
      <c r="D30" t="s">
        <v>24</v>
      </c>
      <c r="E30" s="2" t="s">
        <v>27</v>
      </c>
      <c r="F30" s="2"/>
      <c r="G30" s="14">
        <v>442338.10576256004</v>
      </c>
      <c r="H30" s="15">
        <v>356564.65091968002</v>
      </c>
      <c r="I30" s="15">
        <v>627630.76143487997</v>
      </c>
      <c r="J30" s="15">
        <v>530860.70994432003</v>
      </c>
      <c r="K30" s="15">
        <v>546805.77497727994</v>
      </c>
      <c r="L30" s="15">
        <v>530860.70994432003</v>
      </c>
      <c r="M30" s="15">
        <v>463506.55432703998</v>
      </c>
      <c r="N30" s="15">
        <v>463506.55432703998</v>
      </c>
      <c r="O30" s="15">
        <v>618283.65424896008</v>
      </c>
      <c r="P30" s="15">
        <v>575122.01168127998</v>
      </c>
      <c r="Q30" s="15">
        <v>610036.20694016002</v>
      </c>
      <c r="R30" s="16">
        <v>557527.45718656003</v>
      </c>
      <c r="S30" s="22">
        <f t="shared" si="0"/>
        <v>6323043.1516940799</v>
      </c>
    </row>
    <row r="31" spans="1:19" x14ac:dyDescent="0.3">
      <c r="A31" t="s">
        <v>100</v>
      </c>
      <c r="B31" t="s">
        <v>110</v>
      </c>
      <c r="C31" t="s">
        <v>103</v>
      </c>
      <c r="D31" t="s">
        <v>24</v>
      </c>
      <c r="E31" s="2" t="s">
        <v>28</v>
      </c>
      <c r="F31" s="2"/>
      <c r="G31" s="14">
        <v>1067806.2701824</v>
      </c>
      <c r="H31" s="15">
        <v>861115.14767488011</v>
      </c>
      <c r="I31" s="15">
        <v>1515245.5763827201</v>
      </c>
      <c r="J31" s="15">
        <v>1281837.27728</v>
      </c>
      <c r="K31" s="15">
        <v>1320591.8627059199</v>
      </c>
      <c r="L31" s="15">
        <v>1281543.6815283198</v>
      </c>
      <c r="M31" s="15">
        <v>1119479.0509862402</v>
      </c>
      <c r="N31" s="15">
        <v>1119479.0509862402</v>
      </c>
      <c r="O31" s="15">
        <v>1492345.13960448</v>
      </c>
      <c r="P31" s="15">
        <v>1388412.3872012799</v>
      </c>
      <c r="Q31" s="15">
        <v>1472674.2518476802</v>
      </c>
      <c r="R31" s="16">
        <v>1346428.2527539202</v>
      </c>
      <c r="S31" s="22">
        <f t="shared" si="0"/>
        <v>15266957.949134082</v>
      </c>
    </row>
    <row r="32" spans="1:19" x14ac:dyDescent="0.3">
      <c r="A32" t="s">
        <v>100</v>
      </c>
      <c r="B32" t="s">
        <v>110</v>
      </c>
      <c r="C32" t="s">
        <v>103</v>
      </c>
      <c r="D32" t="s">
        <v>123</v>
      </c>
      <c r="E32" s="5" t="s">
        <v>29</v>
      </c>
      <c r="F32" s="5"/>
      <c r="G32" s="14">
        <v>2051045.8408832001</v>
      </c>
      <c r="H32" s="15">
        <v>1654087.4587417601</v>
      </c>
      <c r="I32" s="15">
        <v>2911153.7357772798</v>
      </c>
      <c r="J32" s="15">
        <v>2462134.2086297604</v>
      </c>
      <c r="K32" s="15">
        <v>2536740.5297651202</v>
      </c>
      <c r="L32" s="15">
        <v>2462071.4083571201</v>
      </c>
      <c r="M32" s="15">
        <v>2150332.5367999999</v>
      </c>
      <c r="N32" s="15">
        <v>2150332.5367999999</v>
      </c>
      <c r="O32" s="15">
        <v>2867005.3826534403</v>
      </c>
      <c r="P32" s="15">
        <v>2667301.5922828801</v>
      </c>
      <c r="Q32" s="15">
        <v>2828948.6227072002</v>
      </c>
      <c r="R32" s="16">
        <v>2586415.2778598401</v>
      </c>
      <c r="S32" s="22">
        <f t="shared" si="0"/>
        <v>29327569.131257605</v>
      </c>
    </row>
    <row r="33" spans="1:19" x14ac:dyDescent="0.3">
      <c r="A33" t="s">
        <v>100</v>
      </c>
      <c r="B33" t="s">
        <v>110</v>
      </c>
      <c r="C33" t="s">
        <v>103</v>
      </c>
      <c r="D33" t="s">
        <v>123</v>
      </c>
      <c r="E33" s="5" t="s">
        <v>30</v>
      </c>
      <c r="F33" s="5"/>
      <c r="G33" s="14">
        <v>46467.378531839997</v>
      </c>
      <c r="H33" s="15">
        <v>37462.073125120005</v>
      </c>
      <c r="I33" s="15">
        <v>66279.052125440008</v>
      </c>
      <c r="J33" s="15">
        <v>55832.897344000005</v>
      </c>
      <c r="K33" s="15">
        <v>57633.958000640007</v>
      </c>
      <c r="L33" s="15">
        <v>56193.109333760003</v>
      </c>
      <c r="M33" s="15">
        <v>48988.864583680006</v>
      </c>
      <c r="N33" s="15">
        <v>48988.864583680006</v>
      </c>
      <c r="O33" s="15">
        <v>64838.202750720004</v>
      </c>
      <c r="P33" s="15">
        <v>60515.65604224</v>
      </c>
      <c r="Q33" s="15">
        <v>64477.990760960012</v>
      </c>
      <c r="R33" s="16">
        <v>58714.594677760004</v>
      </c>
      <c r="S33" s="22">
        <f t="shared" si="0"/>
        <v>666392.64185984014</v>
      </c>
    </row>
    <row r="34" spans="1:19" x14ac:dyDescent="0.3">
      <c r="A34" t="s">
        <v>100</v>
      </c>
      <c r="B34" t="s">
        <v>110</v>
      </c>
      <c r="C34" t="s">
        <v>103</v>
      </c>
      <c r="D34" t="s">
        <v>124</v>
      </c>
      <c r="E34" s="4" t="s">
        <v>31</v>
      </c>
      <c r="F34" s="4"/>
      <c r="G34" s="14">
        <v>1041214.3423360001</v>
      </c>
      <c r="H34" s="15">
        <v>839714.59908224002</v>
      </c>
      <c r="I34" s="15">
        <v>1477807.2980070401</v>
      </c>
      <c r="J34" s="15">
        <v>1249860.3320537601</v>
      </c>
      <c r="K34" s="15">
        <v>1287729.3353164801</v>
      </c>
      <c r="L34" s="15">
        <v>1249921.4108595198</v>
      </c>
      <c r="M34" s="15">
        <v>1231536.6209574402</v>
      </c>
      <c r="N34" s="15">
        <v>1231536.6209574402</v>
      </c>
      <c r="O34" s="15">
        <v>1642048.8281791999</v>
      </c>
      <c r="P34" s="15">
        <v>1527647.7917926402</v>
      </c>
      <c r="Q34" s="15">
        <v>1620243.6117056003</v>
      </c>
      <c r="R34" s="16">
        <v>1481288.80267648</v>
      </c>
      <c r="S34" s="22">
        <f t="shared" si="0"/>
        <v>15880549.593923841</v>
      </c>
    </row>
    <row r="35" spans="1:19" x14ac:dyDescent="0.3">
      <c r="A35" t="s">
        <v>100</v>
      </c>
      <c r="B35" t="s">
        <v>125</v>
      </c>
      <c r="C35" t="s">
        <v>103</v>
      </c>
      <c r="D35" t="s">
        <v>126</v>
      </c>
      <c r="E35" s="4" t="s">
        <v>32</v>
      </c>
      <c r="F35" s="4"/>
      <c r="G35" s="14">
        <v>0</v>
      </c>
      <c r="H35" s="15">
        <v>0</v>
      </c>
      <c r="I35" s="15">
        <v>0</v>
      </c>
      <c r="J35" s="15">
        <v>1067220.6104448</v>
      </c>
      <c r="K35" s="15">
        <v>1067220.6104448</v>
      </c>
      <c r="L35" s="15">
        <v>1067220.6104448</v>
      </c>
      <c r="M35" s="15">
        <v>1067220.6104448</v>
      </c>
      <c r="N35" s="15">
        <v>1067220.6104448</v>
      </c>
      <c r="O35" s="15">
        <v>1067220.6104448</v>
      </c>
      <c r="P35" s="15">
        <v>1067220.6104448</v>
      </c>
      <c r="Q35" s="15">
        <v>1067220.6104448</v>
      </c>
      <c r="R35" s="16">
        <v>2134441.2208896</v>
      </c>
      <c r="S35" s="22">
        <f t="shared" si="0"/>
        <v>10672206.104448</v>
      </c>
    </row>
    <row r="36" spans="1:19" x14ac:dyDescent="0.3">
      <c r="A36" t="s">
        <v>100</v>
      </c>
      <c r="B36" t="s">
        <v>125</v>
      </c>
      <c r="C36" t="s">
        <v>103</v>
      </c>
      <c r="D36" t="s">
        <v>126</v>
      </c>
      <c r="E36" s="4" t="s">
        <v>33</v>
      </c>
      <c r="F36" s="4"/>
      <c r="G36" s="14">
        <v>0</v>
      </c>
      <c r="H36" s="15">
        <v>0</v>
      </c>
      <c r="I36" s="15">
        <v>0</v>
      </c>
      <c r="J36" s="15">
        <v>853776.48835583997</v>
      </c>
      <c r="K36" s="15">
        <v>853776.48835583997</v>
      </c>
      <c r="L36" s="15">
        <v>853776.48835583997</v>
      </c>
      <c r="M36" s="15">
        <v>853776.48835583997</v>
      </c>
      <c r="N36" s="15">
        <v>853776.48835583997</v>
      </c>
      <c r="O36" s="15">
        <v>853776.48835583997</v>
      </c>
      <c r="P36" s="15">
        <v>853776.48835583997</v>
      </c>
      <c r="Q36" s="15">
        <v>853776.48835583997</v>
      </c>
      <c r="R36" s="16">
        <v>853776.48835583997</v>
      </c>
      <c r="S36" s="22">
        <f t="shared" si="0"/>
        <v>7683988.3952025585</v>
      </c>
    </row>
    <row r="37" spans="1:19" x14ac:dyDescent="0.3">
      <c r="A37" t="s">
        <v>100</v>
      </c>
      <c r="B37" t="s">
        <v>125</v>
      </c>
      <c r="C37" t="s">
        <v>103</v>
      </c>
      <c r="D37" t="s">
        <v>127</v>
      </c>
      <c r="E37" s="3" t="s">
        <v>34</v>
      </c>
      <c r="F37" s="3"/>
      <c r="G37" s="14">
        <v>433274.33631103998</v>
      </c>
      <c r="H37" s="15">
        <v>349380.53076863999</v>
      </c>
      <c r="I37" s="15">
        <v>614867.25670272007</v>
      </c>
      <c r="J37" s="15">
        <v>520000.00017280004</v>
      </c>
      <c r="K37" s="15">
        <v>535752.21207423997</v>
      </c>
      <c r="L37" s="15">
        <v>520176.99131775997</v>
      </c>
      <c r="M37" s="15">
        <v>454159.29212415993</v>
      </c>
      <c r="N37" s="15">
        <v>454159.29212415993</v>
      </c>
      <c r="O37" s="15">
        <v>605663.71645695996</v>
      </c>
      <c r="P37" s="15">
        <v>563362.83139584004</v>
      </c>
      <c r="Q37" s="15">
        <v>597522.12378880009</v>
      </c>
      <c r="R37" s="16">
        <v>546371.68147968012</v>
      </c>
      <c r="S37" s="22">
        <f t="shared" si="0"/>
        <v>6194690.2647168012</v>
      </c>
    </row>
    <row r="38" spans="1:19" x14ac:dyDescent="0.3">
      <c r="A38" t="s">
        <v>100</v>
      </c>
      <c r="B38" t="s">
        <v>106</v>
      </c>
      <c r="C38" t="s">
        <v>103</v>
      </c>
      <c r="D38" t="s">
        <v>128</v>
      </c>
      <c r="E38" s="5" t="s">
        <v>35</v>
      </c>
      <c r="F38" s="5"/>
      <c r="G38" s="14">
        <v>374022.5002752</v>
      </c>
      <c r="H38" s="15">
        <v>301629.89989887999</v>
      </c>
      <c r="I38" s="15">
        <v>530876.0998016001</v>
      </c>
      <c r="J38" s="15">
        <v>448987.20009472006</v>
      </c>
      <c r="K38" s="15">
        <v>462586.39984256</v>
      </c>
      <c r="L38" s="15">
        <v>448987.20009472006</v>
      </c>
      <c r="M38" s="15">
        <v>392125.09985152003</v>
      </c>
      <c r="N38" s="15">
        <v>392125.09985152003</v>
      </c>
      <c r="O38" s="15">
        <v>522821.59976704</v>
      </c>
      <c r="P38" s="15">
        <v>486393.90031231998</v>
      </c>
      <c r="Q38" s="15">
        <v>515879.59982719994</v>
      </c>
      <c r="R38" s="16">
        <v>471659.32449664007</v>
      </c>
      <c r="S38" s="22">
        <f t="shared" si="0"/>
        <v>5348093.92411392</v>
      </c>
    </row>
    <row r="39" spans="1:19" x14ac:dyDescent="0.3">
      <c r="A39" t="s">
        <v>100</v>
      </c>
      <c r="B39" t="s">
        <v>129</v>
      </c>
      <c r="C39" t="s">
        <v>103</v>
      </c>
      <c r="D39" t="s">
        <v>128</v>
      </c>
      <c r="E39" s="5" t="s">
        <v>36</v>
      </c>
      <c r="F39" s="5"/>
      <c r="G39" s="14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6">
        <v>0</v>
      </c>
      <c r="S39" s="22">
        <f t="shared" si="0"/>
        <v>0</v>
      </c>
    </row>
    <row r="40" spans="1:19" x14ac:dyDescent="0.3">
      <c r="A40" t="s">
        <v>100</v>
      </c>
      <c r="B40" t="s">
        <v>111</v>
      </c>
      <c r="C40" t="s">
        <v>103</v>
      </c>
      <c r="D40" t="s">
        <v>128</v>
      </c>
      <c r="E40" s="5" t="s">
        <v>37</v>
      </c>
      <c r="F40" s="5"/>
      <c r="G40" s="14">
        <v>446960.00013056002</v>
      </c>
      <c r="H40" s="15">
        <v>455220.00027392001</v>
      </c>
      <c r="I40" s="15">
        <v>694539.99997311994</v>
      </c>
      <c r="J40" s="15">
        <v>577739.99968383997</v>
      </c>
      <c r="K40" s="15">
        <v>595240.00020352006</v>
      </c>
      <c r="L40" s="15">
        <v>577799.99974144006</v>
      </c>
      <c r="M40" s="15">
        <v>505599.99979775999</v>
      </c>
      <c r="N40" s="15">
        <v>505599.99979775999</v>
      </c>
      <c r="O40" s="15">
        <v>674140.00020864001</v>
      </c>
      <c r="P40" s="15">
        <v>635140.00028416002</v>
      </c>
      <c r="Q40" s="15">
        <v>673659.99974784011</v>
      </c>
      <c r="R40" s="16">
        <v>615940.00025600009</v>
      </c>
      <c r="S40" s="22">
        <f t="shared" si="0"/>
        <v>6957580.0000985591</v>
      </c>
    </row>
    <row r="41" spans="1:19" x14ac:dyDescent="0.3">
      <c r="A41" t="s">
        <v>100</v>
      </c>
      <c r="B41" t="s">
        <v>111</v>
      </c>
      <c r="C41" t="s">
        <v>103</v>
      </c>
      <c r="D41" t="s">
        <v>38</v>
      </c>
      <c r="E41" s="6" t="s">
        <v>39</v>
      </c>
      <c r="F41" s="6"/>
      <c r="G41" s="14">
        <v>8824116.120762879</v>
      </c>
      <c r="H41" s="15">
        <v>11422248.6365568</v>
      </c>
      <c r="I41" s="15">
        <v>15912965.754577922</v>
      </c>
      <c r="J41" s="15">
        <v>12938223.205322241</v>
      </c>
      <c r="K41" s="15">
        <v>13329134.88620672</v>
      </c>
      <c r="L41" s="15">
        <v>12938223.205322241</v>
      </c>
      <c r="M41" s="15">
        <v>11207723.93371008</v>
      </c>
      <c r="N41" s="15">
        <v>11207723.93371008</v>
      </c>
      <c r="O41" s="15">
        <v>14945220.983392</v>
      </c>
      <c r="P41" s="15">
        <v>13538892.373717761</v>
      </c>
      <c r="Q41" s="15">
        <v>14358853.46100352</v>
      </c>
      <c r="R41" s="16">
        <v>13124144.6147392</v>
      </c>
      <c r="S41" s="22">
        <f t="shared" si="0"/>
        <v>153747471.10902146</v>
      </c>
    </row>
    <row r="42" spans="1:19" x14ac:dyDescent="0.3">
      <c r="A42" t="s">
        <v>100</v>
      </c>
      <c r="B42" t="s">
        <v>111</v>
      </c>
      <c r="C42" t="s">
        <v>103</v>
      </c>
      <c r="D42" t="s">
        <v>38</v>
      </c>
      <c r="E42" s="6" t="s">
        <v>40</v>
      </c>
      <c r="F42" s="6"/>
      <c r="G42" s="14">
        <v>475389.39921536006</v>
      </c>
      <c r="H42" s="15">
        <v>383968.36082304001</v>
      </c>
      <c r="I42" s="15">
        <v>664326.21198720008</v>
      </c>
      <c r="J42" s="15">
        <v>542431.49436671997</v>
      </c>
      <c r="K42" s="15">
        <v>560715.70162048005</v>
      </c>
      <c r="L42" s="15">
        <v>548526.23035392002</v>
      </c>
      <c r="M42" s="15">
        <v>469294.66322816</v>
      </c>
      <c r="N42" s="15">
        <v>469294.66322816</v>
      </c>
      <c r="O42" s="15">
        <v>633852.53275904001</v>
      </c>
      <c r="P42" s="15">
        <v>566810.43760767998</v>
      </c>
      <c r="Q42" s="15">
        <v>603378.85282303998</v>
      </c>
      <c r="R42" s="16">
        <v>554620.96634112007</v>
      </c>
      <c r="S42" s="22">
        <f t="shared" si="0"/>
        <v>6472609.5143539188</v>
      </c>
    </row>
    <row r="43" spans="1:19" x14ac:dyDescent="0.3">
      <c r="A43" t="s">
        <v>100</v>
      </c>
      <c r="B43" t="s">
        <v>111</v>
      </c>
      <c r="C43" t="s">
        <v>103</v>
      </c>
      <c r="D43" t="s">
        <v>38</v>
      </c>
      <c r="E43" s="6" t="s">
        <v>41</v>
      </c>
      <c r="F43" s="6"/>
      <c r="G43" s="14">
        <v>115747.61138304001</v>
      </c>
      <c r="H43" s="15">
        <v>95321.562398720009</v>
      </c>
      <c r="I43" s="15">
        <v>170217.07581312</v>
      </c>
      <c r="J43" s="15">
        <v>136173.66036735999</v>
      </c>
      <c r="K43" s="15">
        <v>136173.66036735999</v>
      </c>
      <c r="L43" s="15">
        <v>136173.66036735999</v>
      </c>
      <c r="M43" s="15">
        <v>115747.61138304001</v>
      </c>
      <c r="N43" s="15">
        <v>115747.61138304001</v>
      </c>
      <c r="O43" s="15">
        <v>163408.3925824</v>
      </c>
      <c r="P43" s="15">
        <v>142982.34359808001</v>
      </c>
      <c r="Q43" s="15">
        <v>149791.02682880001</v>
      </c>
      <c r="R43" s="16">
        <v>136173.66036735999</v>
      </c>
      <c r="S43" s="22">
        <f t="shared" si="0"/>
        <v>1613657.8768396801</v>
      </c>
    </row>
    <row r="44" spans="1:19" x14ac:dyDescent="0.3">
      <c r="A44" t="s">
        <v>100</v>
      </c>
      <c r="B44" t="s">
        <v>111</v>
      </c>
      <c r="C44" t="s">
        <v>103</v>
      </c>
      <c r="D44" t="s">
        <v>38</v>
      </c>
      <c r="E44" s="6" t="s">
        <v>112</v>
      </c>
      <c r="F44" s="6"/>
      <c r="G44" s="14">
        <v>3328943.1610982399</v>
      </c>
      <c r="H44" s="15">
        <v>1508323.54814848</v>
      </c>
      <c r="I44" s="15">
        <v>1196027.4833471999</v>
      </c>
      <c r="J44" s="15">
        <v>2159494.0667417599</v>
      </c>
      <c r="K44" s="15">
        <v>2225940.0381568004</v>
      </c>
      <c r="L44" s="15">
        <v>2159494.0667417599</v>
      </c>
      <c r="M44" s="15">
        <v>1867131.7927987203</v>
      </c>
      <c r="N44" s="15">
        <v>1867131.7927987203</v>
      </c>
      <c r="O44" s="15">
        <v>2498368.5205337601</v>
      </c>
      <c r="P44" s="15">
        <v>2259163.0238643195</v>
      </c>
      <c r="Q44" s="15">
        <v>2398699.5634112</v>
      </c>
      <c r="R44" s="16">
        <v>2186072.4550246401</v>
      </c>
      <c r="S44" s="22">
        <f t="shared" si="0"/>
        <v>25654789.512665596</v>
      </c>
    </row>
    <row r="45" spans="1:19" x14ac:dyDescent="0.3">
      <c r="A45" t="s">
        <v>100</v>
      </c>
      <c r="B45" t="s">
        <v>111</v>
      </c>
      <c r="C45" t="s">
        <v>103</v>
      </c>
      <c r="D45" t="s">
        <v>38</v>
      </c>
      <c r="E45" s="6" t="s">
        <v>42</v>
      </c>
      <c r="F45" s="6"/>
      <c r="G45" s="14">
        <v>13314704.998703361</v>
      </c>
      <c r="H45" s="15">
        <v>24340373.624035843</v>
      </c>
      <c r="I45" s="15">
        <v>29583213.514704641</v>
      </c>
      <c r="J45" s="15">
        <v>24037033.27761792</v>
      </c>
      <c r="K45" s="15">
        <v>24766340.91882496</v>
      </c>
      <c r="L45" s="15">
        <v>24037033.27761792</v>
      </c>
      <c r="M45" s="15">
        <v>21651186.15408</v>
      </c>
      <c r="N45" s="15">
        <v>21651186.15408</v>
      </c>
      <c r="O45" s="15">
        <v>28871116.672536321</v>
      </c>
      <c r="P45" s="15">
        <v>27958944.28313728</v>
      </c>
      <c r="Q45" s="15">
        <v>29654208.063836161</v>
      </c>
      <c r="R45" s="16">
        <v>27113463.742579203</v>
      </c>
      <c r="S45" s="22">
        <f t="shared" si="0"/>
        <v>296978804.68175364</v>
      </c>
    </row>
    <row r="46" spans="1:19" x14ac:dyDescent="0.3">
      <c r="A46" t="s">
        <v>100</v>
      </c>
      <c r="B46" t="s">
        <v>111</v>
      </c>
      <c r="C46" t="s">
        <v>103</v>
      </c>
      <c r="D46" t="s">
        <v>38</v>
      </c>
      <c r="E46" s="6" t="s">
        <v>43</v>
      </c>
      <c r="F46" s="6"/>
      <c r="G46" s="14">
        <v>3509842.5710028801</v>
      </c>
      <c r="H46" s="15">
        <v>1819519.61543296</v>
      </c>
      <c r="I46" s="15">
        <v>1945127.4783628799</v>
      </c>
      <c r="J46" s="15">
        <v>2598288.3658816</v>
      </c>
      <c r="K46" s="15">
        <v>2677241.8792985599</v>
      </c>
      <c r="L46" s="15">
        <v>2601877.1613990404</v>
      </c>
      <c r="M46" s="15">
        <v>2343483.84379648</v>
      </c>
      <c r="N46" s="15">
        <v>2343483.84379648</v>
      </c>
      <c r="O46" s="15">
        <v>3118663.7980198404</v>
      </c>
      <c r="P46" s="15">
        <v>3025355.0997017599</v>
      </c>
      <c r="Q46" s="15">
        <v>3208383.7001126399</v>
      </c>
      <c r="R46" s="16">
        <v>2932046.4013836803</v>
      </c>
      <c r="S46" s="22">
        <f t="shared" si="0"/>
        <v>32123313.758188799</v>
      </c>
    </row>
    <row r="47" spans="1:19" x14ac:dyDescent="0.3">
      <c r="A47" t="s">
        <v>100</v>
      </c>
      <c r="B47" t="s">
        <v>111</v>
      </c>
      <c r="C47" t="s">
        <v>103</v>
      </c>
      <c r="D47" t="s">
        <v>38</v>
      </c>
      <c r="E47" s="6" t="s">
        <v>44</v>
      </c>
      <c r="F47" s="6"/>
      <c r="G47" s="14">
        <v>3875982.3434841596</v>
      </c>
      <c r="H47" s="15">
        <v>3126655.4921190399</v>
      </c>
      <c r="I47" s="15">
        <v>5501753.9937651204</v>
      </c>
      <c r="J47" s="15">
        <v>4440207.6212928006</v>
      </c>
      <c r="K47" s="15">
        <v>4575131.0578444805</v>
      </c>
      <c r="L47" s="15">
        <v>4441322.6908467207</v>
      </c>
      <c r="M47" s="15">
        <v>4030977.03483776</v>
      </c>
      <c r="N47" s="15">
        <v>4030977.03483776</v>
      </c>
      <c r="O47" s="15">
        <v>5375751.1157683199</v>
      </c>
      <c r="P47" s="15">
        <v>5065761.7337689605</v>
      </c>
      <c r="Q47" s="15">
        <v>5373520.9759526402</v>
      </c>
      <c r="R47" s="16">
        <v>4912997.1822310397</v>
      </c>
      <c r="S47" s="22">
        <f t="shared" si="0"/>
        <v>54751038.276748799</v>
      </c>
    </row>
    <row r="48" spans="1:19" x14ac:dyDescent="0.3">
      <c r="A48" t="s">
        <v>100</v>
      </c>
      <c r="B48" t="s">
        <v>111</v>
      </c>
      <c r="C48" t="s">
        <v>103</v>
      </c>
      <c r="D48" t="s">
        <v>38</v>
      </c>
      <c r="E48" s="7" t="s">
        <v>113</v>
      </c>
      <c r="F48" s="7"/>
      <c r="G48" s="14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6">
        <v>0</v>
      </c>
      <c r="S48" s="22">
        <f t="shared" si="0"/>
        <v>0</v>
      </c>
    </row>
    <row r="49" spans="1:19" x14ac:dyDescent="0.3">
      <c r="A49" t="s">
        <v>100</v>
      </c>
      <c r="B49" t="s">
        <v>111</v>
      </c>
      <c r="C49" t="s">
        <v>103</v>
      </c>
      <c r="D49" t="s">
        <v>38</v>
      </c>
      <c r="E49" s="7" t="s">
        <v>45</v>
      </c>
      <c r="F49" s="7"/>
      <c r="G49" s="14">
        <v>578184.22803455999</v>
      </c>
      <c r="H49" s="15">
        <v>465940.78848128003</v>
      </c>
      <c r="I49" s="15">
        <v>819638.13740928005</v>
      </c>
      <c r="J49" s="15">
        <v>661714.2292992</v>
      </c>
      <c r="K49" s="15">
        <v>682596.72961536003</v>
      </c>
      <c r="L49" s="15">
        <v>661714.2292992</v>
      </c>
      <c r="M49" s="15">
        <v>601677.04053632007</v>
      </c>
      <c r="N49" s="15">
        <v>601677.04053632007</v>
      </c>
      <c r="O49" s="15">
        <v>800060.79353984003</v>
      </c>
      <c r="P49" s="15">
        <v>754380.32427520002</v>
      </c>
      <c r="Q49" s="15">
        <v>801365.94998656004</v>
      </c>
      <c r="R49" s="16">
        <v>732192.66751231998</v>
      </c>
      <c r="S49" s="22">
        <f t="shared" si="0"/>
        <v>8161142.1585254399</v>
      </c>
    </row>
    <row r="50" spans="1:19" x14ac:dyDescent="0.3">
      <c r="A50" t="s">
        <v>100</v>
      </c>
      <c r="B50" t="s">
        <v>111</v>
      </c>
      <c r="C50" t="s">
        <v>103</v>
      </c>
      <c r="D50" t="s">
        <v>38</v>
      </c>
      <c r="E50" s="7" t="s">
        <v>114</v>
      </c>
      <c r="F50" s="7"/>
      <c r="G50" s="14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6">
        <v>0</v>
      </c>
      <c r="S50" s="22">
        <f t="shared" si="0"/>
        <v>0</v>
      </c>
    </row>
    <row r="51" spans="1:19" x14ac:dyDescent="0.3">
      <c r="A51" t="s">
        <v>100</v>
      </c>
      <c r="B51" t="s">
        <v>111</v>
      </c>
      <c r="C51" t="s">
        <v>103</v>
      </c>
      <c r="D51" t="s">
        <v>38</v>
      </c>
      <c r="E51" s="7" t="s">
        <v>46</v>
      </c>
      <c r="F51" s="7"/>
      <c r="G51" s="14">
        <v>2654008.31532032</v>
      </c>
      <c r="H51" s="15">
        <v>2140246.8339660801</v>
      </c>
      <c r="I51" s="15">
        <v>3766732.1865779199</v>
      </c>
      <c r="J51" s="15">
        <v>2973511.7237952002</v>
      </c>
      <c r="K51" s="15">
        <v>3063824.6875084802</v>
      </c>
      <c r="L51" s="15">
        <v>2974363.7331071999</v>
      </c>
      <c r="M51" s="15">
        <v>2777549.6337075201</v>
      </c>
      <c r="N51" s="15">
        <v>2777549.6337075201</v>
      </c>
      <c r="O51" s="15">
        <v>3702831.5051660803</v>
      </c>
      <c r="P51" s="15">
        <v>3506017.40505856</v>
      </c>
      <c r="Q51" s="15">
        <v>3719019.6778470404</v>
      </c>
      <c r="R51" s="16">
        <v>3400368.2779763201</v>
      </c>
      <c r="S51" s="22">
        <f t="shared" si="0"/>
        <v>37456023.613738239</v>
      </c>
    </row>
    <row r="52" spans="1:19" x14ac:dyDescent="0.3">
      <c r="A52" t="s">
        <v>100</v>
      </c>
      <c r="B52" t="s">
        <v>111</v>
      </c>
      <c r="C52" t="s">
        <v>103</v>
      </c>
      <c r="D52" t="s">
        <v>38</v>
      </c>
      <c r="E52" s="7" t="s">
        <v>115</v>
      </c>
      <c r="F52" s="7"/>
      <c r="G52" s="14">
        <v>117625.38632320001</v>
      </c>
      <c r="H52" s="15">
        <v>95391.319322879994</v>
      </c>
      <c r="I52" s="15">
        <v>167114.11618944001</v>
      </c>
      <c r="J52" s="15">
        <v>131969.94583808002</v>
      </c>
      <c r="K52" s="15">
        <v>136273.31362176</v>
      </c>
      <c r="L52" s="15">
        <v>131969.94583808002</v>
      </c>
      <c r="M52" s="15">
        <v>123363.21027072</v>
      </c>
      <c r="N52" s="15">
        <v>123363.21027072</v>
      </c>
      <c r="O52" s="15">
        <v>164962.43194368001</v>
      </c>
      <c r="P52" s="15">
        <v>155638.46829439999</v>
      </c>
      <c r="Q52" s="15">
        <v>164962.43194368001</v>
      </c>
      <c r="R52" s="16">
        <v>151335.10051071999</v>
      </c>
      <c r="S52" s="22">
        <f t="shared" si="0"/>
        <v>1663968.8803673598</v>
      </c>
    </row>
    <row r="53" spans="1:19" x14ac:dyDescent="0.3">
      <c r="A53" t="s">
        <v>100</v>
      </c>
      <c r="B53" t="s">
        <v>111</v>
      </c>
      <c r="C53" t="s">
        <v>103</v>
      </c>
      <c r="D53" t="s">
        <v>38</v>
      </c>
      <c r="E53" s="7" t="s">
        <v>47</v>
      </c>
      <c r="F53" s="7"/>
      <c r="G53" s="14">
        <v>5020812.80227968</v>
      </c>
      <c r="H53" s="15">
        <v>4049145.3502796805</v>
      </c>
      <c r="I53" s="15">
        <v>7125561.31655424</v>
      </c>
      <c r="J53" s="15">
        <v>6026993.0327667203</v>
      </c>
      <c r="K53" s="15">
        <v>6209645.2753574401</v>
      </c>
      <c r="L53" s="15">
        <v>6026993.0327667203</v>
      </c>
      <c r="M53" s="15">
        <v>5057449.4440691201</v>
      </c>
      <c r="N53" s="15">
        <v>5057449.4440691201</v>
      </c>
      <c r="O53" s="15">
        <v>6742734.9593049604</v>
      </c>
      <c r="P53" s="15">
        <v>6272830.2080729604</v>
      </c>
      <c r="Q53" s="15">
        <v>6653001.73566336</v>
      </c>
      <c r="R53" s="16">
        <v>6083275.4099264005</v>
      </c>
      <c r="S53" s="22">
        <f t="shared" si="0"/>
        <v>70325892.011110395</v>
      </c>
    </row>
    <row r="54" spans="1:19" x14ac:dyDescent="0.3">
      <c r="A54" t="s">
        <v>100</v>
      </c>
      <c r="B54" t="s">
        <v>111</v>
      </c>
      <c r="C54" t="s">
        <v>103</v>
      </c>
      <c r="D54" t="s">
        <v>38</v>
      </c>
      <c r="E54" s="7" t="s">
        <v>48</v>
      </c>
      <c r="F54" s="7"/>
      <c r="G54" s="14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6">
        <v>0</v>
      </c>
      <c r="S54" s="22">
        <f t="shared" si="0"/>
        <v>0</v>
      </c>
    </row>
    <row r="55" spans="1:19" x14ac:dyDescent="0.3">
      <c r="A55" t="s">
        <v>100</v>
      </c>
      <c r="B55" t="s">
        <v>111</v>
      </c>
      <c r="C55" t="s">
        <v>103</v>
      </c>
      <c r="D55" t="s">
        <v>38</v>
      </c>
      <c r="E55" s="7" t="s">
        <v>49</v>
      </c>
      <c r="F55" s="7"/>
      <c r="G55" s="14">
        <v>1454275.3985804799</v>
      </c>
      <c r="H55" s="15">
        <v>1173074.8702668799</v>
      </c>
      <c r="I55" s="15">
        <v>2064011.8777510403</v>
      </c>
      <c r="J55" s="15">
        <v>1745786.6131327997</v>
      </c>
      <c r="K55" s="15">
        <v>1798746.0460300799</v>
      </c>
      <c r="L55" s="15">
        <v>1745786.6131327997</v>
      </c>
      <c r="M55" s="15">
        <v>1465054.7520537602</v>
      </c>
      <c r="N55" s="15">
        <v>1465054.7520537602</v>
      </c>
      <c r="O55" s="15">
        <v>1952937.6688371201</v>
      </c>
      <c r="P55" s="15">
        <v>1817024.0802112003</v>
      </c>
      <c r="Q55" s="15">
        <v>1927160.9539481602</v>
      </c>
      <c r="R55" s="16">
        <v>1762189.9769599999</v>
      </c>
      <c r="S55" s="22">
        <f t="shared" si="0"/>
        <v>20371103.602958079</v>
      </c>
    </row>
    <row r="56" spans="1:19" x14ac:dyDescent="0.3">
      <c r="A56" t="s">
        <v>100</v>
      </c>
      <c r="B56" t="s">
        <v>111</v>
      </c>
      <c r="C56" t="s">
        <v>103</v>
      </c>
      <c r="D56" t="s">
        <v>38</v>
      </c>
      <c r="E56" s="6" t="s">
        <v>50</v>
      </c>
      <c r="F56" s="6"/>
      <c r="G56" s="14">
        <v>454827.05209984002</v>
      </c>
      <c r="H56" s="15">
        <v>366870.67532416002</v>
      </c>
      <c r="I56" s="15">
        <v>645784.97458048002</v>
      </c>
      <c r="J56" s="15">
        <v>546255.39044608001</v>
      </c>
      <c r="K56" s="15">
        <v>562457.88060671999</v>
      </c>
      <c r="L56" s="15">
        <v>546255.39044608001</v>
      </c>
      <c r="M56" s="15">
        <v>458299.01437824004</v>
      </c>
      <c r="N56" s="15">
        <v>458299.01437824004</v>
      </c>
      <c r="O56" s="15">
        <v>611065.35179648001</v>
      </c>
      <c r="P56" s="15">
        <v>568244.48464000004</v>
      </c>
      <c r="Q56" s="15">
        <v>602964.10671615996</v>
      </c>
      <c r="R56" s="16">
        <v>551463.33386368002</v>
      </c>
      <c r="S56" s="22">
        <f t="shared" si="0"/>
        <v>6372786.6692761602</v>
      </c>
    </row>
    <row r="57" spans="1:19" x14ac:dyDescent="0.3">
      <c r="A57" t="s">
        <v>100</v>
      </c>
      <c r="B57" t="s">
        <v>111</v>
      </c>
      <c r="C57" t="s">
        <v>103</v>
      </c>
      <c r="D57" t="s">
        <v>38</v>
      </c>
      <c r="E57" s="7" t="s">
        <v>51</v>
      </c>
      <c r="F57" s="7"/>
      <c r="G57" s="14">
        <v>436779.24429440004</v>
      </c>
      <c r="H57" s="15">
        <v>352270.02212864003</v>
      </c>
      <c r="I57" s="15">
        <v>620030.8213836801</v>
      </c>
      <c r="J57" s="15">
        <v>503793.57512959995</v>
      </c>
      <c r="K57" s="15">
        <v>518916.27802112</v>
      </c>
      <c r="L57" s="15">
        <v>503793.57512959995</v>
      </c>
      <c r="M57" s="15">
        <v>424918.30068351998</v>
      </c>
      <c r="N57" s="15">
        <v>424918.30068351998</v>
      </c>
      <c r="O57" s="15">
        <v>566656.57584255992</v>
      </c>
      <c r="P57" s="15">
        <v>520991.94308224</v>
      </c>
      <c r="Q57" s="15">
        <v>552423.44379264</v>
      </c>
      <c r="R57" s="16">
        <v>504979.66934912</v>
      </c>
      <c r="S57" s="22">
        <f t="shared" si="0"/>
        <v>5930471.7495206399</v>
      </c>
    </row>
    <row r="58" spans="1:19" x14ac:dyDescent="0.3">
      <c r="A58" t="s">
        <v>100</v>
      </c>
      <c r="B58" t="s">
        <v>111</v>
      </c>
      <c r="C58" t="s">
        <v>103</v>
      </c>
      <c r="D58" t="s">
        <v>38</v>
      </c>
      <c r="E58" s="6" t="s">
        <v>52</v>
      </c>
      <c r="F58" s="6"/>
      <c r="G58" s="14">
        <v>65018.772734720005</v>
      </c>
      <c r="H58" s="15">
        <v>52368.060890880006</v>
      </c>
      <c r="I58" s="15">
        <v>92379.613016320014</v>
      </c>
      <c r="J58" s="15">
        <v>75021.660412159996</v>
      </c>
      <c r="K58" s="15">
        <v>77081.078421760016</v>
      </c>
      <c r="L58" s="15">
        <v>75021.660412159996</v>
      </c>
      <c r="M58" s="15">
        <v>63253.55709568</v>
      </c>
      <c r="N58" s="15">
        <v>63253.55709568</v>
      </c>
      <c r="O58" s="15">
        <v>84436.143348480022</v>
      </c>
      <c r="P58" s="15">
        <v>77375.28150016001</v>
      </c>
      <c r="Q58" s="15">
        <v>82082.522260480007</v>
      </c>
      <c r="R58" s="16">
        <v>75315.862782720011</v>
      </c>
      <c r="S58" s="22">
        <f t="shared" si="0"/>
        <v>882607.76997119992</v>
      </c>
    </row>
    <row r="59" spans="1:19" x14ac:dyDescent="0.3">
      <c r="A59" t="s">
        <v>100</v>
      </c>
      <c r="B59" t="s">
        <v>111</v>
      </c>
      <c r="C59" t="s">
        <v>103</v>
      </c>
      <c r="D59" t="s">
        <v>38</v>
      </c>
      <c r="E59" s="6" t="s">
        <v>53</v>
      </c>
      <c r="F59" s="6"/>
      <c r="G59" s="14">
        <v>22218.06981632</v>
      </c>
      <c r="H59" s="15">
        <v>18014.651164160001</v>
      </c>
      <c r="I59" s="15">
        <v>31225.395398400004</v>
      </c>
      <c r="J59" s="15">
        <v>25520.755697919998</v>
      </c>
      <c r="K59" s="15">
        <v>26121.243975679998</v>
      </c>
      <c r="L59" s="15">
        <v>25520.755697919998</v>
      </c>
      <c r="M59" s="15">
        <v>21617.58153856</v>
      </c>
      <c r="N59" s="15">
        <v>21617.58153856</v>
      </c>
      <c r="O59" s="15">
        <v>28523.197794559997</v>
      </c>
      <c r="P59" s="15">
        <v>26421.488468479998</v>
      </c>
      <c r="Q59" s="15">
        <v>27922.709516800001</v>
      </c>
      <c r="R59" s="16">
        <v>25520.755697919998</v>
      </c>
      <c r="S59" s="22">
        <f t="shared" si="0"/>
        <v>300244.18630527996</v>
      </c>
    </row>
    <row r="60" spans="1:19" x14ac:dyDescent="0.3">
      <c r="A60" t="s">
        <v>100</v>
      </c>
      <c r="B60" t="s">
        <v>111</v>
      </c>
      <c r="C60" t="s">
        <v>103</v>
      </c>
      <c r="D60" t="s">
        <v>54</v>
      </c>
      <c r="E60" s="8" t="s">
        <v>55</v>
      </c>
      <c r="F60" s="8"/>
      <c r="G60" s="14">
        <v>10271.25530368</v>
      </c>
      <c r="H60" s="15">
        <v>8437.1024192000004</v>
      </c>
      <c r="I60" s="15">
        <v>14673.221660159999</v>
      </c>
      <c r="J60" s="15">
        <v>12472.238481920002</v>
      </c>
      <c r="K60" s="15">
        <v>12839.068775680002</v>
      </c>
      <c r="L60" s="15">
        <v>12105.40748032</v>
      </c>
      <c r="M60" s="15">
        <v>10271.25530368</v>
      </c>
      <c r="N60" s="15">
        <v>10271.25530368</v>
      </c>
      <c r="O60" s="15">
        <v>13939.5603648</v>
      </c>
      <c r="P60" s="15">
        <v>12839.068775680002</v>
      </c>
      <c r="Q60" s="15">
        <v>13572.730071040001</v>
      </c>
      <c r="R60" s="16">
        <v>12839.068775680002</v>
      </c>
      <c r="S60" s="22">
        <f t="shared" si="0"/>
        <v>144531.23271551999</v>
      </c>
    </row>
    <row r="61" spans="1:19" x14ac:dyDescent="0.3">
      <c r="A61" t="s">
        <v>100</v>
      </c>
      <c r="B61" t="s">
        <v>110</v>
      </c>
      <c r="C61" t="s">
        <v>56</v>
      </c>
      <c r="D61" t="s">
        <v>130</v>
      </c>
      <c r="E61" s="4" t="s">
        <v>57</v>
      </c>
      <c r="F61" s="4"/>
      <c r="G61" s="14">
        <v>425780.89645056002</v>
      </c>
      <c r="H61" s="15">
        <v>342411.21032831998</v>
      </c>
      <c r="I61" s="15">
        <v>601452.73453439993</v>
      </c>
      <c r="J61" s="15">
        <v>509150.58186496003</v>
      </c>
      <c r="K61" s="15">
        <v>524038.02634624002</v>
      </c>
      <c r="L61" s="15">
        <v>512128.07118592004</v>
      </c>
      <c r="M61" s="15">
        <v>443645.82883712003</v>
      </c>
      <c r="N61" s="15">
        <v>443645.82883712003</v>
      </c>
      <c r="O61" s="15">
        <v>595497.75660031999</v>
      </c>
      <c r="P61" s="15">
        <v>553812.91389312001</v>
      </c>
      <c r="Q61" s="15">
        <v>586565.29076095996</v>
      </c>
      <c r="R61" s="16">
        <v>534518.78671744</v>
      </c>
      <c r="S61" s="22">
        <f t="shared" si="0"/>
        <v>6072647.9263564805</v>
      </c>
    </row>
    <row r="62" spans="1:19" x14ac:dyDescent="0.3">
      <c r="A62" t="s">
        <v>100</v>
      </c>
      <c r="B62" t="s">
        <v>110</v>
      </c>
      <c r="C62" t="s">
        <v>56</v>
      </c>
      <c r="D62" t="s">
        <v>131</v>
      </c>
      <c r="E62" s="4" t="s">
        <v>58</v>
      </c>
      <c r="F62" s="4"/>
      <c r="G62" s="14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995575.22154496005</v>
      </c>
      <c r="N62" s="15">
        <v>995575.22154496005</v>
      </c>
      <c r="O62" s="15">
        <v>1659292.0356723203</v>
      </c>
      <c r="P62" s="15">
        <v>1659292.0356723203</v>
      </c>
      <c r="Q62" s="15">
        <v>1659292.0356723203</v>
      </c>
      <c r="R62" s="16">
        <v>1991150.44238208</v>
      </c>
      <c r="S62" s="22">
        <f t="shared" si="0"/>
        <v>8960176.9924889598</v>
      </c>
    </row>
    <row r="63" spans="1:19" x14ac:dyDescent="0.3">
      <c r="A63" t="s">
        <v>100</v>
      </c>
      <c r="B63" t="s">
        <v>101</v>
      </c>
      <c r="C63" t="s">
        <v>132</v>
      </c>
      <c r="D63" t="s">
        <v>59</v>
      </c>
      <c r="E63" s="2" t="s">
        <v>60</v>
      </c>
      <c r="F63" s="2"/>
      <c r="G63" s="14">
        <v>5298123.8467673603</v>
      </c>
      <c r="H63" s="15">
        <v>4890575.8582822401</v>
      </c>
      <c r="I63" s="15">
        <v>6520767.8115148805</v>
      </c>
      <c r="J63" s="15">
        <v>6928315.7992921602</v>
      </c>
      <c r="K63" s="15">
        <v>6928315.7992921602</v>
      </c>
      <c r="L63" s="15">
        <v>6520767.8115148805</v>
      </c>
      <c r="M63" s="15">
        <v>5705671.83454464</v>
      </c>
      <c r="N63" s="15">
        <v>6113219.8230297603</v>
      </c>
      <c r="O63" s="15">
        <v>7743411.7755545592</v>
      </c>
      <c r="P63" s="15">
        <v>5705671.83454464</v>
      </c>
      <c r="Q63" s="15">
        <v>6520767.8115148805</v>
      </c>
      <c r="R63" s="16">
        <v>4483027.8705049604</v>
      </c>
      <c r="S63" s="22">
        <f t="shared" si="0"/>
        <v>73358637.876357123</v>
      </c>
    </row>
    <row r="64" spans="1:19" x14ac:dyDescent="0.3">
      <c r="A64" t="s">
        <v>100</v>
      </c>
      <c r="B64" t="s">
        <v>101</v>
      </c>
      <c r="C64" t="s">
        <v>132</v>
      </c>
      <c r="D64" t="s">
        <v>133</v>
      </c>
      <c r="E64" s="3" t="s">
        <v>61</v>
      </c>
      <c r="F64" s="3"/>
      <c r="G64" s="14">
        <v>130000.00022015999</v>
      </c>
      <c r="H64" s="15">
        <v>130000.00022015999</v>
      </c>
      <c r="I64" s="15">
        <v>259999.99973247998</v>
      </c>
      <c r="J64" s="15">
        <v>130000.00022015999</v>
      </c>
      <c r="K64" s="15">
        <v>259999.99973247998</v>
      </c>
      <c r="L64" s="15">
        <v>130000.00022015999</v>
      </c>
      <c r="M64" s="15">
        <v>259999.99973247998</v>
      </c>
      <c r="N64" s="15">
        <v>130000.00022015999</v>
      </c>
      <c r="O64" s="15">
        <v>259999.99973247998</v>
      </c>
      <c r="P64" s="15">
        <v>130000.00022015999</v>
      </c>
      <c r="Q64" s="15">
        <v>259999.99973247998</v>
      </c>
      <c r="R64" s="16">
        <v>130000.00022015999</v>
      </c>
      <c r="S64" s="22">
        <f t="shared" si="0"/>
        <v>2210000.0002035196</v>
      </c>
    </row>
    <row r="65" spans="1:19" x14ac:dyDescent="0.3">
      <c r="A65" t="s">
        <v>100</v>
      </c>
      <c r="B65" t="s">
        <v>101</v>
      </c>
      <c r="C65" t="s">
        <v>132</v>
      </c>
      <c r="D65" t="s">
        <v>59</v>
      </c>
      <c r="E65" s="2" t="s">
        <v>62</v>
      </c>
      <c r="F65" s="2"/>
      <c r="G65" s="14">
        <v>0</v>
      </c>
      <c r="H65" s="15">
        <v>0</v>
      </c>
      <c r="I65" s="15">
        <v>176991.15062271999</v>
      </c>
      <c r="J65" s="15">
        <v>0</v>
      </c>
      <c r="K65" s="15">
        <v>0</v>
      </c>
      <c r="L65" s="15">
        <v>353982.30124543997</v>
      </c>
      <c r="M65" s="15">
        <v>0</v>
      </c>
      <c r="N65" s="15">
        <v>0</v>
      </c>
      <c r="O65" s="15">
        <v>176991.15062271999</v>
      </c>
      <c r="P65" s="15">
        <v>0</v>
      </c>
      <c r="Q65" s="15">
        <v>0</v>
      </c>
      <c r="R65" s="16">
        <v>176991.15062271999</v>
      </c>
      <c r="S65" s="22">
        <f t="shared" si="0"/>
        <v>884955.75311359996</v>
      </c>
    </row>
    <row r="66" spans="1:19" x14ac:dyDescent="0.3">
      <c r="A66" t="s">
        <v>100</v>
      </c>
      <c r="B66" t="s">
        <v>110</v>
      </c>
      <c r="C66" t="s">
        <v>132</v>
      </c>
      <c r="D66" t="s">
        <v>134</v>
      </c>
      <c r="E66" s="9" t="s">
        <v>63</v>
      </c>
      <c r="F66" s="9"/>
      <c r="G66" s="14">
        <v>10628248.500047361</v>
      </c>
      <c r="H66" s="15">
        <v>9882406.5000192001</v>
      </c>
      <c r="I66" s="15">
        <v>14170997.999827201</v>
      </c>
      <c r="J66" s="15">
        <v>14170997.999827201</v>
      </c>
      <c r="K66" s="15">
        <v>14170997.999827201</v>
      </c>
      <c r="L66" s="15">
        <v>13984537.500174081</v>
      </c>
      <c r="M66" s="15">
        <v>13984537.500174081</v>
      </c>
      <c r="N66" s="15">
        <v>13984537.500174081</v>
      </c>
      <c r="O66" s="15">
        <v>13984537.500174081</v>
      </c>
      <c r="P66" s="15">
        <v>13984537.500174081</v>
      </c>
      <c r="Q66" s="15">
        <v>13425155.999799039</v>
      </c>
      <c r="R66" s="16">
        <v>11187629.999714559</v>
      </c>
      <c r="S66" s="22">
        <f t="shared" si="0"/>
        <v>157559122.49993214</v>
      </c>
    </row>
    <row r="67" spans="1:19" x14ac:dyDescent="0.3">
      <c r="A67" t="s">
        <v>100</v>
      </c>
      <c r="B67" t="s">
        <v>110</v>
      </c>
      <c r="C67" t="s">
        <v>132</v>
      </c>
      <c r="D67" t="s">
        <v>134</v>
      </c>
      <c r="E67" s="9" t="s">
        <v>64</v>
      </c>
      <c r="F67" s="9"/>
      <c r="G67" s="14">
        <v>130074.38571008001</v>
      </c>
      <c r="H67" s="15">
        <v>160425.07561472</v>
      </c>
      <c r="I67" s="15">
        <v>186439.95318143998</v>
      </c>
      <c r="J67" s="15">
        <v>164760.88866048001</v>
      </c>
      <c r="K67" s="15">
        <v>164760.88866048001</v>
      </c>
      <c r="L67" s="15">
        <v>169096.70170624001</v>
      </c>
      <c r="M67" s="15">
        <v>173432.51475200002</v>
      </c>
      <c r="N67" s="15">
        <v>173432.51475200002</v>
      </c>
      <c r="O67" s="15">
        <v>177768.32708992</v>
      </c>
      <c r="P67" s="15">
        <v>143081.82413952</v>
      </c>
      <c r="Q67" s="15">
        <v>143081.82413952</v>
      </c>
      <c r="R67" s="16">
        <v>143081.82413952</v>
      </c>
      <c r="S67" s="22">
        <f t="shared" ref="S67:S130" si="1">SUM(G67:R67)</f>
        <v>1929436.7225459204</v>
      </c>
    </row>
    <row r="68" spans="1:19" x14ac:dyDescent="0.3">
      <c r="A68" t="s">
        <v>100</v>
      </c>
      <c r="B68" t="s">
        <v>106</v>
      </c>
      <c r="C68" t="s">
        <v>132</v>
      </c>
      <c r="D68" t="s">
        <v>134</v>
      </c>
      <c r="E68" s="4" t="s">
        <v>65</v>
      </c>
      <c r="F68" s="4"/>
      <c r="G68" s="14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6">
        <v>0</v>
      </c>
      <c r="S68" s="22">
        <f t="shared" si="1"/>
        <v>0</v>
      </c>
    </row>
    <row r="69" spans="1:19" x14ac:dyDescent="0.3">
      <c r="A69" t="s">
        <v>100</v>
      </c>
      <c r="B69" t="s">
        <v>106</v>
      </c>
      <c r="C69" t="s">
        <v>132</v>
      </c>
      <c r="D69" t="s">
        <v>134</v>
      </c>
      <c r="E69" s="9" t="s">
        <v>66</v>
      </c>
      <c r="F69" s="9"/>
      <c r="G69" s="14">
        <v>140690.26070399999</v>
      </c>
      <c r="H69" s="15">
        <v>162334.91570687998</v>
      </c>
      <c r="I69" s="15">
        <v>183979.5714176</v>
      </c>
      <c r="J69" s="15">
        <v>162334.91570687998</v>
      </c>
      <c r="K69" s="15">
        <v>173157.24356224001</v>
      </c>
      <c r="L69" s="15">
        <v>173157.24356224001</v>
      </c>
      <c r="M69" s="15">
        <v>173157.24356224001</v>
      </c>
      <c r="N69" s="15">
        <v>183979.5714176</v>
      </c>
      <c r="O69" s="15">
        <v>183979.5714176</v>
      </c>
      <c r="P69" s="15">
        <v>151512.58785152002</v>
      </c>
      <c r="Q69" s="15">
        <v>151512.58785152002</v>
      </c>
      <c r="R69" s="16">
        <v>140690.26070399999</v>
      </c>
      <c r="S69" s="22">
        <f t="shared" si="1"/>
        <v>1980485.9734643197</v>
      </c>
    </row>
    <row r="70" spans="1:19" x14ac:dyDescent="0.3">
      <c r="A70" t="s">
        <v>100</v>
      </c>
      <c r="B70" t="s">
        <v>110</v>
      </c>
      <c r="C70" t="s">
        <v>132</v>
      </c>
      <c r="D70" t="s">
        <v>67</v>
      </c>
      <c r="E70" s="2" t="s">
        <v>68</v>
      </c>
      <c r="F70" s="2"/>
      <c r="G70" s="14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6">
        <v>0</v>
      </c>
      <c r="S70" s="22">
        <f t="shared" si="1"/>
        <v>0</v>
      </c>
    </row>
    <row r="71" spans="1:19" x14ac:dyDescent="0.3">
      <c r="A71" t="s">
        <v>100</v>
      </c>
      <c r="B71" t="s">
        <v>106</v>
      </c>
      <c r="C71" t="s">
        <v>132</v>
      </c>
      <c r="D71" t="s">
        <v>134</v>
      </c>
      <c r="E71" s="2" t="s">
        <v>69</v>
      </c>
      <c r="F71" s="2"/>
      <c r="G71" s="14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6">
        <v>0</v>
      </c>
      <c r="S71" s="22">
        <f t="shared" si="1"/>
        <v>0</v>
      </c>
    </row>
    <row r="72" spans="1:19" x14ac:dyDescent="0.3">
      <c r="A72" t="s">
        <v>100</v>
      </c>
      <c r="B72" t="s">
        <v>110</v>
      </c>
      <c r="C72" t="s">
        <v>132</v>
      </c>
      <c r="D72" t="s">
        <v>67</v>
      </c>
      <c r="E72" s="9" t="s">
        <v>70</v>
      </c>
      <c r="F72" s="9"/>
      <c r="G72" s="14">
        <v>17499.999811840004</v>
      </c>
      <c r="H72" s="15">
        <v>17499.999811840004</v>
      </c>
      <c r="I72" s="15">
        <v>17499.999811840004</v>
      </c>
      <c r="J72" s="15">
        <v>21000.000340480001</v>
      </c>
      <c r="K72" s="15">
        <v>21000.000340480001</v>
      </c>
      <c r="L72" s="15">
        <v>17499.999811840004</v>
      </c>
      <c r="M72" s="15">
        <v>17499.999811840004</v>
      </c>
      <c r="N72" s="15">
        <v>21000.000340480001</v>
      </c>
      <c r="O72" s="15">
        <v>24500.000161280001</v>
      </c>
      <c r="P72" s="15">
        <v>21000.000340480001</v>
      </c>
      <c r="Q72" s="15">
        <v>17499.999811840004</v>
      </c>
      <c r="R72" s="16">
        <v>13999.99999104</v>
      </c>
      <c r="S72" s="22">
        <f t="shared" si="1"/>
        <v>227500.00038528009</v>
      </c>
    </row>
    <row r="73" spans="1:19" x14ac:dyDescent="0.3">
      <c r="A73" t="s">
        <v>100</v>
      </c>
      <c r="B73" t="s">
        <v>110</v>
      </c>
      <c r="C73" t="s">
        <v>132</v>
      </c>
      <c r="D73" t="s">
        <v>67</v>
      </c>
      <c r="E73" s="10" t="s">
        <v>71</v>
      </c>
      <c r="F73" s="10"/>
      <c r="G73" s="14">
        <v>24819999.999889921</v>
      </c>
      <c r="H73" s="15">
        <v>24819999.999889921</v>
      </c>
      <c r="I73" s="15">
        <v>25329999.999664642</v>
      </c>
      <c r="J73" s="15">
        <v>26180000.000232961</v>
      </c>
      <c r="K73" s="15">
        <v>24139999.999718402</v>
      </c>
      <c r="L73" s="15">
        <v>23800000.00034048</v>
      </c>
      <c r="M73" s="15">
        <v>24479999.999804161</v>
      </c>
      <c r="N73" s="15">
        <v>24990000.000286721</v>
      </c>
      <c r="O73" s="15">
        <v>26180000.000232961</v>
      </c>
      <c r="P73" s="15">
        <v>23120000.000168957</v>
      </c>
      <c r="Q73" s="15">
        <v>23460000.00025472</v>
      </c>
      <c r="R73" s="16">
        <v>22099999.999911681</v>
      </c>
      <c r="S73" s="22">
        <f t="shared" si="1"/>
        <v>293420000.00039554</v>
      </c>
    </row>
    <row r="74" spans="1:19" x14ac:dyDescent="0.3">
      <c r="A74" t="s">
        <v>100</v>
      </c>
      <c r="B74" t="s">
        <v>110</v>
      </c>
      <c r="C74" t="s">
        <v>132</v>
      </c>
      <c r="D74" t="s">
        <v>67</v>
      </c>
      <c r="E74" s="4" t="s">
        <v>72</v>
      </c>
      <c r="F74" s="4"/>
      <c r="G74" s="14">
        <v>53103000.000243209</v>
      </c>
      <c r="H74" s="15">
        <v>54815999.999703042</v>
      </c>
      <c r="I74" s="15">
        <v>57899400.000287995</v>
      </c>
      <c r="J74" s="15">
        <v>55158600.000161283</v>
      </c>
      <c r="K74" s="15">
        <v>57214200.000079364</v>
      </c>
      <c r="L74" s="15">
        <v>57214200.000079364</v>
      </c>
      <c r="M74" s="15">
        <v>58755900.000017911</v>
      </c>
      <c r="N74" s="15">
        <v>60297599.999956474</v>
      </c>
      <c r="O74" s="15">
        <v>64066200.000042252</v>
      </c>
      <c r="P74" s="15">
        <v>53445599.9999936</v>
      </c>
      <c r="Q74" s="15">
        <v>58242000.000038393</v>
      </c>
      <c r="R74" s="16">
        <v>54815999.999703042</v>
      </c>
      <c r="S74" s="22">
        <f t="shared" si="1"/>
        <v>685028700.00030601</v>
      </c>
    </row>
    <row r="75" spans="1:19" x14ac:dyDescent="0.3">
      <c r="A75" t="s">
        <v>100</v>
      </c>
      <c r="B75" t="s">
        <v>110</v>
      </c>
      <c r="C75" t="s">
        <v>132</v>
      </c>
      <c r="D75" t="s">
        <v>67</v>
      </c>
      <c r="E75" s="2" t="s">
        <v>73</v>
      </c>
      <c r="F75" s="2"/>
      <c r="G75" s="14">
        <v>778000.00010880001</v>
      </c>
      <c r="H75" s="15">
        <v>778000.00010880001</v>
      </c>
      <c r="I75" s="15">
        <v>778000.00010880001</v>
      </c>
      <c r="J75" s="15">
        <v>778000.00010880001</v>
      </c>
      <c r="K75" s="15">
        <v>778000.00010880001</v>
      </c>
      <c r="L75" s="15">
        <v>388999.99970048002</v>
      </c>
      <c r="M75" s="15">
        <v>778000.00010880001</v>
      </c>
      <c r="N75" s="15">
        <v>778000.00010880001</v>
      </c>
      <c r="O75" s="15">
        <v>1166999.99980928</v>
      </c>
      <c r="P75" s="15">
        <v>778000.00010880001</v>
      </c>
      <c r="Q75" s="15">
        <v>778000.00010880001</v>
      </c>
      <c r="R75" s="16">
        <v>894700.00030207995</v>
      </c>
      <c r="S75" s="22">
        <f t="shared" si="1"/>
        <v>9452700.0007910393</v>
      </c>
    </row>
    <row r="76" spans="1:19" x14ac:dyDescent="0.3">
      <c r="A76" t="s">
        <v>100</v>
      </c>
      <c r="B76" t="s">
        <v>110</v>
      </c>
      <c r="C76" t="s">
        <v>132</v>
      </c>
      <c r="D76" t="s">
        <v>74</v>
      </c>
      <c r="E76" s="3" t="s">
        <v>75</v>
      </c>
      <c r="F76" s="3"/>
      <c r="G76" s="14">
        <v>5822000.0000153594</v>
      </c>
      <c r="H76" s="15">
        <v>5977800.0002291203</v>
      </c>
      <c r="I76" s="15">
        <v>6232000.0000563208</v>
      </c>
      <c r="J76" s="15">
        <v>6149999.9999065604</v>
      </c>
      <c r="K76" s="15">
        <v>6221339.9997324795</v>
      </c>
      <c r="L76" s="15">
        <v>6293500.0003455998</v>
      </c>
      <c r="M76" s="15">
        <v>6232000.0000563208</v>
      </c>
      <c r="N76" s="15">
        <v>6348440.0000000009</v>
      </c>
      <c r="O76" s="15">
        <v>6465700.00002304</v>
      </c>
      <c r="P76" s="15">
        <v>6232000.0000563208</v>
      </c>
      <c r="Q76" s="15">
        <v>6348440.0000000009</v>
      </c>
      <c r="R76" s="16">
        <v>6464879.9999436792</v>
      </c>
      <c r="S76" s="22">
        <f t="shared" si="1"/>
        <v>74788100.000364795</v>
      </c>
    </row>
    <row r="77" spans="1:19" x14ac:dyDescent="0.3">
      <c r="A77" t="s">
        <v>100</v>
      </c>
      <c r="B77" t="s">
        <v>110</v>
      </c>
      <c r="C77" t="s">
        <v>132</v>
      </c>
      <c r="D77" t="s">
        <v>74</v>
      </c>
      <c r="E77" s="3" t="s">
        <v>76</v>
      </c>
      <c r="F77" s="3"/>
      <c r="G77" s="14">
        <v>1206934.28341248</v>
      </c>
      <c r="H77" s="15">
        <v>1200094.9889331199</v>
      </c>
      <c r="I77" s="15">
        <v>1233889.1491404802</v>
      </c>
      <c r="J77" s="15">
        <v>1166703.1409152001</v>
      </c>
      <c r="K77" s="15">
        <v>1249176.9833177601</v>
      </c>
      <c r="L77" s="15">
        <v>1332053.1372019199</v>
      </c>
      <c r="M77" s="15">
        <v>1166703.1409152001</v>
      </c>
      <c r="N77" s="15">
        <v>1274924.9146009602</v>
      </c>
      <c r="O77" s="15">
        <v>1382744.3775129602</v>
      </c>
      <c r="P77" s="15">
        <v>1206934.28341248</v>
      </c>
      <c r="Q77" s="15">
        <v>1274924.9146009602</v>
      </c>
      <c r="R77" s="16">
        <v>1342513.23430784</v>
      </c>
      <c r="S77" s="22">
        <f t="shared" si="1"/>
        <v>15037596.548271362</v>
      </c>
    </row>
    <row r="78" spans="1:19" x14ac:dyDescent="0.3">
      <c r="A78" t="s">
        <v>100</v>
      </c>
      <c r="B78" t="s">
        <v>110</v>
      </c>
      <c r="C78" t="s">
        <v>132</v>
      </c>
      <c r="D78" t="s">
        <v>74</v>
      </c>
      <c r="E78" s="3" t="s">
        <v>77</v>
      </c>
      <c r="F78" s="3"/>
      <c r="G78" s="14">
        <v>3868299.7900108802</v>
      </c>
      <c r="H78" s="15">
        <v>3969735.2071552002</v>
      </c>
      <c r="I78" s="15">
        <v>4298110.8782617599</v>
      </c>
      <c r="J78" s="15">
        <v>4040224.2254528003</v>
      </c>
      <c r="K78" s="15">
        <v>4131773.9866726398</v>
      </c>
      <c r="L78" s="15">
        <v>4222893.9375347197</v>
      </c>
      <c r="M78" s="15">
        <v>4126186.4428198398</v>
      </c>
      <c r="N78" s="15">
        <v>4216016.9604851203</v>
      </c>
      <c r="O78" s="15">
        <v>4212148.6601868803</v>
      </c>
      <c r="P78" s="15">
        <v>4212148.6601868803</v>
      </c>
      <c r="Q78" s="15">
        <v>4216016.9604851203</v>
      </c>
      <c r="R78" s="16">
        <v>4219455.4490099195</v>
      </c>
      <c r="S78" s="22">
        <f t="shared" si="1"/>
        <v>49733011.158261761</v>
      </c>
    </row>
    <row r="79" spans="1:19" x14ac:dyDescent="0.3">
      <c r="A79" t="s">
        <v>100</v>
      </c>
      <c r="B79" t="s">
        <v>110</v>
      </c>
      <c r="C79" t="s">
        <v>132</v>
      </c>
      <c r="D79" t="s">
        <v>74</v>
      </c>
      <c r="E79" s="3" t="s">
        <v>78</v>
      </c>
      <c r="F79" s="3"/>
      <c r="G79" s="14">
        <v>2053599.4841062401</v>
      </c>
      <c r="H79" s="15">
        <v>2103545.0517849601</v>
      </c>
      <c r="I79" s="15">
        <v>2281777.2044838401</v>
      </c>
      <c r="J79" s="15">
        <v>1952947.7562649602</v>
      </c>
      <c r="K79" s="15">
        <v>2189491.9932569601</v>
      </c>
      <c r="L79" s="15">
        <v>2426036.2302489602</v>
      </c>
      <c r="M79" s="15">
        <v>1774715.6035660801</v>
      </c>
      <c r="N79" s="15">
        <v>2234113.4142566398</v>
      </c>
      <c r="O79" s="15">
        <v>2693764.7555392003</v>
      </c>
      <c r="P79" s="15">
        <v>1749362.5238387201</v>
      </c>
      <c r="Q79" s="15">
        <v>2234113.4142566398</v>
      </c>
      <c r="R79" s="16">
        <v>2718864.3046745602</v>
      </c>
      <c r="S79" s="22">
        <f t="shared" si="1"/>
        <v>26412331.736277759</v>
      </c>
    </row>
    <row r="80" spans="1:19" x14ac:dyDescent="0.3">
      <c r="A80" t="s">
        <v>100</v>
      </c>
      <c r="B80" t="s">
        <v>110</v>
      </c>
      <c r="C80" t="s">
        <v>132</v>
      </c>
      <c r="D80" t="s">
        <v>74</v>
      </c>
      <c r="E80" s="3" t="s">
        <v>79</v>
      </c>
      <c r="F80" s="3"/>
      <c r="G80" s="14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6">
        <v>0</v>
      </c>
      <c r="S80" s="22">
        <f t="shared" si="1"/>
        <v>0</v>
      </c>
    </row>
    <row r="81" spans="1:19" x14ac:dyDescent="0.3">
      <c r="A81" t="s">
        <v>100</v>
      </c>
      <c r="B81" t="s">
        <v>110</v>
      </c>
      <c r="C81" t="s">
        <v>132</v>
      </c>
      <c r="D81" t="s">
        <v>74</v>
      </c>
      <c r="E81" s="3" t="s">
        <v>80</v>
      </c>
      <c r="F81" s="3"/>
      <c r="G81" s="14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6">
        <v>0</v>
      </c>
      <c r="S81" s="22">
        <f t="shared" si="1"/>
        <v>0</v>
      </c>
    </row>
    <row r="82" spans="1:19" x14ac:dyDescent="0.3">
      <c r="A82" t="s">
        <v>100</v>
      </c>
      <c r="B82" t="s">
        <v>110</v>
      </c>
      <c r="C82" t="s">
        <v>132</v>
      </c>
      <c r="D82" t="s">
        <v>74</v>
      </c>
      <c r="E82" s="3" t="s">
        <v>81</v>
      </c>
      <c r="F82" s="3"/>
      <c r="G82" s="14">
        <v>6615944.5682534399</v>
      </c>
      <c r="H82" s="15">
        <v>6615944.5682534399</v>
      </c>
      <c r="I82" s="15">
        <v>7351049.5202816008</v>
      </c>
      <c r="J82" s="15">
        <v>7204028.5297344001</v>
      </c>
      <c r="K82" s="15">
        <v>7173889.2263360005</v>
      </c>
      <c r="L82" s="15">
        <v>7143749.9236454405</v>
      </c>
      <c r="M82" s="15">
        <v>7277539.0246540802</v>
      </c>
      <c r="N82" s="15">
        <v>7320175.1123020807</v>
      </c>
      <c r="O82" s="15">
        <v>8098651.2558515193</v>
      </c>
      <c r="P82" s="15">
        <v>7277539.0246540802</v>
      </c>
      <c r="Q82" s="15">
        <v>8055280.0643302398</v>
      </c>
      <c r="R82" s="16">
        <v>7362811.1992422407</v>
      </c>
      <c r="S82" s="22">
        <f t="shared" si="1"/>
        <v>87496602.017538562</v>
      </c>
    </row>
    <row r="83" spans="1:19" x14ac:dyDescent="0.3">
      <c r="A83" t="s">
        <v>100</v>
      </c>
      <c r="B83" t="s">
        <v>110</v>
      </c>
      <c r="C83" t="s">
        <v>132</v>
      </c>
      <c r="D83" t="s">
        <v>74</v>
      </c>
      <c r="E83" s="3" t="s">
        <v>82</v>
      </c>
      <c r="F83" s="3"/>
      <c r="G83" s="14">
        <v>135000.00006528001</v>
      </c>
      <c r="H83" s="15">
        <v>126719.99990272001</v>
      </c>
      <c r="I83" s="15">
        <v>180000.00008704001</v>
      </c>
      <c r="J83" s="15">
        <v>144000.00021120001</v>
      </c>
      <c r="K83" s="15">
        <v>150569.99979392</v>
      </c>
      <c r="L83" s="15">
        <v>139230.00023296001</v>
      </c>
      <c r="M83" s="15">
        <v>152999.99964928001</v>
      </c>
      <c r="N83" s="15">
        <v>153720.00034048004</v>
      </c>
      <c r="O83" s="15">
        <v>154349.99988352001</v>
      </c>
      <c r="P83" s="15">
        <v>161999.99979519998</v>
      </c>
      <c r="Q83" s="15">
        <v>153629.99990016001</v>
      </c>
      <c r="R83" s="16">
        <v>145349.99973760004</v>
      </c>
      <c r="S83" s="22">
        <f t="shared" si="1"/>
        <v>1797569.9995993602</v>
      </c>
    </row>
    <row r="84" spans="1:19" x14ac:dyDescent="0.3">
      <c r="A84" t="s">
        <v>100</v>
      </c>
      <c r="B84" t="s">
        <v>110</v>
      </c>
      <c r="C84" t="s">
        <v>132</v>
      </c>
      <c r="D84" t="s">
        <v>74</v>
      </c>
      <c r="E84" s="3" t="s">
        <v>83</v>
      </c>
      <c r="F84" s="3"/>
      <c r="G84" s="14">
        <v>7664999.9996953607</v>
      </c>
      <c r="H84" s="15">
        <v>7664999.9996953607</v>
      </c>
      <c r="I84" s="15">
        <v>8197350.0000448003</v>
      </c>
      <c r="J84" s="15">
        <v>8189999.9997132812</v>
      </c>
      <c r="K84" s="15">
        <v>8254049.9999731202</v>
      </c>
      <c r="L84" s="15">
        <v>8319150.0001791995</v>
      </c>
      <c r="M84" s="15">
        <v>8295000</v>
      </c>
      <c r="N84" s="15">
        <v>8423099.9998118412</v>
      </c>
      <c r="O84" s="15">
        <v>8816850.0001791995</v>
      </c>
      <c r="P84" s="15">
        <v>9345000.0000358392</v>
      </c>
      <c r="Q84" s="15">
        <v>8423099.9998118412</v>
      </c>
      <c r="R84" s="16">
        <v>7501200.0002956809</v>
      </c>
      <c r="S84" s="22">
        <f t="shared" si="1"/>
        <v>99094799.999435529</v>
      </c>
    </row>
    <row r="85" spans="1:19" x14ac:dyDescent="0.3">
      <c r="A85" t="s">
        <v>100</v>
      </c>
      <c r="B85" t="s">
        <v>125</v>
      </c>
      <c r="C85" t="s">
        <v>132</v>
      </c>
      <c r="D85" t="s">
        <v>84</v>
      </c>
      <c r="E85" s="2" t="s">
        <v>85</v>
      </c>
      <c r="F85" s="2"/>
      <c r="G85" s="14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6">
        <v>0</v>
      </c>
      <c r="S85" s="22">
        <f t="shared" si="1"/>
        <v>0</v>
      </c>
    </row>
    <row r="86" spans="1:19" x14ac:dyDescent="0.3">
      <c r="A86" t="s">
        <v>100</v>
      </c>
      <c r="B86" t="s">
        <v>110</v>
      </c>
      <c r="C86" t="s">
        <v>132</v>
      </c>
      <c r="D86" t="s">
        <v>84</v>
      </c>
      <c r="E86" s="2" t="s">
        <v>86</v>
      </c>
      <c r="F86" s="2"/>
      <c r="G86" s="14">
        <v>0</v>
      </c>
      <c r="H86" s="15">
        <v>99904.602013440017</v>
      </c>
      <c r="I86" s="15">
        <v>144861.67295488002</v>
      </c>
      <c r="J86" s="15">
        <v>0</v>
      </c>
      <c r="K86" s="15">
        <v>149856.90337407999</v>
      </c>
      <c r="L86" s="15">
        <v>104899.83243264</v>
      </c>
      <c r="M86" s="15">
        <v>0</v>
      </c>
      <c r="N86" s="15">
        <v>149856.90337407999</v>
      </c>
      <c r="O86" s="15">
        <v>104899.83243264</v>
      </c>
      <c r="P86" s="15">
        <v>0</v>
      </c>
      <c r="Q86" s="15">
        <v>144861.67295488002</v>
      </c>
      <c r="R86" s="16">
        <v>99904.602013440017</v>
      </c>
      <c r="S86" s="22">
        <f t="shared" si="1"/>
        <v>999046.02155008004</v>
      </c>
    </row>
    <row r="87" spans="1:19" x14ac:dyDescent="0.3">
      <c r="A87" t="s">
        <v>100</v>
      </c>
      <c r="B87" t="s">
        <v>110</v>
      </c>
      <c r="C87" t="s">
        <v>132</v>
      </c>
      <c r="D87" t="s">
        <v>84</v>
      </c>
      <c r="E87" s="2" t="s">
        <v>87</v>
      </c>
      <c r="F87" s="2"/>
      <c r="G87" s="14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6">
        <v>0</v>
      </c>
      <c r="S87" s="22">
        <f t="shared" si="1"/>
        <v>0</v>
      </c>
    </row>
    <row r="88" spans="1:19" x14ac:dyDescent="0.3">
      <c r="A88" t="s">
        <v>100</v>
      </c>
      <c r="B88" t="s">
        <v>101</v>
      </c>
      <c r="C88" t="s">
        <v>135</v>
      </c>
      <c r="D88" t="s">
        <v>136</v>
      </c>
      <c r="E88" s="3" t="s">
        <v>88</v>
      </c>
      <c r="F88" s="3"/>
      <c r="G88" s="14">
        <v>0</v>
      </c>
      <c r="H88" s="15">
        <v>3400000.0001497599</v>
      </c>
      <c r="I88" s="15">
        <v>3400000.0001497599</v>
      </c>
      <c r="J88" s="15">
        <v>3400000.0001497599</v>
      </c>
      <c r="K88" s="15">
        <v>3400000.0001497599</v>
      </c>
      <c r="L88" s="15">
        <v>3400000.0001497599</v>
      </c>
      <c r="M88" s="15">
        <v>1699999.9997209602</v>
      </c>
      <c r="N88" s="15">
        <v>3400000.0001497599</v>
      </c>
      <c r="O88" s="15">
        <v>3400000.0001497599</v>
      </c>
      <c r="P88" s="15">
        <v>3400000.0001497599</v>
      </c>
      <c r="Q88" s="15">
        <v>3400000.0001497599</v>
      </c>
      <c r="R88" s="16">
        <v>1699999.9997209602</v>
      </c>
      <c r="S88" s="22">
        <f t="shared" si="1"/>
        <v>34000000.000789762</v>
      </c>
    </row>
    <row r="89" spans="1:19" x14ac:dyDescent="0.3">
      <c r="A89" t="s">
        <v>100</v>
      </c>
      <c r="B89" t="s">
        <v>101</v>
      </c>
      <c r="C89" t="s">
        <v>135</v>
      </c>
      <c r="D89" t="s">
        <v>136</v>
      </c>
      <c r="E89" s="3" t="s">
        <v>89</v>
      </c>
      <c r="F89" s="3"/>
      <c r="G89" s="14">
        <v>0</v>
      </c>
      <c r="H89" s="15">
        <v>6600000.0001241593</v>
      </c>
      <c r="I89" s="15">
        <v>8249999.9999782415</v>
      </c>
      <c r="J89" s="15">
        <v>4950000.0002700798</v>
      </c>
      <c r="K89" s="15">
        <v>4950000.0002700798</v>
      </c>
      <c r="L89" s="15">
        <v>13200000.000248319</v>
      </c>
      <c r="M89" s="15">
        <v>4950000.0002700798</v>
      </c>
      <c r="N89" s="15">
        <v>9899999.999832321</v>
      </c>
      <c r="O89" s="15">
        <v>8249999.9999782415</v>
      </c>
      <c r="P89" s="15">
        <v>4950000.0002700798</v>
      </c>
      <c r="Q89" s="15">
        <v>4950000.0002700798</v>
      </c>
      <c r="R89" s="16">
        <v>4950000.0002700798</v>
      </c>
      <c r="S89" s="22">
        <f t="shared" si="1"/>
        <v>75900000.001781777</v>
      </c>
    </row>
    <row r="90" spans="1:19" x14ac:dyDescent="0.3">
      <c r="A90" t="s">
        <v>100</v>
      </c>
      <c r="B90" t="s">
        <v>101</v>
      </c>
      <c r="C90" t="s">
        <v>135</v>
      </c>
      <c r="D90" t="s">
        <v>136</v>
      </c>
      <c r="E90" s="3" t="s">
        <v>90</v>
      </c>
      <c r="F90" s="3"/>
      <c r="G90" s="14">
        <v>0</v>
      </c>
      <c r="H90" s="15">
        <v>632000.00010111998</v>
      </c>
      <c r="I90" s="15">
        <v>790000.00030336005</v>
      </c>
      <c r="J90" s="15">
        <v>473999.99989888002</v>
      </c>
      <c r="K90" s="15">
        <v>473999.99989888002</v>
      </c>
      <c r="L90" s="15">
        <v>1264000.00020224</v>
      </c>
      <c r="M90" s="15">
        <v>473999.99989888002</v>
      </c>
      <c r="N90" s="15">
        <v>947999.99979776004</v>
      </c>
      <c r="O90" s="15">
        <v>790000.00030336005</v>
      </c>
      <c r="P90" s="15">
        <v>473999.99989888002</v>
      </c>
      <c r="Q90" s="15">
        <v>473999.99989888002</v>
      </c>
      <c r="R90" s="16">
        <v>473999.99989888002</v>
      </c>
      <c r="S90" s="22">
        <f t="shared" si="1"/>
        <v>7268000.0001011183</v>
      </c>
    </row>
    <row r="91" spans="1:19" x14ac:dyDescent="0.3">
      <c r="A91" t="s">
        <v>100</v>
      </c>
      <c r="B91" t="s">
        <v>101</v>
      </c>
      <c r="C91" t="s">
        <v>135</v>
      </c>
      <c r="D91" t="s">
        <v>136</v>
      </c>
      <c r="E91" s="3" t="s">
        <v>91</v>
      </c>
      <c r="F91" s="3"/>
      <c r="G91" s="14">
        <v>1270000.0002995201</v>
      </c>
      <c r="H91" s="15">
        <v>2539999.9998912001</v>
      </c>
      <c r="I91" s="15">
        <v>3810000.0001907204</v>
      </c>
      <c r="J91" s="15">
        <v>5079999.9997824002</v>
      </c>
      <c r="K91" s="15">
        <v>5714999.9999321606</v>
      </c>
      <c r="L91" s="15">
        <v>5714999.9999321606</v>
      </c>
      <c r="M91" s="15">
        <v>4445000.0003404804</v>
      </c>
      <c r="N91" s="15">
        <v>3810000.0001907204</v>
      </c>
      <c r="O91" s="15">
        <v>3810000.0001907204</v>
      </c>
      <c r="P91" s="15">
        <v>3810000.0001907204</v>
      </c>
      <c r="Q91" s="15">
        <v>3810000.0001907204</v>
      </c>
      <c r="R91" s="16">
        <v>3810000.0001907204</v>
      </c>
      <c r="S91" s="22">
        <f t="shared" si="1"/>
        <v>47625000.001322247</v>
      </c>
    </row>
    <row r="92" spans="1:19" x14ac:dyDescent="0.3">
      <c r="A92" t="s">
        <v>100</v>
      </c>
      <c r="B92" t="s">
        <v>106</v>
      </c>
      <c r="C92" t="s">
        <v>135</v>
      </c>
      <c r="D92" t="s">
        <v>137</v>
      </c>
      <c r="E92" s="4" t="s">
        <v>92</v>
      </c>
      <c r="F92" s="4"/>
      <c r="G92" s="14">
        <v>12615049.999659522</v>
      </c>
      <c r="H92" s="15">
        <v>11451299.999784959</v>
      </c>
      <c r="I92" s="15">
        <v>13891850.000116479</v>
      </c>
      <c r="J92" s="15">
        <v>12708149.999847678</v>
      </c>
      <c r="K92" s="15">
        <v>25017300.000304643</v>
      </c>
      <c r="L92" s="15">
        <v>25848550.000215039</v>
      </c>
      <c r="M92" s="15">
        <v>21785400.000143364</v>
      </c>
      <c r="N92" s="15">
        <v>18127899.999829758</v>
      </c>
      <c r="O92" s="15">
        <v>14164500.000313599</v>
      </c>
      <c r="P92" s="15">
        <v>11457950.000152322</v>
      </c>
      <c r="Q92" s="15">
        <v>11610900.000107519</v>
      </c>
      <c r="R92" s="16">
        <v>14364000.000008961</v>
      </c>
      <c r="S92" s="22">
        <f t="shared" si="1"/>
        <v>193042850.00048387</v>
      </c>
    </row>
    <row r="93" spans="1:19" x14ac:dyDescent="0.3">
      <c r="A93" t="s">
        <v>100</v>
      </c>
      <c r="B93" t="s">
        <v>106</v>
      </c>
      <c r="C93" t="s">
        <v>135</v>
      </c>
      <c r="D93" t="s">
        <v>138</v>
      </c>
      <c r="E93" s="4" t="s">
        <v>93</v>
      </c>
      <c r="F93" s="4"/>
      <c r="G93" s="14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6">
        <v>0</v>
      </c>
      <c r="S93" s="22">
        <f t="shared" si="1"/>
        <v>0</v>
      </c>
    </row>
    <row r="94" spans="1:19" x14ac:dyDescent="0.3">
      <c r="A94" t="s">
        <v>100</v>
      </c>
      <c r="B94" t="s">
        <v>106</v>
      </c>
      <c r="C94" t="s">
        <v>135</v>
      </c>
      <c r="D94" t="s">
        <v>138</v>
      </c>
      <c r="E94" s="4" t="s">
        <v>94</v>
      </c>
      <c r="F94" s="4"/>
      <c r="G94" s="14">
        <v>3111999.99972736</v>
      </c>
      <c r="H94" s="15">
        <v>1556000.0002176</v>
      </c>
      <c r="I94" s="15">
        <v>2625749.9997478402</v>
      </c>
      <c r="J94" s="15">
        <v>4279000.0002444796</v>
      </c>
      <c r="K94" s="15">
        <v>4279000.0002444796</v>
      </c>
      <c r="L94" s="15">
        <v>4279000.0002444796</v>
      </c>
      <c r="M94" s="15">
        <v>5446000.0000537606</v>
      </c>
      <c r="N94" s="15">
        <v>5446000.0000537606</v>
      </c>
      <c r="O94" s="15">
        <v>5446000.0000537606</v>
      </c>
      <c r="P94" s="15">
        <v>4279000.0002444796</v>
      </c>
      <c r="Q94" s="15">
        <v>4279000.0002444796</v>
      </c>
      <c r="R94" s="16">
        <v>4162300.0000512004</v>
      </c>
      <c r="S94" s="22">
        <f t="shared" si="1"/>
        <v>49189050.00112769</v>
      </c>
    </row>
    <row r="95" spans="1:19" x14ac:dyDescent="0.3">
      <c r="A95" t="s">
        <v>100</v>
      </c>
      <c r="B95" t="s">
        <v>106</v>
      </c>
      <c r="C95" t="s">
        <v>135</v>
      </c>
      <c r="D95" t="s">
        <v>120</v>
      </c>
      <c r="E95" s="18" t="s">
        <v>116</v>
      </c>
      <c r="F95" s="18"/>
      <c r="G95" s="14">
        <v>2158340.0001587202</v>
      </c>
      <c r="H95" s="15">
        <v>1418160.0002572802</v>
      </c>
      <c r="I95" s="15">
        <v>1909539.9998528003</v>
      </c>
      <c r="J95" s="15">
        <v>2792779.9997708802</v>
      </c>
      <c r="K95" s="15">
        <v>1076060.0002790401</v>
      </c>
      <c r="L95" s="15">
        <v>2910959.9999692799</v>
      </c>
      <c r="M95" s="15">
        <v>2220539.99970432</v>
      </c>
      <c r="N95" s="15">
        <v>1480359.9998028802</v>
      </c>
      <c r="O95" s="15">
        <v>1480359.9998028802</v>
      </c>
      <c r="P95" s="15">
        <v>1480359.9998028802</v>
      </c>
      <c r="Q95" s="15">
        <v>1480359.9998028802</v>
      </c>
      <c r="R95" s="16">
        <v>2183219.99997696</v>
      </c>
      <c r="S95" s="22">
        <f t="shared" si="1"/>
        <v>22591039.999180801</v>
      </c>
    </row>
    <row r="96" spans="1:19" x14ac:dyDescent="0.3">
      <c r="A96" t="s">
        <v>100</v>
      </c>
      <c r="B96" t="s">
        <v>101</v>
      </c>
      <c r="C96" t="s">
        <v>103</v>
      </c>
      <c r="D96" t="s">
        <v>118</v>
      </c>
      <c r="E96" s="3" t="s">
        <v>117</v>
      </c>
      <c r="F96" s="3"/>
      <c r="G96" s="14">
        <v>0</v>
      </c>
      <c r="H96" s="15">
        <v>943995.38367232017</v>
      </c>
      <c r="I96" s="15">
        <v>2359988.4598886403</v>
      </c>
      <c r="J96" s="15">
        <v>1415993.07621632</v>
      </c>
      <c r="K96" s="15">
        <v>1415993.07621632</v>
      </c>
      <c r="L96" s="15">
        <v>1887990.76805248</v>
      </c>
      <c r="M96" s="15">
        <v>1415993.07621632</v>
      </c>
      <c r="N96" s="15">
        <v>1415993.07621632</v>
      </c>
      <c r="O96" s="15">
        <v>2359988.4598886403</v>
      </c>
      <c r="P96" s="15">
        <v>1415993.07621632</v>
      </c>
      <c r="Q96" s="15">
        <v>1887990.76805248</v>
      </c>
      <c r="R96" s="16">
        <v>2359988.4598886403</v>
      </c>
      <c r="S96" s="22">
        <f t="shared" si="1"/>
        <v>18879907.6805248</v>
      </c>
    </row>
    <row r="97" spans="1:19" x14ac:dyDescent="0.3">
      <c r="A97" t="s">
        <v>100</v>
      </c>
      <c r="B97" t="s">
        <v>101</v>
      </c>
      <c r="C97" t="s">
        <v>132</v>
      </c>
      <c r="D97" t="s">
        <v>59</v>
      </c>
      <c r="E97" s="2" t="s">
        <v>62</v>
      </c>
      <c r="F97" s="2"/>
      <c r="G97" s="14">
        <v>0</v>
      </c>
      <c r="H97" s="15">
        <v>0</v>
      </c>
      <c r="I97" s="15">
        <v>176991.15062271999</v>
      </c>
      <c r="J97" s="15">
        <v>0</v>
      </c>
      <c r="K97" s="15">
        <v>0</v>
      </c>
      <c r="L97" s="15">
        <v>353982.30124543997</v>
      </c>
      <c r="M97" s="15">
        <v>0</v>
      </c>
      <c r="N97" s="15">
        <v>0</v>
      </c>
      <c r="O97" s="15">
        <v>176991.15062271999</v>
      </c>
      <c r="P97" s="15">
        <v>0</v>
      </c>
      <c r="Q97" s="15">
        <v>0</v>
      </c>
      <c r="R97" s="16">
        <v>176991.15062271999</v>
      </c>
      <c r="S97" s="22">
        <f t="shared" si="1"/>
        <v>884955.75311359996</v>
      </c>
    </row>
    <row r="98" spans="1:19" x14ac:dyDescent="0.3">
      <c r="A98" t="s">
        <v>100</v>
      </c>
      <c r="B98" t="s">
        <v>106</v>
      </c>
      <c r="C98" t="s">
        <v>103</v>
      </c>
      <c r="D98" t="s">
        <v>118</v>
      </c>
      <c r="E98" s="2" t="s">
        <v>119</v>
      </c>
      <c r="F98" s="2"/>
      <c r="G98" s="14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6">
        <v>0</v>
      </c>
      <c r="S98" s="22">
        <f t="shared" si="1"/>
        <v>0</v>
      </c>
    </row>
    <row r="99" spans="1:19" x14ac:dyDescent="0.3">
      <c r="A99" t="s">
        <v>141</v>
      </c>
      <c r="B99" t="s">
        <v>142</v>
      </c>
      <c r="C99" t="s">
        <v>143</v>
      </c>
      <c r="D99" t="s">
        <v>144</v>
      </c>
      <c r="E99" t="s">
        <v>145</v>
      </c>
      <c r="F99" s="23" t="s">
        <v>146</v>
      </c>
      <c r="G99" s="24">
        <v>5814922.2529903408</v>
      </c>
      <c r="H99" s="24">
        <v>4504826.1134181824</v>
      </c>
      <c r="I99" s="24">
        <v>6355560.0644469718</v>
      </c>
      <c r="J99" s="24">
        <v>4886555.5352188163</v>
      </c>
      <c r="K99" s="24">
        <v>8241445.8014625581</v>
      </c>
      <c r="L99" s="24">
        <v>7773740.9629335627</v>
      </c>
      <c r="M99" s="24">
        <v>7925707.3374730032</v>
      </c>
      <c r="N99" s="24">
        <v>7365466.1181482049</v>
      </c>
      <c r="O99" s="24">
        <v>8871134.5264239609</v>
      </c>
      <c r="P99" s="24">
        <v>7173844.8325649519</v>
      </c>
      <c r="Q99" s="24">
        <v>8113806.7408902757</v>
      </c>
      <c r="R99" s="24">
        <v>4980110.7603234276</v>
      </c>
      <c r="S99" s="22">
        <f t="shared" si="1"/>
        <v>82007121.046294272</v>
      </c>
    </row>
    <row r="100" spans="1:19" x14ac:dyDescent="0.3">
      <c r="A100" t="s">
        <v>141</v>
      </c>
      <c r="B100" t="s">
        <v>142</v>
      </c>
      <c r="C100" t="s">
        <v>143</v>
      </c>
      <c r="D100" t="s">
        <v>144</v>
      </c>
      <c r="E100" t="s">
        <v>145</v>
      </c>
      <c r="F100" s="23" t="s">
        <v>147</v>
      </c>
      <c r="G100" s="24">
        <v>291284.50199747074</v>
      </c>
      <c r="H100" s="24">
        <v>277702.32229602279</v>
      </c>
      <c r="I100" s="24">
        <v>469807.83296943683</v>
      </c>
      <c r="J100" s="24">
        <v>422317.89218734717</v>
      </c>
      <c r="K100" s="24">
        <v>537851.68621544447</v>
      </c>
      <c r="L100" s="24">
        <v>438082.98513970524</v>
      </c>
      <c r="M100" s="24">
        <v>528639.55459817254</v>
      </c>
      <c r="N100" s="24">
        <v>518798.82651043951</v>
      </c>
      <c r="O100" s="24">
        <v>538723.90518495324</v>
      </c>
      <c r="P100" s="24">
        <v>555648.1762430073</v>
      </c>
      <c r="Q100" s="24">
        <v>606593.82083064085</v>
      </c>
      <c r="R100" s="24">
        <v>589309.82947420247</v>
      </c>
      <c r="S100" s="22">
        <f t="shared" si="1"/>
        <v>5774761.3336468423</v>
      </c>
    </row>
    <row r="101" spans="1:19" x14ac:dyDescent="0.3">
      <c r="A101" t="s">
        <v>141</v>
      </c>
      <c r="B101" t="s">
        <v>142</v>
      </c>
      <c r="C101" t="s">
        <v>143</v>
      </c>
      <c r="D101" t="s">
        <v>148</v>
      </c>
      <c r="E101" t="s">
        <v>149</v>
      </c>
      <c r="F101" s="23" t="s">
        <v>150</v>
      </c>
      <c r="G101" s="24">
        <v>2181828.2439039159</v>
      </c>
      <c r="H101" s="24">
        <v>1784676.9467794017</v>
      </c>
      <c r="I101" s="24">
        <v>2542231.599009207</v>
      </c>
      <c r="J101" s="24">
        <v>1830057.4143157597</v>
      </c>
      <c r="K101" s="24">
        <v>3150635.21094188</v>
      </c>
      <c r="L101" s="24">
        <v>2314526.3472518194</v>
      </c>
      <c r="M101" s="24">
        <v>1331061.0818463503</v>
      </c>
      <c r="N101" s="24">
        <v>1769402.6704115034</v>
      </c>
      <c r="O101" s="24">
        <v>4045750.74380349</v>
      </c>
      <c r="P101" s="24">
        <v>4271111.6582789142</v>
      </c>
      <c r="Q101" s="24">
        <v>1664130.0019995514</v>
      </c>
      <c r="R101" s="24">
        <v>3190799.627079336</v>
      </c>
      <c r="S101" s="22">
        <f t="shared" si="1"/>
        <v>30076211.545621134</v>
      </c>
    </row>
    <row r="102" spans="1:19" x14ac:dyDescent="0.3">
      <c r="A102" t="s">
        <v>141</v>
      </c>
      <c r="B102" t="s">
        <v>142</v>
      </c>
      <c r="C102" t="s">
        <v>143</v>
      </c>
      <c r="D102" t="s">
        <v>148</v>
      </c>
      <c r="E102" t="s">
        <v>151</v>
      </c>
      <c r="F102" s="23" t="s">
        <v>152</v>
      </c>
      <c r="G102" s="24">
        <v>723478.53884386097</v>
      </c>
      <c r="H102" s="24">
        <v>586905.59223205585</v>
      </c>
      <c r="I102" s="24">
        <v>843379.80403878272</v>
      </c>
      <c r="J102" s="24">
        <v>523458.08323573286</v>
      </c>
      <c r="K102" s="24">
        <v>891573.63605873077</v>
      </c>
      <c r="L102" s="24">
        <v>761305.41134476149</v>
      </c>
      <c r="M102" s="24">
        <v>378805.10314300167</v>
      </c>
      <c r="N102" s="24">
        <v>500187.53519589285</v>
      </c>
      <c r="O102" s="24">
        <v>1270776.9538127016</v>
      </c>
      <c r="P102" s="24">
        <v>1223563.9452469873</v>
      </c>
      <c r="Q102" s="24">
        <v>472836.35350725125</v>
      </c>
      <c r="R102" s="24">
        <v>955559.35740770877</v>
      </c>
      <c r="S102" s="22">
        <f t="shared" si="1"/>
        <v>9131830.314067468</v>
      </c>
    </row>
    <row r="103" spans="1:19" x14ac:dyDescent="0.3">
      <c r="A103" t="s">
        <v>141</v>
      </c>
      <c r="B103" t="s">
        <v>142</v>
      </c>
      <c r="C103" t="s">
        <v>143</v>
      </c>
      <c r="D103" t="s">
        <v>148</v>
      </c>
      <c r="E103" t="s">
        <v>151</v>
      </c>
      <c r="F103" s="23" t="s">
        <v>153</v>
      </c>
      <c r="G103" s="24">
        <v>96046.928450092324</v>
      </c>
      <c r="H103" s="24">
        <v>44821.282502565075</v>
      </c>
      <c r="I103" s="24">
        <v>73045.181582046309</v>
      </c>
      <c r="J103" s="24">
        <v>173980.72384119956</v>
      </c>
      <c r="K103" s="24">
        <v>229307.61484775002</v>
      </c>
      <c r="L103" s="24">
        <v>18578.399107411358</v>
      </c>
      <c r="M103" s="24">
        <v>104171.4107259267</v>
      </c>
      <c r="N103" s="24">
        <v>115435.77560680753</v>
      </c>
      <c r="O103" s="24">
        <v>155992.50372821445</v>
      </c>
      <c r="P103" s="24">
        <v>138604.16833834653</v>
      </c>
      <c r="Q103" s="24">
        <v>111245.24016253749</v>
      </c>
      <c r="R103" s="24">
        <v>105935.45000336999</v>
      </c>
      <c r="S103" s="22">
        <f t="shared" si="1"/>
        <v>1367164.6788962672</v>
      </c>
    </row>
    <row r="104" spans="1:19" x14ac:dyDescent="0.3">
      <c r="A104" t="s">
        <v>141</v>
      </c>
      <c r="B104" t="s">
        <v>142</v>
      </c>
      <c r="C104" t="s">
        <v>143</v>
      </c>
      <c r="D104" t="s">
        <v>148</v>
      </c>
      <c r="E104" t="s">
        <v>151</v>
      </c>
      <c r="F104" s="23" t="s">
        <v>154</v>
      </c>
      <c r="G104" s="24">
        <v>0</v>
      </c>
      <c r="H104" s="24">
        <v>0</v>
      </c>
      <c r="I104" s="24">
        <v>0</v>
      </c>
      <c r="J104" s="24">
        <v>0</v>
      </c>
      <c r="K104" s="24">
        <v>0</v>
      </c>
      <c r="L104" s="24">
        <v>-1478.691101955573</v>
      </c>
      <c r="M104" s="24">
        <v>0</v>
      </c>
      <c r="N104" s="24">
        <v>0</v>
      </c>
      <c r="O104" s="24">
        <v>-449.94627714583942</v>
      </c>
      <c r="P104" s="24">
        <v>0</v>
      </c>
      <c r="Q104" s="24">
        <v>0</v>
      </c>
      <c r="R104" s="24">
        <v>1928.6373791014123</v>
      </c>
      <c r="S104" s="22">
        <f t="shared" si="1"/>
        <v>0</v>
      </c>
    </row>
    <row r="105" spans="1:19" x14ac:dyDescent="0.3">
      <c r="A105" t="s">
        <v>141</v>
      </c>
      <c r="B105" t="s">
        <v>142</v>
      </c>
      <c r="C105" t="s">
        <v>143</v>
      </c>
      <c r="D105" t="s">
        <v>155</v>
      </c>
      <c r="E105" t="s">
        <v>156</v>
      </c>
      <c r="F105" s="23" t="s">
        <v>157</v>
      </c>
      <c r="G105" s="24">
        <v>1748727.4726287371</v>
      </c>
      <c r="H105" s="24">
        <v>1715925.3129542223</v>
      </c>
      <c r="I105" s="24">
        <v>2687813.8459084053</v>
      </c>
      <c r="J105" s="24">
        <v>2261580.2180115012</v>
      </c>
      <c r="K105" s="24">
        <v>2545282.5924474238</v>
      </c>
      <c r="L105" s="24">
        <v>2774788.6205250351</v>
      </c>
      <c r="M105" s="24">
        <v>3179330.0615742318</v>
      </c>
      <c r="N105" s="24">
        <v>2567840.696339123</v>
      </c>
      <c r="O105" s="24">
        <v>3266165.9787182533</v>
      </c>
      <c r="P105" s="24">
        <v>3281644.705730862</v>
      </c>
      <c r="Q105" s="24">
        <v>2513786.4903366631</v>
      </c>
      <c r="R105" s="24">
        <v>2008185.5616006479</v>
      </c>
      <c r="S105" s="22">
        <f t="shared" si="1"/>
        <v>30551071.556775108</v>
      </c>
    </row>
    <row r="106" spans="1:19" x14ac:dyDescent="0.3">
      <c r="A106" t="s">
        <v>141</v>
      </c>
      <c r="B106" t="s">
        <v>142</v>
      </c>
      <c r="C106" t="s">
        <v>143</v>
      </c>
      <c r="D106" t="s">
        <v>155</v>
      </c>
      <c r="E106" t="s">
        <v>156</v>
      </c>
      <c r="F106" s="23" t="s">
        <v>158</v>
      </c>
      <c r="G106" s="24">
        <v>229961.83302918612</v>
      </c>
      <c r="H106" s="24">
        <v>186762.16531187028</v>
      </c>
      <c r="I106" s="24">
        <v>281646.33793356339</v>
      </c>
      <c r="J106" s="24">
        <v>272467.32585183525</v>
      </c>
      <c r="K106" s="24">
        <v>315304.35850662948</v>
      </c>
      <c r="L106" s="24">
        <v>293014.53039972472</v>
      </c>
      <c r="M106" s="24">
        <v>244153.83787601671</v>
      </c>
      <c r="N106" s="24">
        <v>213120.81158775257</v>
      </c>
      <c r="O106" s="24">
        <v>421186.7550095109</v>
      </c>
      <c r="P106" s="24">
        <v>427112.27394911216</v>
      </c>
      <c r="Q106" s="24">
        <v>240866.44424019306</v>
      </c>
      <c r="R106" s="24">
        <v>311991.76946585183</v>
      </c>
      <c r="S106" s="22">
        <f t="shared" si="1"/>
        <v>3437588.4431612464</v>
      </c>
    </row>
    <row r="107" spans="1:19" x14ac:dyDescent="0.3">
      <c r="A107" t="s">
        <v>141</v>
      </c>
      <c r="B107" t="s">
        <v>142</v>
      </c>
      <c r="C107" t="s">
        <v>143</v>
      </c>
      <c r="D107" t="s">
        <v>155</v>
      </c>
      <c r="E107" t="s">
        <v>159</v>
      </c>
      <c r="F107" s="23" t="s">
        <v>160</v>
      </c>
      <c r="G107" s="24">
        <v>224126.58682008507</v>
      </c>
      <c r="H107" s="24">
        <v>132751.05788005673</v>
      </c>
      <c r="I107" s="24">
        <v>315502.11576011346</v>
      </c>
      <c r="J107" s="24">
        <v>358229.31309247075</v>
      </c>
      <c r="K107" s="24">
        <v>358229.31309247075</v>
      </c>
      <c r="L107" s="24">
        <v>539664.56335579127</v>
      </c>
      <c r="M107" s="24">
        <v>698420.40733619628</v>
      </c>
      <c r="N107" s="24">
        <v>698420.40733619628</v>
      </c>
      <c r="O107" s="24">
        <v>766458.6261849415</v>
      </c>
      <c r="P107" s="24">
        <v>766458.6261849415</v>
      </c>
      <c r="Q107" s="24">
        <v>766458.6261849415</v>
      </c>
      <c r="R107" s="24">
        <v>789138.0324678563</v>
      </c>
      <c r="S107" s="22">
        <f t="shared" si="1"/>
        <v>6413857.675696061</v>
      </c>
    </row>
    <row r="108" spans="1:19" x14ac:dyDescent="0.3">
      <c r="A108" t="s">
        <v>141</v>
      </c>
      <c r="B108" t="s">
        <v>142</v>
      </c>
      <c r="C108" t="s">
        <v>143</v>
      </c>
      <c r="D108" t="s">
        <v>155</v>
      </c>
      <c r="E108" t="s">
        <v>159</v>
      </c>
      <c r="F108" s="23" t="s">
        <v>161</v>
      </c>
      <c r="G108" s="24">
        <v>0</v>
      </c>
      <c r="H108" s="24">
        <v>0</v>
      </c>
      <c r="I108" s="24">
        <v>0</v>
      </c>
      <c r="J108" s="24">
        <v>0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4">
        <v>0</v>
      </c>
      <c r="S108" s="22">
        <f t="shared" si="1"/>
        <v>0</v>
      </c>
    </row>
    <row r="109" spans="1:19" x14ac:dyDescent="0.3">
      <c r="A109" t="s">
        <v>141</v>
      </c>
      <c r="B109" t="s">
        <v>142</v>
      </c>
      <c r="C109" t="s">
        <v>143</v>
      </c>
      <c r="D109" t="s">
        <v>162</v>
      </c>
      <c r="E109" t="s">
        <v>163</v>
      </c>
      <c r="F109" s="23" t="s">
        <v>164</v>
      </c>
      <c r="G109" s="24">
        <v>227408.54433556367</v>
      </c>
      <c r="H109" s="24">
        <v>179392.1277315894</v>
      </c>
      <c r="I109" s="24">
        <v>257231.6505387096</v>
      </c>
      <c r="J109" s="24">
        <v>494658.96166489675</v>
      </c>
      <c r="K109" s="24">
        <v>603420.70752262929</v>
      </c>
      <c r="L109" s="24">
        <v>280361.05710353807</v>
      </c>
      <c r="M109" s="24">
        <v>146267.08906255444</v>
      </c>
      <c r="N109" s="24">
        <v>461233.29411071958</v>
      </c>
      <c r="O109" s="24">
        <v>388891.5692692431</v>
      </c>
      <c r="P109" s="24">
        <v>284391.04725135234</v>
      </c>
      <c r="Q109" s="24">
        <v>499232.62016603287</v>
      </c>
      <c r="R109" s="24">
        <v>271088.85032988666</v>
      </c>
      <c r="S109" s="22">
        <f t="shared" si="1"/>
        <v>4093577.5190867158</v>
      </c>
    </row>
    <row r="110" spans="1:19" x14ac:dyDescent="0.3">
      <c r="A110" t="s">
        <v>141</v>
      </c>
      <c r="B110" t="s">
        <v>142</v>
      </c>
      <c r="C110" t="s">
        <v>143</v>
      </c>
      <c r="D110" t="s">
        <v>162</v>
      </c>
      <c r="E110" t="s">
        <v>165</v>
      </c>
      <c r="F110" s="23" t="s">
        <v>166</v>
      </c>
      <c r="G110" s="24">
        <v>110596.14961516598</v>
      </c>
      <c r="H110" s="24">
        <v>96591.357801674472</v>
      </c>
      <c r="I110" s="24">
        <v>123073.16230162865</v>
      </c>
      <c r="J110" s="24">
        <v>54858.813198184951</v>
      </c>
      <c r="K110" s="24">
        <v>92261.904877665424</v>
      </c>
      <c r="L110" s="24">
        <v>119524.83700543166</v>
      </c>
      <c r="M110" s="24">
        <v>81150.711247289291</v>
      </c>
      <c r="N110" s="24">
        <v>100887.6955192957</v>
      </c>
      <c r="O110" s="24">
        <v>154927.40788038046</v>
      </c>
      <c r="P110" s="24">
        <v>94865.337857355073</v>
      </c>
      <c r="Q110" s="24">
        <v>63105.157996273432</v>
      </c>
      <c r="R110" s="24">
        <v>118534.61318288973</v>
      </c>
      <c r="S110" s="22">
        <f t="shared" si="1"/>
        <v>1210377.1484832349</v>
      </c>
    </row>
    <row r="111" spans="1:19" x14ac:dyDescent="0.3">
      <c r="A111" t="s">
        <v>141</v>
      </c>
      <c r="B111" t="s">
        <v>142</v>
      </c>
      <c r="C111" t="s">
        <v>143</v>
      </c>
      <c r="D111" t="s">
        <v>162</v>
      </c>
      <c r="E111" t="s">
        <v>165</v>
      </c>
      <c r="F111" s="23" t="s">
        <v>167</v>
      </c>
      <c r="G111" s="24">
        <v>70973.526679137736</v>
      </c>
      <c r="H111" s="24">
        <v>50381.987079445971</v>
      </c>
      <c r="I111" s="24">
        <v>70490.898745438084</v>
      </c>
      <c r="J111" s="24">
        <v>51599.707781200414</v>
      </c>
      <c r="K111" s="24">
        <v>75766.888455112028</v>
      </c>
      <c r="L111" s="24">
        <v>79980.490389710147</v>
      </c>
      <c r="M111" s="24">
        <v>49534.685923203579</v>
      </c>
      <c r="N111" s="24">
        <v>56018.331317528689</v>
      </c>
      <c r="O111" s="24">
        <v>126415.88868064118</v>
      </c>
      <c r="P111" s="24">
        <v>91745.158189667665</v>
      </c>
      <c r="Q111" s="24">
        <v>44603.650985246786</v>
      </c>
      <c r="R111" s="24">
        <v>81628.580408204129</v>
      </c>
      <c r="S111" s="22">
        <f t="shared" si="1"/>
        <v>849139.79463453626</v>
      </c>
    </row>
    <row r="112" spans="1:19" x14ac:dyDescent="0.3">
      <c r="A112" t="s">
        <v>141</v>
      </c>
      <c r="B112" t="s">
        <v>142</v>
      </c>
      <c r="C112" t="s">
        <v>143</v>
      </c>
      <c r="D112" t="s">
        <v>162</v>
      </c>
      <c r="E112" t="s">
        <v>165</v>
      </c>
      <c r="F112" s="23" t="s">
        <v>168</v>
      </c>
      <c r="G112" s="24">
        <v>18192.714244909192</v>
      </c>
      <c r="H112" s="24">
        <v>12388.636505010705</v>
      </c>
      <c r="I112" s="24">
        <v>19782.827416311884</v>
      </c>
      <c r="J112" s="24">
        <v>15984.171666941009</v>
      </c>
      <c r="K112" s="24">
        <v>21955.907434288805</v>
      </c>
      <c r="L112" s="24">
        <v>23038.781329045087</v>
      </c>
      <c r="M112" s="24">
        <v>19636.16453120748</v>
      </c>
      <c r="N112" s="24">
        <v>20882.427885255333</v>
      </c>
      <c r="O112" s="24">
        <v>32022.773407992951</v>
      </c>
      <c r="P112" s="24">
        <v>23897.657995382662</v>
      </c>
      <c r="Q112" s="24">
        <v>12067.494368729167</v>
      </c>
      <c r="R112" s="24">
        <v>25744.563034541385</v>
      </c>
      <c r="S112" s="22">
        <f t="shared" si="1"/>
        <v>245594.11981961568</v>
      </c>
    </row>
    <row r="113" spans="1:19" x14ac:dyDescent="0.3">
      <c r="A113" t="s">
        <v>141</v>
      </c>
      <c r="B113" t="s">
        <v>142</v>
      </c>
      <c r="C113" t="s">
        <v>143</v>
      </c>
      <c r="D113" t="s">
        <v>162</v>
      </c>
      <c r="E113" t="s">
        <v>169</v>
      </c>
      <c r="F113" s="23" t="s">
        <v>170</v>
      </c>
      <c r="G113" s="24">
        <v>70538.566756819084</v>
      </c>
      <c r="H113" s="24">
        <v>46866.596910339089</v>
      </c>
      <c r="I113" s="24">
        <v>59775.464728028652</v>
      </c>
      <c r="J113" s="24">
        <v>46685.457283570868</v>
      </c>
      <c r="K113" s="24">
        <v>66836.120848823819</v>
      </c>
      <c r="L113" s="24">
        <v>70007.985588272364</v>
      </c>
      <c r="M113" s="24">
        <v>37544.832375300946</v>
      </c>
      <c r="N113" s="24">
        <v>42173.95608654141</v>
      </c>
      <c r="O113" s="24">
        <v>75209.759420083079</v>
      </c>
      <c r="P113" s="24">
        <v>58415.218676961551</v>
      </c>
      <c r="Q113" s="24">
        <v>30328.765806806994</v>
      </c>
      <c r="R113" s="24">
        <v>48120.052996010869</v>
      </c>
      <c r="S113" s="22">
        <f t="shared" si="1"/>
        <v>652502.7774775587</v>
      </c>
    </row>
    <row r="114" spans="1:19" x14ac:dyDescent="0.3">
      <c r="A114" t="s">
        <v>141</v>
      </c>
      <c r="B114" t="s">
        <v>142</v>
      </c>
      <c r="C114" t="s">
        <v>143</v>
      </c>
      <c r="D114" t="s">
        <v>162</v>
      </c>
      <c r="E114" t="s">
        <v>169</v>
      </c>
      <c r="F114" s="23" t="s">
        <v>171</v>
      </c>
      <c r="G114" s="24">
        <v>26058.32822727129</v>
      </c>
      <c r="H114" s="24">
        <v>19009.876768512688</v>
      </c>
      <c r="I114" s="24">
        <v>31023.03969490487</v>
      </c>
      <c r="J114" s="24">
        <v>18677.02742535483</v>
      </c>
      <c r="K114" s="24">
        <v>29198.922096453309</v>
      </c>
      <c r="L114" s="24">
        <v>28801.028755640076</v>
      </c>
      <c r="M114" s="24">
        <v>19525.479931524693</v>
      </c>
      <c r="N114" s="24">
        <v>20899.436126515291</v>
      </c>
      <c r="O114" s="24">
        <v>25649.684017562911</v>
      </c>
      <c r="P114" s="24">
        <v>17575.471692670355</v>
      </c>
      <c r="Q114" s="24">
        <v>11321.328037564552</v>
      </c>
      <c r="R114" s="24">
        <v>17509.539307162609</v>
      </c>
      <c r="S114" s="22">
        <f t="shared" si="1"/>
        <v>265249.16208113747</v>
      </c>
    </row>
    <row r="115" spans="1:19" x14ac:dyDescent="0.3">
      <c r="A115" t="s">
        <v>141</v>
      </c>
      <c r="B115" t="s">
        <v>142</v>
      </c>
      <c r="C115" t="s">
        <v>143</v>
      </c>
      <c r="D115" t="s">
        <v>162</v>
      </c>
      <c r="E115" t="s">
        <v>172</v>
      </c>
      <c r="F115" s="23" t="s">
        <v>173</v>
      </c>
      <c r="G115" s="24">
        <v>23224.228067855962</v>
      </c>
      <c r="H115" s="24">
        <v>20509.007924087622</v>
      </c>
      <c r="I115" s="24">
        <v>26650.830351456148</v>
      </c>
      <c r="J115" s="24">
        <v>18748.79886672557</v>
      </c>
      <c r="K115" s="24">
        <v>27266.427881538344</v>
      </c>
      <c r="L115" s="24">
        <v>29286.223607694155</v>
      </c>
      <c r="M115" s="24">
        <v>20520.327729181896</v>
      </c>
      <c r="N115" s="24">
        <v>20784.050979234336</v>
      </c>
      <c r="O115" s="24">
        <v>31771.902301809376</v>
      </c>
      <c r="P115" s="24">
        <v>24948.593787134465</v>
      </c>
      <c r="Q115" s="24">
        <v>17956.42728433169</v>
      </c>
      <c r="R115" s="24">
        <v>20801.360003049547</v>
      </c>
      <c r="S115" s="22">
        <f t="shared" si="1"/>
        <v>282468.17878409912</v>
      </c>
    </row>
    <row r="116" spans="1:19" x14ac:dyDescent="0.3">
      <c r="A116" t="s">
        <v>141</v>
      </c>
      <c r="B116" t="s">
        <v>142</v>
      </c>
      <c r="C116" t="s">
        <v>143</v>
      </c>
      <c r="D116" t="s">
        <v>162</v>
      </c>
      <c r="E116" t="s">
        <v>172</v>
      </c>
      <c r="F116" s="23" t="s">
        <v>174</v>
      </c>
      <c r="G116" s="24">
        <v>27720.518836711792</v>
      </c>
      <c r="H116" s="24">
        <v>15280.059405143353</v>
      </c>
      <c r="I116" s="24">
        <v>27978.518444041423</v>
      </c>
      <c r="J116" s="24">
        <v>17083.91193976238</v>
      </c>
      <c r="K116" s="24">
        <v>27124.749971724756</v>
      </c>
      <c r="L116" s="24">
        <v>26609.892204603071</v>
      </c>
      <c r="M116" s="24">
        <v>21332.355665960698</v>
      </c>
      <c r="N116" s="24">
        <v>21821.320830693927</v>
      </c>
      <c r="O116" s="24">
        <v>27234.702882720194</v>
      </c>
      <c r="P116" s="24">
        <v>19778.302203382162</v>
      </c>
      <c r="Q116" s="24">
        <v>12278.196226609449</v>
      </c>
      <c r="R116" s="24">
        <v>17861.337550292552</v>
      </c>
      <c r="S116" s="22">
        <f t="shared" si="1"/>
        <v>262103.86616164574</v>
      </c>
    </row>
    <row r="117" spans="1:19" x14ac:dyDescent="0.3">
      <c r="A117" t="s">
        <v>141</v>
      </c>
      <c r="B117" t="s">
        <v>142</v>
      </c>
      <c r="C117" t="s">
        <v>143</v>
      </c>
      <c r="D117" t="s">
        <v>162</v>
      </c>
      <c r="E117" t="s">
        <v>172</v>
      </c>
      <c r="F117" s="23" t="s">
        <v>175</v>
      </c>
      <c r="G117" s="24">
        <v>8567.4193476968449</v>
      </c>
      <c r="H117" s="24">
        <v>6160.1735864584271</v>
      </c>
      <c r="I117" s="24">
        <v>9388.0346988742695</v>
      </c>
      <c r="J117" s="24">
        <v>6115.9824966143624</v>
      </c>
      <c r="K117" s="24">
        <v>9231.0073556160696</v>
      </c>
      <c r="L117" s="24">
        <v>10814.938442589237</v>
      </c>
      <c r="M117" s="24">
        <v>7424.6049183948971</v>
      </c>
      <c r="N117" s="24">
        <v>8525.0792298550859</v>
      </c>
      <c r="O117" s="24">
        <v>9884.7782697106777</v>
      </c>
      <c r="P117" s="24">
        <v>8272.7188656833496</v>
      </c>
      <c r="Q117" s="24">
        <v>4301.8814933964049</v>
      </c>
      <c r="R117" s="24">
        <v>6652.1518009594683</v>
      </c>
      <c r="S117" s="22">
        <f t="shared" si="1"/>
        <v>95338.770505849097</v>
      </c>
    </row>
    <row r="118" spans="1:19" x14ac:dyDescent="0.3">
      <c r="A118" t="s">
        <v>141</v>
      </c>
      <c r="B118" t="s">
        <v>142</v>
      </c>
      <c r="C118" t="s">
        <v>143</v>
      </c>
      <c r="D118" t="s">
        <v>162</v>
      </c>
      <c r="E118" t="s">
        <v>172</v>
      </c>
      <c r="F118" s="23" t="s">
        <v>176</v>
      </c>
      <c r="G118" s="24">
        <v>7702.4808939384238</v>
      </c>
      <c r="H118" s="24">
        <v>5415.0049590894196</v>
      </c>
      <c r="I118" s="24">
        <v>7836.5198831973985</v>
      </c>
      <c r="J118" s="24">
        <v>5538.6020852972333</v>
      </c>
      <c r="K118" s="24">
        <v>8020.8252744347928</v>
      </c>
      <c r="L118" s="24">
        <v>11419.431499463813</v>
      </c>
      <c r="M118" s="24">
        <v>4905.1477823865625</v>
      </c>
      <c r="N118" s="24">
        <v>5005.4678287703155</v>
      </c>
      <c r="O118" s="24">
        <v>8441.6334276255511</v>
      </c>
      <c r="P118" s="24">
        <v>6398.6818206943954</v>
      </c>
      <c r="Q118" s="24">
        <v>3664.7216371401132</v>
      </c>
      <c r="R118" s="24">
        <v>6299.2801260418983</v>
      </c>
      <c r="S118" s="22">
        <f t="shared" si="1"/>
        <v>80647.797218079912</v>
      </c>
    </row>
    <row r="119" spans="1:19" x14ac:dyDescent="0.3">
      <c r="A119" t="s">
        <v>141</v>
      </c>
      <c r="B119" t="s">
        <v>142</v>
      </c>
      <c r="C119" t="s">
        <v>143</v>
      </c>
      <c r="D119" t="s">
        <v>162</v>
      </c>
      <c r="E119" t="s">
        <v>169</v>
      </c>
      <c r="F119" s="23" t="s">
        <v>177</v>
      </c>
      <c r="G119" s="24">
        <v>14259.875178800497</v>
      </c>
      <c r="H119" s="24">
        <v>11019.956196605748</v>
      </c>
      <c r="I119" s="24">
        <v>13704.657066109945</v>
      </c>
      <c r="J119" s="24">
        <v>9952.517353270754</v>
      </c>
      <c r="K119" s="24">
        <v>13334.356800937772</v>
      </c>
      <c r="L119" s="24">
        <v>17555.967659163995</v>
      </c>
      <c r="M119" s="24">
        <v>7580.7206174278108</v>
      </c>
      <c r="N119" s="24">
        <v>9062.0380899665943</v>
      </c>
      <c r="O119" s="24">
        <v>14582.84631971749</v>
      </c>
      <c r="P119" s="24">
        <v>10544.9721955614</v>
      </c>
      <c r="Q119" s="24">
        <v>7055.0505566387328</v>
      </c>
      <c r="R119" s="24">
        <v>10682.512090438719</v>
      </c>
      <c r="S119" s="22">
        <f t="shared" si="1"/>
        <v>139335.47012463945</v>
      </c>
    </row>
    <row r="120" spans="1:19" x14ac:dyDescent="0.3">
      <c r="A120" t="s">
        <v>141</v>
      </c>
      <c r="B120" t="s">
        <v>142</v>
      </c>
      <c r="C120" t="s">
        <v>143</v>
      </c>
      <c r="D120" t="s">
        <v>162</v>
      </c>
      <c r="E120" t="s">
        <v>169</v>
      </c>
      <c r="F120" s="23" t="s">
        <v>178</v>
      </c>
      <c r="G120" s="24">
        <v>36172.800475374301</v>
      </c>
      <c r="H120" s="24">
        <v>23595.286201668467</v>
      </c>
      <c r="I120" s="24">
        <v>33901.738215326361</v>
      </c>
      <c r="J120" s="24">
        <v>27870.53460148118</v>
      </c>
      <c r="K120" s="24">
        <v>33571.400165574043</v>
      </c>
      <c r="L120" s="24">
        <v>35911.833840601001</v>
      </c>
      <c r="M120" s="24">
        <v>19552.300402862587</v>
      </c>
      <c r="N120" s="24">
        <v>19300.932020878106</v>
      </c>
      <c r="O120" s="24">
        <v>41307.70042978345</v>
      </c>
      <c r="P120" s="24">
        <v>31366.73116291338</v>
      </c>
      <c r="Q120" s="24">
        <v>12764.304725615635</v>
      </c>
      <c r="R120" s="24">
        <v>27553.17783250253</v>
      </c>
      <c r="S120" s="22">
        <f t="shared" si="1"/>
        <v>342868.74007458106</v>
      </c>
    </row>
    <row r="121" spans="1:19" x14ac:dyDescent="0.3">
      <c r="A121" t="s">
        <v>141</v>
      </c>
      <c r="B121" t="s">
        <v>142</v>
      </c>
      <c r="C121" t="s">
        <v>143</v>
      </c>
      <c r="D121" t="s">
        <v>162</v>
      </c>
      <c r="E121" t="s">
        <v>169</v>
      </c>
      <c r="F121" s="23" t="s">
        <v>179</v>
      </c>
      <c r="G121" s="24">
        <v>105.57213010456024</v>
      </c>
      <c r="H121" s="24">
        <v>106.70161359257847</v>
      </c>
      <c r="I121" s="24">
        <v>50.21254490391334</v>
      </c>
      <c r="J121" s="24">
        <v>0</v>
      </c>
      <c r="K121" s="24">
        <v>78.08046654360686</v>
      </c>
      <c r="L121" s="24">
        <v>145.3338497676896</v>
      </c>
      <c r="M121" s="24">
        <v>56.332146728398868</v>
      </c>
      <c r="N121" s="24">
        <v>0</v>
      </c>
      <c r="O121" s="24">
        <v>0</v>
      </c>
      <c r="P121" s="24">
        <v>0</v>
      </c>
      <c r="Q121" s="24">
        <v>0</v>
      </c>
      <c r="R121" s="24">
        <v>0</v>
      </c>
      <c r="S121" s="22">
        <f t="shared" si="1"/>
        <v>542.23275164074744</v>
      </c>
    </row>
    <row r="122" spans="1:19" x14ac:dyDescent="0.3">
      <c r="A122" t="s">
        <v>141</v>
      </c>
      <c r="B122" t="s">
        <v>142</v>
      </c>
      <c r="C122" t="s">
        <v>143</v>
      </c>
      <c r="D122" t="s">
        <v>162</v>
      </c>
      <c r="E122" t="s">
        <v>169</v>
      </c>
      <c r="F122" s="23" t="s">
        <v>180</v>
      </c>
      <c r="G122" s="24">
        <v>700.59892588031289</v>
      </c>
      <c r="H122" s="24">
        <v>332.67349188679083</v>
      </c>
      <c r="I122" s="24">
        <v>145.93015321670137</v>
      </c>
      <c r="J122" s="24">
        <v>324.34137907902561</v>
      </c>
      <c r="K122" s="24">
        <v>187.8261888524014</v>
      </c>
      <c r="L122" s="24">
        <v>225.6426081470774</v>
      </c>
      <c r="M122" s="24">
        <v>500.30479967414567</v>
      </c>
      <c r="N122" s="24">
        <v>225.32858691359547</v>
      </c>
      <c r="O122" s="24">
        <v>62.608670513150656</v>
      </c>
      <c r="P122" s="24">
        <v>0</v>
      </c>
      <c r="Q122" s="24">
        <v>0</v>
      </c>
      <c r="R122" s="24">
        <v>0</v>
      </c>
      <c r="S122" s="22">
        <f t="shared" si="1"/>
        <v>2705.2548041632012</v>
      </c>
    </row>
    <row r="123" spans="1:19" x14ac:dyDescent="0.3">
      <c r="A123" t="s">
        <v>141</v>
      </c>
      <c r="B123" t="s">
        <v>142</v>
      </c>
      <c r="C123" t="s">
        <v>143</v>
      </c>
      <c r="D123" t="s">
        <v>162</v>
      </c>
      <c r="E123" t="s">
        <v>172</v>
      </c>
      <c r="F123" s="23" t="s">
        <v>181</v>
      </c>
      <c r="G123" s="24">
        <v>0</v>
      </c>
      <c r="H123" s="24">
        <v>417.14653085504131</v>
      </c>
      <c r="I123" s="24">
        <v>583.27863136261203</v>
      </c>
      <c r="J123" s="24">
        <v>189.04444086242222</v>
      </c>
      <c r="K123" s="24">
        <v>757.56867030436069</v>
      </c>
      <c r="L123" s="24">
        <v>960.05604173157667</v>
      </c>
      <c r="M123" s="24">
        <v>801.69360592342969</v>
      </c>
      <c r="N123" s="24">
        <v>172.57493050189743</v>
      </c>
      <c r="O123" s="24">
        <v>61.644914982299824</v>
      </c>
      <c r="P123" s="24">
        <v>61.644914982299824</v>
      </c>
      <c r="Q123" s="24">
        <v>0</v>
      </c>
      <c r="R123" s="24">
        <v>0</v>
      </c>
      <c r="S123" s="22">
        <f t="shared" si="1"/>
        <v>4004.6526815059392</v>
      </c>
    </row>
    <row r="124" spans="1:19" x14ac:dyDescent="0.3">
      <c r="A124" t="s">
        <v>141</v>
      </c>
      <c r="B124" t="s">
        <v>142</v>
      </c>
      <c r="C124" t="s">
        <v>143</v>
      </c>
      <c r="D124" t="s">
        <v>162</v>
      </c>
      <c r="E124" t="s">
        <v>172</v>
      </c>
      <c r="F124" s="23" t="s">
        <v>182</v>
      </c>
      <c r="G124" s="24">
        <v>60.073627274815266</v>
      </c>
      <c r="H124" s="24">
        <v>602.55036153401045</v>
      </c>
      <c r="I124" s="24">
        <v>453.48159179903416</v>
      </c>
      <c r="J124" s="24">
        <v>0</v>
      </c>
      <c r="K124" s="24">
        <v>360.43165681077278</v>
      </c>
      <c r="L124" s="24">
        <v>1311.4418594343606</v>
      </c>
      <c r="M124" s="24">
        <v>671.27827924574774</v>
      </c>
      <c r="N124" s="24">
        <v>56.332146728398868</v>
      </c>
      <c r="O124" s="24">
        <v>0</v>
      </c>
      <c r="P124" s="24">
        <v>0</v>
      </c>
      <c r="Q124" s="24">
        <v>0</v>
      </c>
      <c r="R124" s="24">
        <v>0</v>
      </c>
      <c r="S124" s="22">
        <f t="shared" si="1"/>
        <v>3515.5895228271402</v>
      </c>
    </row>
    <row r="125" spans="1:19" x14ac:dyDescent="0.3">
      <c r="A125" t="s">
        <v>141</v>
      </c>
      <c r="B125" t="s">
        <v>142</v>
      </c>
      <c r="C125" t="s">
        <v>143</v>
      </c>
      <c r="D125" t="s">
        <v>162</v>
      </c>
      <c r="E125" t="s">
        <v>172</v>
      </c>
      <c r="F125" s="23" t="s">
        <v>183</v>
      </c>
      <c r="G125" s="24">
        <v>0</v>
      </c>
      <c r="H125" s="24">
        <v>693.56048835176011</v>
      </c>
      <c r="I125" s="24">
        <v>325.15701864651135</v>
      </c>
      <c r="J125" s="24">
        <v>100.42508980782668</v>
      </c>
      <c r="K125" s="24">
        <v>440.77162226926441</v>
      </c>
      <c r="L125" s="24">
        <v>818.05687492558377</v>
      </c>
      <c r="M125" s="24">
        <v>1060.8958248495014</v>
      </c>
      <c r="N125" s="24">
        <v>56.332146728398868</v>
      </c>
      <c r="O125" s="24">
        <v>68.885194297902459</v>
      </c>
      <c r="P125" s="24">
        <v>0</v>
      </c>
      <c r="Q125" s="24">
        <v>0</v>
      </c>
      <c r="R125" s="24">
        <v>0</v>
      </c>
      <c r="S125" s="22">
        <f t="shared" si="1"/>
        <v>3564.0842598767495</v>
      </c>
    </row>
    <row r="126" spans="1:19" x14ac:dyDescent="0.3">
      <c r="A126" t="s">
        <v>141</v>
      </c>
      <c r="B126" t="s">
        <v>142</v>
      </c>
      <c r="C126" t="s">
        <v>143</v>
      </c>
      <c r="D126" t="s">
        <v>162</v>
      </c>
      <c r="E126" t="s">
        <v>172</v>
      </c>
      <c r="F126" s="23" t="s">
        <v>184</v>
      </c>
      <c r="G126" s="24">
        <v>0</v>
      </c>
      <c r="H126" s="24">
        <v>243.21698113215223</v>
      </c>
      <c r="I126" s="24">
        <v>50.21254490391334</v>
      </c>
      <c r="J126" s="24">
        <v>0</v>
      </c>
      <c r="K126" s="24">
        <v>36.404121652279585</v>
      </c>
      <c r="L126" s="24">
        <v>71.662624338140674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2">
        <f t="shared" si="1"/>
        <v>401.49627202648583</v>
      </c>
    </row>
    <row r="127" spans="1:19" x14ac:dyDescent="0.3">
      <c r="A127" t="s">
        <v>141</v>
      </c>
      <c r="B127" t="s">
        <v>142</v>
      </c>
      <c r="C127" t="s">
        <v>143</v>
      </c>
      <c r="D127" t="s">
        <v>162</v>
      </c>
      <c r="E127" t="s">
        <v>169</v>
      </c>
      <c r="F127" s="23" t="s">
        <v>185</v>
      </c>
      <c r="G127" s="24">
        <v>6718.5988198874111</v>
      </c>
      <c r="H127" s="24">
        <v>4336.6150803659793</v>
      </c>
      <c r="I127" s="24">
        <v>3513.2532961468614</v>
      </c>
      <c r="J127" s="24">
        <v>3317.3496469213151</v>
      </c>
      <c r="K127" s="24">
        <v>1228.1784655331435</v>
      </c>
      <c r="L127" s="24">
        <v>2398.6288227577988</v>
      </c>
      <c r="M127" s="24">
        <v>2453.8524121606033</v>
      </c>
      <c r="N127" s="24">
        <v>1123.9256329072164</v>
      </c>
      <c r="O127" s="24">
        <v>743.23062251974716</v>
      </c>
      <c r="P127" s="24">
        <v>62.457667352216944</v>
      </c>
      <c r="Q127" s="24">
        <v>0</v>
      </c>
      <c r="R127" s="24">
        <v>0</v>
      </c>
      <c r="S127" s="22">
        <f t="shared" si="1"/>
        <v>25896.09046655229</v>
      </c>
    </row>
    <row r="128" spans="1:19" x14ac:dyDescent="0.3">
      <c r="A128" t="s">
        <v>141</v>
      </c>
      <c r="B128" t="s">
        <v>142</v>
      </c>
      <c r="C128" t="s">
        <v>143</v>
      </c>
      <c r="D128" t="s">
        <v>162</v>
      </c>
      <c r="E128" t="s">
        <v>169</v>
      </c>
      <c r="F128" s="23" t="s">
        <v>186</v>
      </c>
      <c r="G128" s="24">
        <v>6552.2986150366905</v>
      </c>
      <c r="H128" s="24">
        <v>5171.6832504486156</v>
      </c>
      <c r="I128" s="24">
        <v>5348.9321899272727</v>
      </c>
      <c r="J128" s="24">
        <v>3634.2384829538878</v>
      </c>
      <c r="K128" s="24">
        <v>2523.9634840629051</v>
      </c>
      <c r="L128" s="24">
        <v>2842.8925626728142</v>
      </c>
      <c r="M128" s="24">
        <v>4022.491250785698</v>
      </c>
      <c r="N128" s="24">
        <v>1340.9875162017822</v>
      </c>
      <c r="O128" s="24">
        <v>1151.9055970413513</v>
      </c>
      <c r="P128" s="24">
        <v>0</v>
      </c>
      <c r="Q128" s="24">
        <v>0</v>
      </c>
      <c r="R128" s="24">
        <v>0</v>
      </c>
      <c r="S128" s="22">
        <f t="shared" si="1"/>
        <v>32589.392949131008</v>
      </c>
    </row>
    <row r="129" spans="1:19" x14ac:dyDescent="0.3">
      <c r="A129" t="s">
        <v>141</v>
      </c>
      <c r="B129" t="s">
        <v>142</v>
      </c>
      <c r="C129" t="s">
        <v>143</v>
      </c>
      <c r="D129" t="s">
        <v>187</v>
      </c>
      <c r="E129" t="s">
        <v>188</v>
      </c>
      <c r="F129" s="23" t="s">
        <v>189</v>
      </c>
      <c r="G129" s="24">
        <v>376815.18909719924</v>
      </c>
      <c r="H129" s="24">
        <v>298743.36523802357</v>
      </c>
      <c r="I129" s="24">
        <v>1038015.4421374331</v>
      </c>
      <c r="J129" s="24">
        <v>658079.17284922593</v>
      </c>
      <c r="K129" s="24">
        <v>1176611.5161335273</v>
      </c>
      <c r="L129" s="24">
        <v>1339501.4379363118</v>
      </c>
      <c r="M129" s="24">
        <v>1898053.394578401</v>
      </c>
      <c r="N129" s="24">
        <v>1193278.5951706539</v>
      </c>
      <c r="O129" s="24">
        <v>790187.64161510579</v>
      </c>
      <c r="P129" s="24">
        <v>413479.20739159861</v>
      </c>
      <c r="Q129" s="24">
        <v>496733.78134473797</v>
      </c>
      <c r="R129" s="24">
        <v>648510.34534979798</v>
      </c>
      <c r="S129" s="22">
        <f t="shared" si="1"/>
        <v>10328009.088842016</v>
      </c>
    </row>
    <row r="130" spans="1:19" x14ac:dyDescent="0.3">
      <c r="A130" t="s">
        <v>141</v>
      </c>
      <c r="B130" t="s">
        <v>142</v>
      </c>
      <c r="C130" t="s">
        <v>143</v>
      </c>
      <c r="D130" t="s">
        <v>187</v>
      </c>
      <c r="E130" t="s">
        <v>188</v>
      </c>
      <c r="F130" s="23" t="s">
        <v>190</v>
      </c>
      <c r="G130" s="24">
        <v>1079484.9743265824</v>
      </c>
      <c r="H130" s="24">
        <v>838117.54534955649</v>
      </c>
      <c r="I130" s="24">
        <v>1332859.3317078145</v>
      </c>
      <c r="J130" s="24">
        <v>839852.00739260553</v>
      </c>
      <c r="K130" s="24">
        <v>1488526.1651503548</v>
      </c>
      <c r="L130" s="24">
        <v>1475270.0795056969</v>
      </c>
      <c r="M130" s="24">
        <v>802853.05848163483</v>
      </c>
      <c r="N130" s="24">
        <v>878258.60190052865</v>
      </c>
      <c r="O130" s="24">
        <v>2230864.6719082105</v>
      </c>
      <c r="P130" s="24">
        <v>1968532.4286287173</v>
      </c>
      <c r="Q130" s="24">
        <v>698493.67249123205</v>
      </c>
      <c r="R130" s="24">
        <v>1605622.2826367035</v>
      </c>
      <c r="S130" s="22">
        <f t="shared" si="1"/>
        <v>15238734.819479637</v>
      </c>
    </row>
    <row r="131" spans="1:19" x14ac:dyDescent="0.3">
      <c r="A131" t="s">
        <v>141</v>
      </c>
      <c r="B131" t="s">
        <v>142</v>
      </c>
      <c r="C131" t="s">
        <v>143</v>
      </c>
      <c r="D131" t="s">
        <v>187</v>
      </c>
      <c r="E131" t="s">
        <v>188</v>
      </c>
      <c r="F131" s="23" t="s">
        <v>191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  <c r="L131" s="24">
        <v>0</v>
      </c>
      <c r="M131" s="24">
        <v>0</v>
      </c>
      <c r="N131" s="24">
        <v>0</v>
      </c>
      <c r="O131" s="24">
        <v>0</v>
      </c>
      <c r="P131" s="24">
        <v>0</v>
      </c>
      <c r="Q131" s="24">
        <v>0</v>
      </c>
      <c r="R131" s="24">
        <v>0</v>
      </c>
      <c r="S131" s="22">
        <f t="shared" ref="S131:S156" si="2">SUM(G131:R131)</f>
        <v>0</v>
      </c>
    </row>
    <row r="132" spans="1:19" x14ac:dyDescent="0.3">
      <c r="A132" t="s">
        <v>141</v>
      </c>
      <c r="B132" t="s">
        <v>142</v>
      </c>
      <c r="C132" t="s">
        <v>143</v>
      </c>
      <c r="D132" t="s">
        <v>187</v>
      </c>
      <c r="E132" t="s">
        <v>192</v>
      </c>
      <c r="F132" s="23" t="s">
        <v>193</v>
      </c>
      <c r="G132" s="24">
        <v>24316.832003913907</v>
      </c>
      <c r="H132" s="24">
        <v>26410.256943023884</v>
      </c>
      <c r="I132" s="24">
        <v>53534.546679537969</v>
      </c>
      <c r="J132" s="24">
        <v>9770.5160873356945</v>
      </c>
      <c r="K132" s="24">
        <v>10691.718232378058</v>
      </c>
      <c r="L132" s="24">
        <v>10798.059323448429</v>
      </c>
      <c r="M132" s="24">
        <v>8741.381524681783</v>
      </c>
      <c r="N132" s="24">
        <v>9598.2749541763842</v>
      </c>
      <c r="O132" s="24">
        <v>19496.485748741288</v>
      </c>
      <c r="P132" s="24">
        <v>9598.2749541763842</v>
      </c>
      <c r="Q132" s="24">
        <v>9598.2749541763842</v>
      </c>
      <c r="R132" s="24">
        <v>4661.5561818561191</v>
      </c>
      <c r="S132" s="22">
        <f t="shared" si="2"/>
        <v>197216.17758744629</v>
      </c>
    </row>
    <row r="133" spans="1:19" x14ac:dyDescent="0.3">
      <c r="A133" t="s">
        <v>141</v>
      </c>
      <c r="B133" t="s">
        <v>142</v>
      </c>
      <c r="C133" t="s">
        <v>143</v>
      </c>
      <c r="D133" t="s">
        <v>187</v>
      </c>
      <c r="E133" t="s">
        <v>192</v>
      </c>
      <c r="F133" s="23" t="s">
        <v>194</v>
      </c>
      <c r="G133" s="24">
        <v>164381.65608267082</v>
      </c>
      <c r="H133" s="24">
        <v>132511.47619001739</v>
      </c>
      <c r="I133" s="24">
        <v>197311.36066170927</v>
      </c>
      <c r="J133" s="24">
        <v>169999.63421204596</v>
      </c>
      <c r="K133" s="24">
        <v>209686.4791507526</v>
      </c>
      <c r="L133" s="24">
        <v>218613.19206449087</v>
      </c>
      <c r="M133" s="24">
        <v>189540.19253157522</v>
      </c>
      <c r="N133" s="24">
        <v>201981.91464783257</v>
      </c>
      <c r="O133" s="24">
        <v>247924.14961793</v>
      </c>
      <c r="P133" s="24">
        <v>198427.57262535574</v>
      </c>
      <c r="Q133" s="24">
        <v>162729.56315044494</v>
      </c>
      <c r="R133" s="24">
        <v>170975.51841995917</v>
      </c>
      <c r="S133" s="22">
        <f t="shared" si="2"/>
        <v>2264082.7093547848</v>
      </c>
    </row>
    <row r="134" spans="1:19" x14ac:dyDescent="0.3">
      <c r="A134" t="s">
        <v>141</v>
      </c>
      <c r="B134" t="s">
        <v>142</v>
      </c>
      <c r="C134" t="s">
        <v>143</v>
      </c>
      <c r="D134" t="s">
        <v>187</v>
      </c>
      <c r="E134" t="s">
        <v>192</v>
      </c>
      <c r="F134" s="23" t="s">
        <v>195</v>
      </c>
      <c r="G134" s="24">
        <v>204791.99012321414</v>
      </c>
      <c r="H134" s="24">
        <v>117647.11563125093</v>
      </c>
      <c r="I134" s="24">
        <v>121417.9754732367</v>
      </c>
      <c r="J134" s="24">
        <v>146077.85322212064</v>
      </c>
      <c r="K134" s="24">
        <v>200194.08183592538</v>
      </c>
      <c r="L134" s="24">
        <v>225735.28197636837</v>
      </c>
      <c r="M134" s="24">
        <v>430731.67836997623</v>
      </c>
      <c r="N134" s="24">
        <v>315444.64134460606</v>
      </c>
      <c r="O134" s="24">
        <v>204726.46487618689</v>
      </c>
      <c r="P134" s="24">
        <v>121562.73762933086</v>
      </c>
      <c r="Q134" s="24">
        <v>152529.60451985581</v>
      </c>
      <c r="R134" s="24">
        <v>124974.3914175962</v>
      </c>
      <c r="S134" s="22">
        <f t="shared" si="2"/>
        <v>2365833.816419668</v>
      </c>
    </row>
    <row r="135" spans="1:19" x14ac:dyDescent="0.3">
      <c r="A135" t="s">
        <v>141</v>
      </c>
      <c r="B135" t="s">
        <v>142</v>
      </c>
      <c r="C135" t="s">
        <v>143</v>
      </c>
      <c r="D135" t="s">
        <v>187</v>
      </c>
      <c r="E135" t="s">
        <v>196</v>
      </c>
      <c r="F135" s="23" t="s">
        <v>197</v>
      </c>
      <c r="G135" s="24">
        <v>43623.724010472943</v>
      </c>
      <c r="H135" s="24">
        <v>44819.889085187635</v>
      </c>
      <c r="I135" s="24">
        <v>56204.610317725841</v>
      </c>
      <c r="J135" s="24">
        <v>63332.143600259194</v>
      </c>
      <c r="K135" s="24">
        <v>69870.365904435705</v>
      </c>
      <c r="L135" s="24">
        <v>63124.500769077364</v>
      </c>
      <c r="M135" s="24">
        <v>69868.554705718809</v>
      </c>
      <c r="N135" s="24">
        <v>75472.763641835176</v>
      </c>
      <c r="O135" s="24">
        <v>70373.492092126486</v>
      </c>
      <c r="P135" s="24">
        <v>93908.201475425696</v>
      </c>
      <c r="Q135" s="24">
        <v>43602.111854088624</v>
      </c>
      <c r="R135" s="24">
        <v>169332.89239682708</v>
      </c>
      <c r="S135" s="22">
        <f t="shared" si="2"/>
        <v>863533.2498531806</v>
      </c>
    </row>
    <row r="136" spans="1:19" x14ac:dyDescent="0.3">
      <c r="A136" t="s">
        <v>141</v>
      </c>
      <c r="B136" t="s">
        <v>142</v>
      </c>
      <c r="C136" t="s">
        <v>143</v>
      </c>
      <c r="D136" t="s">
        <v>187</v>
      </c>
      <c r="E136" t="s">
        <v>196</v>
      </c>
      <c r="F136" s="23" t="s">
        <v>198</v>
      </c>
      <c r="G136" s="24">
        <v>1006330.0805721033</v>
      </c>
      <c r="H136" s="24">
        <v>855010.84400986461</v>
      </c>
      <c r="I136" s="24">
        <v>1306475.9562618786</v>
      </c>
      <c r="J136" s="24">
        <v>1048971.0488906251</v>
      </c>
      <c r="K136" s="24">
        <v>1408536.1727816781</v>
      </c>
      <c r="L136" s="24">
        <v>1208255.3776810381</v>
      </c>
      <c r="M136" s="24">
        <v>890400.68031413539</v>
      </c>
      <c r="N136" s="24">
        <v>909407.63475561887</v>
      </c>
      <c r="O136" s="24">
        <v>1467870.811979414</v>
      </c>
      <c r="P136" s="24">
        <v>1572769.1186234979</v>
      </c>
      <c r="Q136" s="24">
        <v>913792.4619165659</v>
      </c>
      <c r="R136" s="24">
        <v>1199070.4791497237</v>
      </c>
      <c r="S136" s="22">
        <f t="shared" si="2"/>
        <v>13786890.666936142</v>
      </c>
    </row>
    <row r="137" spans="1:19" x14ac:dyDescent="0.3">
      <c r="A137" t="s">
        <v>141</v>
      </c>
      <c r="B137" t="s">
        <v>142</v>
      </c>
      <c r="C137" t="s">
        <v>143</v>
      </c>
      <c r="D137" t="s">
        <v>187</v>
      </c>
      <c r="E137" t="s">
        <v>196</v>
      </c>
      <c r="F137" s="23" t="s">
        <v>199</v>
      </c>
      <c r="G137" s="24">
        <v>3685996.4573258031</v>
      </c>
      <c r="H137" s="24">
        <v>3191447.7675478607</v>
      </c>
      <c r="I137" s="24">
        <v>4614256.6137437709</v>
      </c>
      <c r="J137" s="24">
        <v>3338412.0069176583</v>
      </c>
      <c r="K137" s="24">
        <v>5361854.0593121219</v>
      </c>
      <c r="L137" s="24">
        <v>4500196.7419128083</v>
      </c>
      <c r="M137" s="24">
        <v>3344033.1852415414</v>
      </c>
      <c r="N137" s="24">
        <v>3563415.0165462177</v>
      </c>
      <c r="O137" s="24">
        <v>6471863.6072065793</v>
      </c>
      <c r="P137" s="24">
        <v>6734789.3563646004</v>
      </c>
      <c r="Q137" s="24">
        <v>3231033.1101441979</v>
      </c>
      <c r="R137" s="24">
        <v>4478104.2743643671</v>
      </c>
      <c r="S137" s="22">
        <f t="shared" si="2"/>
        <v>52515402.19662752</v>
      </c>
    </row>
    <row r="138" spans="1:19" x14ac:dyDescent="0.3">
      <c r="A138" t="s">
        <v>141</v>
      </c>
      <c r="B138" t="s">
        <v>142</v>
      </c>
      <c r="C138" t="s">
        <v>143</v>
      </c>
      <c r="D138" t="s">
        <v>187</v>
      </c>
      <c r="E138" t="s">
        <v>200</v>
      </c>
      <c r="F138" s="23" t="s">
        <v>201</v>
      </c>
      <c r="G138" s="24">
        <v>118220.01644752323</v>
      </c>
      <c r="H138" s="24">
        <v>118220.01644752323</v>
      </c>
      <c r="I138" s="24">
        <v>140763.50137317914</v>
      </c>
      <c r="J138" s="24">
        <v>92580.154853139902</v>
      </c>
      <c r="K138" s="24">
        <v>92580.154853139902</v>
      </c>
      <c r="L138" s="24">
        <v>92580.154853139902</v>
      </c>
      <c r="M138" s="24">
        <v>104152.67420978242</v>
      </c>
      <c r="N138" s="24">
        <v>104152.67420978242</v>
      </c>
      <c r="O138" s="24">
        <v>104152.67420978242</v>
      </c>
      <c r="P138" s="24">
        <v>115272.81173648531</v>
      </c>
      <c r="Q138" s="24">
        <v>103700.29237984284</v>
      </c>
      <c r="R138" s="24">
        <v>99993.57987094202</v>
      </c>
      <c r="S138" s="22">
        <f t="shared" si="2"/>
        <v>1286368.7054442626</v>
      </c>
    </row>
    <row r="139" spans="1:19" x14ac:dyDescent="0.3">
      <c r="A139" t="s">
        <v>141</v>
      </c>
      <c r="B139" t="s">
        <v>142</v>
      </c>
      <c r="C139" t="s">
        <v>143</v>
      </c>
      <c r="D139" t="s">
        <v>187</v>
      </c>
      <c r="E139" t="s">
        <v>200</v>
      </c>
      <c r="F139" s="23" t="s">
        <v>202</v>
      </c>
      <c r="G139" s="24">
        <v>408698.45212333259</v>
      </c>
      <c r="H139" s="24">
        <v>408698.45212333259</v>
      </c>
      <c r="I139" s="24">
        <v>490332.46622244018</v>
      </c>
      <c r="J139" s="24">
        <v>322491.66303449881</v>
      </c>
      <c r="K139" s="24">
        <v>322491.66303449881</v>
      </c>
      <c r="L139" s="24">
        <v>322491.66303449881</v>
      </c>
      <c r="M139" s="24">
        <v>362803.12091381114</v>
      </c>
      <c r="N139" s="24">
        <v>362803.12091381114</v>
      </c>
      <c r="O139" s="24">
        <v>362803.12091381114</v>
      </c>
      <c r="P139" s="24">
        <v>403071.13921854849</v>
      </c>
      <c r="Q139" s="24">
        <v>362759.68133923609</v>
      </c>
      <c r="R139" s="24">
        <v>349337.00857099093</v>
      </c>
      <c r="S139" s="22">
        <f t="shared" si="2"/>
        <v>4478781.5514428094</v>
      </c>
    </row>
    <row r="140" spans="1:19" x14ac:dyDescent="0.3">
      <c r="A140" t="s">
        <v>141</v>
      </c>
      <c r="B140" t="s">
        <v>142</v>
      </c>
      <c r="C140" t="s">
        <v>143</v>
      </c>
      <c r="D140" t="s">
        <v>187</v>
      </c>
      <c r="E140" t="s">
        <v>203</v>
      </c>
      <c r="F140" s="23" t="s">
        <v>204</v>
      </c>
      <c r="G140" s="24">
        <v>664167.6265317417</v>
      </c>
      <c r="H140" s="24">
        <v>540171.67110528215</v>
      </c>
      <c r="I140" s="24">
        <v>699599.02612562221</v>
      </c>
      <c r="J140" s="24">
        <v>638793.24981554446</v>
      </c>
      <c r="K140" s="24">
        <v>813116.76973563852</v>
      </c>
      <c r="L140" s="24">
        <v>861921.56428370718</v>
      </c>
      <c r="M140" s="24">
        <v>824620.39700205158</v>
      </c>
      <c r="N140" s="24">
        <v>836730.57256119431</v>
      </c>
      <c r="O140" s="24">
        <v>644601.16300541419</v>
      </c>
      <c r="P140" s="24">
        <v>932098.4636970982</v>
      </c>
      <c r="Q140" s="24">
        <v>815400.31147069344</v>
      </c>
      <c r="R140" s="24">
        <v>554153.05776053807</v>
      </c>
      <c r="S140" s="22">
        <f t="shared" si="2"/>
        <v>8825373.8730945271</v>
      </c>
    </row>
    <row r="141" spans="1:19" x14ac:dyDescent="0.3">
      <c r="A141" t="s">
        <v>141</v>
      </c>
      <c r="B141" t="s">
        <v>205</v>
      </c>
      <c r="C141" t="s">
        <v>206</v>
      </c>
      <c r="D141" t="s">
        <v>207</v>
      </c>
      <c r="E141" t="s">
        <v>208</v>
      </c>
      <c r="F141" s="23" t="s">
        <v>209</v>
      </c>
      <c r="G141" s="24">
        <v>987610.61946902657</v>
      </c>
      <c r="H141" s="24">
        <v>-75575.22123893816</v>
      </c>
      <c r="I141" s="24">
        <v>1316814.1592920355</v>
      </c>
      <c r="J141" s="24">
        <v>658407.07964601775</v>
      </c>
      <c r="K141" s="24">
        <v>987610.61946902657</v>
      </c>
      <c r="L141" s="24">
        <v>1975221.2389380531</v>
      </c>
      <c r="M141" s="24">
        <v>1646017.6991150447</v>
      </c>
      <c r="N141" s="24">
        <v>1646017.6991150447</v>
      </c>
      <c r="O141" s="24">
        <v>1316814.1592920355</v>
      </c>
      <c r="P141" s="24">
        <v>1053451.3274336283</v>
      </c>
      <c r="Q141" s="24">
        <v>1316814.1592920355</v>
      </c>
      <c r="R141" s="24">
        <v>1646017.6991150447</v>
      </c>
      <c r="S141" s="22">
        <f t="shared" si="2"/>
        <v>14475221.238938054</v>
      </c>
    </row>
    <row r="142" spans="1:19" x14ac:dyDescent="0.3">
      <c r="A142" t="s">
        <v>141</v>
      </c>
      <c r="B142" t="s">
        <v>205</v>
      </c>
      <c r="C142" t="s">
        <v>206</v>
      </c>
      <c r="D142" t="s">
        <v>207</v>
      </c>
      <c r="E142" t="s">
        <v>208</v>
      </c>
      <c r="F142" s="23" t="s">
        <v>210</v>
      </c>
      <c r="G142" s="24">
        <v>0</v>
      </c>
      <c r="H142" s="24">
        <v>0</v>
      </c>
      <c r="I142" s="24">
        <v>0</v>
      </c>
      <c r="J142" s="24">
        <v>0</v>
      </c>
      <c r="K142" s="24">
        <v>0</v>
      </c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2">
        <f t="shared" si="2"/>
        <v>0</v>
      </c>
    </row>
    <row r="143" spans="1:19" x14ac:dyDescent="0.3">
      <c r="A143" t="s">
        <v>141</v>
      </c>
      <c r="B143" t="s">
        <v>205</v>
      </c>
      <c r="C143" t="s">
        <v>206</v>
      </c>
      <c r="D143" t="s">
        <v>207</v>
      </c>
      <c r="E143" t="s">
        <v>208</v>
      </c>
      <c r="F143" s="23" t="s">
        <v>211</v>
      </c>
      <c r="G143" s="24">
        <v>8911566.6432636194</v>
      </c>
      <c r="H143" s="24">
        <v>-993115.04424778814</v>
      </c>
      <c r="I143" s="24">
        <v>8103409.1930765174</v>
      </c>
      <c r="J143" s="24">
        <v>1051140.0272327252</v>
      </c>
      <c r="K143" s="24">
        <v>4470444.0005426705</v>
      </c>
      <c r="L143" s="24">
        <v>3910886.5334007428</v>
      </c>
      <c r="M143" s="24">
        <v>3335459.2795461128</v>
      </c>
      <c r="N143" s="24">
        <v>3132408.8209988745</v>
      </c>
      <c r="O143" s="24">
        <v>2660683.3581499266</v>
      </c>
      <c r="P143" s="24">
        <v>2269453.9945464665</v>
      </c>
      <c r="Q143" s="24">
        <v>1498507.4446044837</v>
      </c>
      <c r="R143" s="24">
        <v>1249815.0091393278</v>
      </c>
      <c r="S143" s="22">
        <f t="shared" si="2"/>
        <v>39600659.260253683</v>
      </c>
    </row>
    <row r="144" spans="1:19" x14ac:dyDescent="0.3">
      <c r="A144" t="s">
        <v>141</v>
      </c>
      <c r="B144" t="s">
        <v>205</v>
      </c>
      <c r="C144" t="s">
        <v>206</v>
      </c>
      <c r="D144" t="s">
        <v>207</v>
      </c>
      <c r="E144" t="s">
        <v>212</v>
      </c>
      <c r="F144" s="23" t="s">
        <v>213</v>
      </c>
      <c r="G144" s="24">
        <v>0</v>
      </c>
      <c r="H144" s="24">
        <v>0</v>
      </c>
      <c r="I144" s="24">
        <v>0</v>
      </c>
      <c r="J144" s="24">
        <v>3156021.5467487499</v>
      </c>
      <c r="K144" s="24">
        <v>1893612.9280492498</v>
      </c>
      <c r="L144" s="24">
        <v>1893612.9280492498</v>
      </c>
      <c r="M144" s="24">
        <v>2524817.2373989997</v>
      </c>
      <c r="N144" s="24">
        <v>2524817.2373989997</v>
      </c>
      <c r="O144" s="24">
        <v>2524817.2373989997</v>
      </c>
      <c r="P144" s="24">
        <v>2690265.4867256638</v>
      </c>
      <c r="Q144" s="24">
        <v>4707964.6017699121</v>
      </c>
      <c r="R144" s="24">
        <v>6053097.3451327439</v>
      </c>
      <c r="S144" s="22">
        <f t="shared" si="2"/>
        <v>27969026.548672572</v>
      </c>
    </row>
    <row r="145" spans="1:19" x14ac:dyDescent="0.3">
      <c r="A145" t="s">
        <v>141</v>
      </c>
      <c r="B145" t="s">
        <v>214</v>
      </c>
      <c r="C145" t="s">
        <v>206</v>
      </c>
      <c r="D145" t="s">
        <v>215</v>
      </c>
      <c r="E145" t="s">
        <v>216</v>
      </c>
      <c r="F145" s="23" t="s">
        <v>217</v>
      </c>
      <c r="G145" s="24">
        <v>364855.63101086416</v>
      </c>
      <c r="H145" s="24">
        <v>143617.64122891673</v>
      </c>
      <c r="I145" s="24">
        <v>243767.27848256554</v>
      </c>
      <c r="J145" s="24">
        <v>220619.38241816152</v>
      </c>
      <c r="K145" s="24">
        <v>243750.07472718536</v>
      </c>
      <c r="L145" s="24">
        <v>244784.85672723068</v>
      </c>
      <c r="M145" s="24">
        <v>228253.20156427665</v>
      </c>
      <c r="N145" s="24">
        <v>271710.43912440026</v>
      </c>
      <c r="O145" s="24">
        <v>353062.2842448178</v>
      </c>
      <c r="P145" s="24">
        <v>287371.89176839381</v>
      </c>
      <c r="Q145" s="24">
        <v>194108.5114125837</v>
      </c>
      <c r="R145" s="24">
        <v>239816.81868865466</v>
      </c>
      <c r="S145" s="22">
        <f t="shared" si="2"/>
        <v>3035718.0113980509</v>
      </c>
    </row>
    <row r="146" spans="1:19" x14ac:dyDescent="0.3">
      <c r="A146" t="s">
        <v>141</v>
      </c>
      <c r="B146" t="s">
        <v>205</v>
      </c>
      <c r="C146" t="s">
        <v>206</v>
      </c>
      <c r="D146" t="s">
        <v>207</v>
      </c>
      <c r="E146" t="s">
        <v>218</v>
      </c>
      <c r="F146" s="23" t="s">
        <v>219</v>
      </c>
      <c r="G146" s="24">
        <v>3644713.5100363018</v>
      </c>
      <c r="H146" s="24">
        <v>1336114.2231147052</v>
      </c>
      <c r="I146" s="24">
        <v>4538407.8791414406</v>
      </c>
      <c r="J146" s="24">
        <v>3484937.7866932093</v>
      </c>
      <c r="K146" s="24">
        <v>3464844.3325505238</v>
      </c>
      <c r="L146" s="24">
        <v>3373677.7358510061</v>
      </c>
      <c r="M146" s="24">
        <v>3714429.3698967253</v>
      </c>
      <c r="N146" s="24">
        <v>3500128.6534061958</v>
      </c>
      <c r="O146" s="24">
        <v>5431280.6525015458</v>
      </c>
      <c r="P146" s="24">
        <v>4263138.6609380301</v>
      </c>
      <c r="Q146" s="24">
        <v>2590583.4353513541</v>
      </c>
      <c r="R146" s="24">
        <v>4061962.8513790197</v>
      </c>
      <c r="S146" s="22">
        <f t="shared" si="2"/>
        <v>43404219.090860061</v>
      </c>
    </row>
    <row r="147" spans="1:19" x14ac:dyDescent="0.3">
      <c r="A147" t="s">
        <v>141</v>
      </c>
      <c r="B147" t="s">
        <v>205</v>
      </c>
      <c r="C147" t="s">
        <v>206</v>
      </c>
      <c r="D147" t="s">
        <v>207</v>
      </c>
      <c r="E147" t="s">
        <v>218</v>
      </c>
      <c r="F147" s="23" t="s">
        <v>220</v>
      </c>
      <c r="G147" s="24">
        <v>7067655.5610492313</v>
      </c>
      <c r="H147" s="24">
        <v>2500045.4771193881</v>
      </c>
      <c r="I147" s="24">
        <v>8726104.5377883129</v>
      </c>
      <c r="J147" s="24">
        <v>6583474.6739789685</v>
      </c>
      <c r="K147" s="24">
        <v>6455032.2954676365</v>
      </c>
      <c r="L147" s="24">
        <v>7447880.1337519223</v>
      </c>
      <c r="M147" s="24">
        <v>7004129.8057801891</v>
      </c>
      <c r="N147" s="24">
        <v>6614528.5636698166</v>
      </c>
      <c r="O147" s="24">
        <v>10838068.714352179</v>
      </c>
      <c r="P147" s="24">
        <v>8246495.8955309261</v>
      </c>
      <c r="Q147" s="24">
        <v>4990516.5005577821</v>
      </c>
      <c r="R147" s="24">
        <v>6193590.6305801272</v>
      </c>
      <c r="S147" s="22">
        <f t="shared" si="2"/>
        <v>82667522.789626479</v>
      </c>
    </row>
    <row r="148" spans="1:19" x14ac:dyDescent="0.3">
      <c r="A148" t="s">
        <v>141</v>
      </c>
      <c r="B148" t="s">
        <v>205</v>
      </c>
      <c r="C148" t="s">
        <v>206</v>
      </c>
      <c r="D148" t="s">
        <v>207</v>
      </c>
      <c r="E148" t="s">
        <v>218</v>
      </c>
      <c r="F148" s="23" t="s">
        <v>221</v>
      </c>
      <c r="G148" s="24">
        <v>3680593.4890727382</v>
      </c>
      <c r="H148" s="24">
        <v>1187541.7706483377</v>
      </c>
      <c r="I148" s="24">
        <v>4547173.916612369</v>
      </c>
      <c r="J148" s="24">
        <v>3615052.7854581401</v>
      </c>
      <c r="K148" s="24">
        <v>3313156.7389033167</v>
      </c>
      <c r="L148" s="24">
        <v>3472682.9383640969</v>
      </c>
      <c r="M148" s="24">
        <v>3908441.7487186026</v>
      </c>
      <c r="N148" s="24">
        <v>3555965.2011117223</v>
      </c>
      <c r="O148" s="24">
        <v>5232903.9725179207</v>
      </c>
      <c r="P148" s="24">
        <v>4027988.8096826891</v>
      </c>
      <c r="Q148" s="24">
        <v>2761278.7720297743</v>
      </c>
      <c r="R148" s="24">
        <v>3274398.3138498953</v>
      </c>
      <c r="S148" s="22">
        <f t="shared" si="2"/>
        <v>42577178.456969604</v>
      </c>
    </row>
    <row r="149" spans="1:19" x14ac:dyDescent="0.3">
      <c r="A149" t="s">
        <v>141</v>
      </c>
      <c r="B149" t="s">
        <v>205</v>
      </c>
      <c r="C149" t="s">
        <v>206</v>
      </c>
      <c r="D149" t="s">
        <v>207</v>
      </c>
      <c r="E149" t="s">
        <v>222</v>
      </c>
      <c r="F149" s="23" t="s">
        <v>223</v>
      </c>
      <c r="G149" s="24">
        <v>572830.1885386369</v>
      </c>
      <c r="H149" s="24">
        <v>467025.79038730549</v>
      </c>
      <c r="I149" s="24">
        <v>618344.24562035222</v>
      </c>
      <c r="J149" s="24">
        <v>295365.20662757597</v>
      </c>
      <c r="K149" s="24">
        <v>656249.91779650794</v>
      </c>
      <c r="L149" s="24">
        <v>645718.88670172123</v>
      </c>
      <c r="M149" s="24">
        <v>648566.15186094551</v>
      </c>
      <c r="N149" s="24">
        <v>340696.0120010447</v>
      </c>
      <c r="O149" s="24">
        <v>223835.52052061248</v>
      </c>
      <c r="P149" s="24">
        <v>292267.33372831863</v>
      </c>
      <c r="Q149" s="24">
        <v>280483.22876430966</v>
      </c>
      <c r="R149" s="24">
        <v>381967.19760299637</v>
      </c>
      <c r="S149" s="22">
        <f t="shared" si="2"/>
        <v>5423349.6801503282</v>
      </c>
    </row>
    <row r="150" spans="1:19" x14ac:dyDescent="0.3">
      <c r="A150" t="s">
        <v>141</v>
      </c>
      <c r="B150" t="s">
        <v>205</v>
      </c>
      <c r="C150" t="s">
        <v>206</v>
      </c>
      <c r="D150" t="s">
        <v>207</v>
      </c>
      <c r="E150" t="s">
        <v>222</v>
      </c>
      <c r="F150" s="23" t="s">
        <v>224</v>
      </c>
      <c r="G150" s="24">
        <v>369065.10109337769</v>
      </c>
      <c r="H150" s="24">
        <v>262344.84929411858</v>
      </c>
      <c r="I150" s="24">
        <v>412751.91559782613</v>
      </c>
      <c r="J150" s="24">
        <v>320581.11197712284</v>
      </c>
      <c r="K150" s="24">
        <v>352533.1595642388</v>
      </c>
      <c r="L150" s="24">
        <v>256577.65873637534</v>
      </c>
      <c r="M150" s="24">
        <v>204968.6276574567</v>
      </c>
      <c r="N150" s="24">
        <v>302934.11089849862</v>
      </c>
      <c r="O150" s="24">
        <v>446545.00655848422</v>
      </c>
      <c r="P150" s="24">
        <v>410724.90364024998</v>
      </c>
      <c r="Q150" s="24">
        <v>179011.01073374116</v>
      </c>
      <c r="R150" s="24">
        <v>549511.84744020225</v>
      </c>
      <c r="S150" s="22">
        <f t="shared" si="2"/>
        <v>4067549.3031916921</v>
      </c>
    </row>
    <row r="151" spans="1:19" x14ac:dyDescent="0.3">
      <c r="A151" t="s">
        <v>141</v>
      </c>
      <c r="B151" t="s">
        <v>205</v>
      </c>
      <c r="C151" t="s">
        <v>206</v>
      </c>
      <c r="D151" t="s">
        <v>207</v>
      </c>
      <c r="E151" t="s">
        <v>222</v>
      </c>
      <c r="F151" s="23" t="s">
        <v>225</v>
      </c>
      <c r="G151" s="24">
        <v>208969.67584082045</v>
      </c>
      <c r="H151" s="24">
        <v>156494.62245784598</v>
      </c>
      <c r="I151" s="24">
        <v>232498.17616594708</v>
      </c>
      <c r="J151" s="24">
        <v>155876.99280806197</v>
      </c>
      <c r="K151" s="24">
        <v>216645.44146011278</v>
      </c>
      <c r="L151" s="24">
        <v>199720.32574759287</v>
      </c>
      <c r="M151" s="24">
        <v>219159.33623356908</v>
      </c>
      <c r="N151" s="24">
        <v>169177.61825312351</v>
      </c>
      <c r="O151" s="24">
        <v>157304.80098837742</v>
      </c>
      <c r="P151" s="24">
        <v>193254.51377003573</v>
      </c>
      <c r="Q151" s="24">
        <v>169951.40750661033</v>
      </c>
      <c r="R151" s="24">
        <v>225295.37368984951</v>
      </c>
      <c r="S151" s="22">
        <f t="shared" si="2"/>
        <v>2304348.2849219469</v>
      </c>
    </row>
    <row r="152" spans="1:19" x14ac:dyDescent="0.3">
      <c r="A152" t="s">
        <v>141</v>
      </c>
      <c r="B152" t="s">
        <v>205</v>
      </c>
      <c r="C152" t="s">
        <v>206</v>
      </c>
      <c r="D152" t="s">
        <v>207</v>
      </c>
      <c r="E152" t="s">
        <v>222</v>
      </c>
      <c r="F152" s="23" t="s">
        <v>226</v>
      </c>
      <c r="G152" s="24">
        <v>186051.37984717725</v>
      </c>
      <c r="H152" s="24">
        <v>167025.63876699988</v>
      </c>
      <c r="I152" s="24">
        <v>439120.37221104954</v>
      </c>
      <c r="J152" s="24">
        <v>328778.71949625813</v>
      </c>
      <c r="K152" s="24">
        <v>504194.02895802277</v>
      </c>
      <c r="L152" s="24">
        <v>185519.29009303698</v>
      </c>
      <c r="M152" s="24">
        <v>243625.99914841491</v>
      </c>
      <c r="N152" s="24">
        <v>317583.07787229802</v>
      </c>
      <c r="O152" s="24">
        <v>354241.09857587458</v>
      </c>
      <c r="P152" s="24">
        <v>242609.66986177396</v>
      </c>
      <c r="Q152" s="24">
        <v>153952.78128899596</v>
      </c>
      <c r="R152" s="24">
        <v>280584.34951321187</v>
      </c>
      <c r="S152" s="22">
        <f t="shared" si="2"/>
        <v>3403286.4056331138</v>
      </c>
    </row>
    <row r="153" spans="1:19" x14ac:dyDescent="0.3">
      <c r="A153" t="s">
        <v>141</v>
      </c>
      <c r="B153" t="s">
        <v>205</v>
      </c>
      <c r="C153" t="s">
        <v>206</v>
      </c>
      <c r="D153" t="s">
        <v>207</v>
      </c>
      <c r="E153" t="s">
        <v>227</v>
      </c>
      <c r="F153" s="23" t="s">
        <v>228</v>
      </c>
      <c r="G153" s="24">
        <v>3041958.1264001997</v>
      </c>
      <c r="H153" s="24">
        <v>2084835.5254466357</v>
      </c>
      <c r="I153" s="24">
        <v>5305382.7603223678</v>
      </c>
      <c r="J153" s="24">
        <v>2406123.452036967</v>
      </c>
      <c r="K153" s="24">
        <v>4495359.6834477782</v>
      </c>
      <c r="L153" s="24">
        <v>4559018.626753414</v>
      </c>
      <c r="M153" s="24">
        <v>4617123.0776293352</v>
      </c>
      <c r="N153" s="24">
        <v>4356580.5174863962</v>
      </c>
      <c r="O153" s="24">
        <v>4667769.1280584075</v>
      </c>
      <c r="P153" s="24">
        <v>4327725.4062375389</v>
      </c>
      <c r="Q153" s="24">
        <v>2870354.2093761871</v>
      </c>
      <c r="R153" s="24">
        <v>5114205.0533699505</v>
      </c>
      <c r="S153" s="22">
        <f t="shared" si="2"/>
        <v>47846435.566565186</v>
      </c>
    </row>
    <row r="154" spans="1:19" x14ac:dyDescent="0.3">
      <c r="A154" t="s">
        <v>141</v>
      </c>
      <c r="B154" t="s">
        <v>205</v>
      </c>
      <c r="C154" t="s">
        <v>206</v>
      </c>
      <c r="D154" t="s">
        <v>207</v>
      </c>
      <c r="E154" t="s">
        <v>227</v>
      </c>
      <c r="F154" s="23" t="s">
        <v>229</v>
      </c>
      <c r="G154" s="24">
        <v>3265123.5655841897</v>
      </c>
      <c r="H154" s="24">
        <v>1785013.6220733463</v>
      </c>
      <c r="I154" s="24">
        <v>5051871.4213976497</v>
      </c>
      <c r="J154" s="24">
        <v>3328733.4502009642</v>
      </c>
      <c r="K154" s="24">
        <v>4158937.5888866833</v>
      </c>
      <c r="L154" s="24">
        <v>4642862.2304864563</v>
      </c>
      <c r="M154" s="24">
        <v>4134525.1268114718</v>
      </c>
      <c r="N154" s="24">
        <v>4705052.8730785437</v>
      </c>
      <c r="O154" s="24">
        <v>5014398.0995703684</v>
      </c>
      <c r="P154" s="24">
        <v>3742011.8771597105</v>
      </c>
      <c r="Q154" s="24">
        <v>2728972.5377962561</v>
      </c>
      <c r="R154" s="24">
        <v>3360531.1606991328</v>
      </c>
      <c r="S154" s="22">
        <f t="shared" si="2"/>
        <v>45918033.553744778</v>
      </c>
    </row>
    <row r="155" spans="1:19" x14ac:dyDescent="0.3">
      <c r="A155" t="s">
        <v>141</v>
      </c>
      <c r="B155" t="s">
        <v>205</v>
      </c>
      <c r="C155" t="s">
        <v>206</v>
      </c>
      <c r="D155" t="s">
        <v>207</v>
      </c>
      <c r="E155" t="s">
        <v>227</v>
      </c>
      <c r="F155" s="23" t="s">
        <v>230</v>
      </c>
      <c r="G155" s="24">
        <v>858495.53811365692</v>
      </c>
      <c r="H155" s="24">
        <v>517958.72240358498</v>
      </c>
      <c r="I155" s="24">
        <v>1433671.9689613767</v>
      </c>
      <c r="J155" s="24">
        <v>716550.29911783116</v>
      </c>
      <c r="K155" s="24">
        <v>943173.16420845524</v>
      </c>
      <c r="L155" s="24">
        <v>1027194.1760027235</v>
      </c>
      <c r="M155" s="24">
        <v>1452011.3650360717</v>
      </c>
      <c r="N155" s="24">
        <v>1319192.6729683944</v>
      </c>
      <c r="O155" s="24">
        <v>1123697.9895489616</v>
      </c>
      <c r="P155" s="24">
        <v>892473.78740202344</v>
      </c>
      <c r="Q155" s="24">
        <v>820263.0111886838</v>
      </c>
      <c r="R155" s="24">
        <v>867941.4390564831</v>
      </c>
      <c r="S155" s="22">
        <f t="shared" si="2"/>
        <v>11972624.134008244</v>
      </c>
    </row>
    <row r="156" spans="1:19" x14ac:dyDescent="0.3">
      <c r="A156" t="s">
        <v>141</v>
      </c>
      <c r="B156" t="s">
        <v>205</v>
      </c>
      <c r="C156" t="s">
        <v>206</v>
      </c>
      <c r="D156" t="s">
        <v>207</v>
      </c>
      <c r="E156" t="s">
        <v>227</v>
      </c>
      <c r="F156" s="23" t="s">
        <v>231</v>
      </c>
      <c r="G156" s="24">
        <v>1158615.1081068045</v>
      </c>
      <c r="H156" s="24">
        <v>651115.48825232219</v>
      </c>
      <c r="I156" s="24">
        <v>1806953.0532201554</v>
      </c>
      <c r="J156" s="24">
        <v>1116362.6481182335</v>
      </c>
      <c r="K156" s="24">
        <v>1557385.2805723329</v>
      </c>
      <c r="L156" s="24">
        <v>1421633.5440736904</v>
      </c>
      <c r="M156" s="24">
        <v>1589109.9671176127</v>
      </c>
      <c r="N156" s="24">
        <v>1791477.2082642098</v>
      </c>
      <c r="O156" s="24">
        <v>1551510.5776141661</v>
      </c>
      <c r="P156" s="24">
        <v>1363117.4106432241</v>
      </c>
      <c r="Q156" s="24">
        <v>1025373.16165526</v>
      </c>
      <c r="R156" s="24">
        <v>1809426.1505659926</v>
      </c>
      <c r="S156" s="22">
        <f t="shared" si="2"/>
        <v>16842079.598204002</v>
      </c>
    </row>
  </sheetData>
  <phoneticPr fontId="13" type="noConversion"/>
  <conditionalFormatting sqref="E8:F11 E13:F13">
    <cfRule type="duplicateValues" dxfId="7" priority="4"/>
  </conditionalFormatting>
  <conditionalFormatting sqref="E12:F12">
    <cfRule type="duplicateValues" dxfId="6" priority="1"/>
  </conditionalFormatting>
  <pageMargins left="0.7" right="0.7" top="0.75" bottom="0.75" header="0.3" footer="0.3"/>
  <customProperties>
    <customPr name="_pios_id" r:id="rId1"/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5A77-C3BB-4F67-B42B-7406615D003B}">
  <dimension ref="A1:S156"/>
  <sheetViews>
    <sheetView topLeftCell="A124" workbookViewId="0">
      <selection sqref="A1:S156"/>
    </sheetView>
  </sheetViews>
  <sheetFormatPr defaultRowHeight="14" x14ac:dyDescent="0.3"/>
  <cols>
    <col min="1" max="1" width="15.33203125" bestFit="1" customWidth="1"/>
    <col min="2" max="2" width="7.6640625" bestFit="1" customWidth="1"/>
    <col min="3" max="3" width="16" bestFit="1" customWidth="1"/>
    <col min="4" max="4" width="25.08203125" bestFit="1" customWidth="1"/>
    <col min="5" max="5" width="34.5" bestFit="1" customWidth="1"/>
    <col min="6" max="6" width="34.5" customWidth="1"/>
    <col min="7" max="18" width="8.9140625" bestFit="1" customWidth="1"/>
  </cols>
  <sheetData>
    <row r="1" spans="1:19" ht="34.5" x14ac:dyDescent="0.3">
      <c r="A1" s="13" t="s">
        <v>99</v>
      </c>
      <c r="B1" s="13" t="s">
        <v>98</v>
      </c>
      <c r="C1" s="12" t="s">
        <v>97</v>
      </c>
      <c r="D1" s="12" t="s">
        <v>96</v>
      </c>
      <c r="E1" s="12" t="s">
        <v>95</v>
      </c>
      <c r="F1" s="23" t="s">
        <v>140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 t="s">
        <v>139</v>
      </c>
    </row>
    <row r="2" spans="1:19" x14ac:dyDescent="0.3">
      <c r="A2" t="s">
        <v>100</v>
      </c>
      <c r="B2" t="s">
        <v>101</v>
      </c>
      <c r="C2" s="1" t="s">
        <v>103</v>
      </c>
      <c r="D2" s="1" t="s">
        <v>102</v>
      </c>
      <c r="E2" s="2" t="s">
        <v>0</v>
      </c>
      <c r="F2" s="2"/>
      <c r="G2" s="19">
        <v>0</v>
      </c>
      <c r="H2" s="20">
        <v>0</v>
      </c>
      <c r="I2" s="20">
        <v>1</v>
      </c>
      <c r="J2" s="20">
        <v>1</v>
      </c>
      <c r="K2" s="20">
        <v>0</v>
      </c>
      <c r="L2" s="20">
        <v>1</v>
      </c>
      <c r="M2" s="20">
        <v>1</v>
      </c>
      <c r="N2" s="20">
        <v>0</v>
      </c>
      <c r="O2" s="20">
        <v>1</v>
      </c>
      <c r="P2" s="20">
        <v>1</v>
      </c>
      <c r="Q2" s="20">
        <v>0</v>
      </c>
      <c r="R2" s="21">
        <v>1</v>
      </c>
      <c r="S2" s="22">
        <f>SUM(G2:R2)</f>
        <v>7</v>
      </c>
    </row>
    <row r="3" spans="1:19" x14ac:dyDescent="0.3">
      <c r="A3" t="s">
        <v>100</v>
      </c>
      <c r="B3" t="s">
        <v>101</v>
      </c>
      <c r="C3" t="s">
        <v>103</v>
      </c>
      <c r="D3" t="s">
        <v>102</v>
      </c>
      <c r="E3" s="2" t="s">
        <v>1</v>
      </c>
      <c r="F3" s="2"/>
      <c r="G3" s="19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1">
        <v>0</v>
      </c>
      <c r="S3" s="22">
        <f t="shared" ref="S3:S66" si="0">SUM(G3:R3)</f>
        <v>0</v>
      </c>
    </row>
    <row r="4" spans="1:19" x14ac:dyDescent="0.3">
      <c r="A4" t="s">
        <v>100</v>
      </c>
      <c r="B4" t="s">
        <v>101</v>
      </c>
      <c r="C4" t="s">
        <v>103</v>
      </c>
      <c r="D4" t="s">
        <v>102</v>
      </c>
      <c r="E4" s="2" t="s">
        <v>2</v>
      </c>
      <c r="F4" s="2"/>
      <c r="G4" s="19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1">
        <v>0</v>
      </c>
      <c r="S4" s="22">
        <f t="shared" si="0"/>
        <v>0</v>
      </c>
    </row>
    <row r="5" spans="1:19" x14ac:dyDescent="0.3">
      <c r="A5" t="s">
        <v>100</v>
      </c>
      <c r="B5" t="s">
        <v>101</v>
      </c>
      <c r="C5" t="s">
        <v>103</v>
      </c>
      <c r="D5" t="s">
        <v>102</v>
      </c>
      <c r="E5" s="2" t="s">
        <v>3</v>
      </c>
      <c r="F5" s="2"/>
      <c r="G5" s="19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1">
        <v>0</v>
      </c>
      <c r="S5" s="22">
        <f t="shared" si="0"/>
        <v>0</v>
      </c>
    </row>
    <row r="6" spans="1:19" x14ac:dyDescent="0.3">
      <c r="A6" t="s">
        <v>100</v>
      </c>
      <c r="B6" t="s">
        <v>101</v>
      </c>
      <c r="C6" t="s">
        <v>103</v>
      </c>
      <c r="D6" t="s">
        <v>121</v>
      </c>
      <c r="E6" s="2" t="s">
        <v>4</v>
      </c>
      <c r="F6" s="2"/>
      <c r="G6" s="19">
        <v>1</v>
      </c>
      <c r="H6" s="20">
        <v>1</v>
      </c>
      <c r="I6" s="20">
        <v>3</v>
      </c>
      <c r="J6" s="20">
        <v>2</v>
      </c>
      <c r="K6" s="20">
        <v>2</v>
      </c>
      <c r="L6" s="20">
        <v>3</v>
      </c>
      <c r="M6" s="20">
        <v>2</v>
      </c>
      <c r="N6" s="20">
        <v>2</v>
      </c>
      <c r="O6" s="20">
        <v>2</v>
      </c>
      <c r="P6" s="20">
        <v>2</v>
      </c>
      <c r="Q6" s="20">
        <v>2</v>
      </c>
      <c r="R6" s="21">
        <v>2</v>
      </c>
      <c r="S6" s="22">
        <f t="shared" si="0"/>
        <v>24</v>
      </c>
    </row>
    <row r="7" spans="1:19" x14ac:dyDescent="0.3">
      <c r="A7" t="s">
        <v>100</v>
      </c>
      <c r="B7" t="s">
        <v>101</v>
      </c>
      <c r="C7" t="s">
        <v>103</v>
      </c>
      <c r="D7" t="s">
        <v>121</v>
      </c>
      <c r="E7" s="2" t="s">
        <v>5</v>
      </c>
      <c r="F7" s="2"/>
      <c r="G7" s="19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1">
        <v>0</v>
      </c>
      <c r="S7" s="22">
        <f t="shared" si="0"/>
        <v>0</v>
      </c>
    </row>
    <row r="8" spans="1:19" x14ac:dyDescent="0.3">
      <c r="A8" t="s">
        <v>100</v>
      </c>
      <c r="B8" t="s">
        <v>101</v>
      </c>
      <c r="C8" t="s">
        <v>103</v>
      </c>
      <c r="D8" t="s">
        <v>6</v>
      </c>
      <c r="E8" s="3" t="s">
        <v>104</v>
      </c>
      <c r="F8" s="3"/>
      <c r="G8" s="19">
        <v>9</v>
      </c>
      <c r="H8" s="20">
        <v>5</v>
      </c>
      <c r="I8" s="20">
        <v>8</v>
      </c>
      <c r="J8" s="20">
        <v>8</v>
      </c>
      <c r="K8" s="20">
        <v>12</v>
      </c>
      <c r="L8" s="20">
        <v>12</v>
      </c>
      <c r="M8" s="20">
        <v>8</v>
      </c>
      <c r="N8" s="20">
        <v>10</v>
      </c>
      <c r="O8" s="20">
        <v>12</v>
      </c>
      <c r="P8" s="20">
        <v>6</v>
      </c>
      <c r="Q8" s="20">
        <v>12</v>
      </c>
      <c r="R8" s="21">
        <v>13</v>
      </c>
      <c r="S8" s="22">
        <f t="shared" si="0"/>
        <v>115</v>
      </c>
    </row>
    <row r="9" spans="1:19" x14ac:dyDescent="0.3">
      <c r="A9" t="s">
        <v>100</v>
      </c>
      <c r="B9" t="s">
        <v>101</v>
      </c>
      <c r="C9" t="s">
        <v>103</v>
      </c>
      <c r="D9" t="s">
        <v>6</v>
      </c>
      <c r="E9" s="3" t="s">
        <v>7</v>
      </c>
      <c r="F9" s="3"/>
      <c r="G9" s="19">
        <v>0</v>
      </c>
      <c r="H9" s="20">
        <v>3</v>
      </c>
      <c r="I9" s="20">
        <v>4</v>
      </c>
      <c r="J9" s="20">
        <v>2</v>
      </c>
      <c r="K9" s="20">
        <v>3</v>
      </c>
      <c r="L9" s="20">
        <v>2</v>
      </c>
      <c r="M9" s="20">
        <v>2</v>
      </c>
      <c r="N9" s="20">
        <v>3</v>
      </c>
      <c r="O9" s="20">
        <v>2</v>
      </c>
      <c r="P9" s="20">
        <v>2</v>
      </c>
      <c r="Q9" s="20">
        <v>3</v>
      </c>
      <c r="R9" s="21">
        <v>2</v>
      </c>
      <c r="S9" s="22">
        <f t="shared" si="0"/>
        <v>28</v>
      </c>
    </row>
    <row r="10" spans="1:19" x14ac:dyDescent="0.3">
      <c r="A10" t="s">
        <v>100</v>
      </c>
      <c r="B10" t="s">
        <v>101</v>
      </c>
      <c r="C10" t="s">
        <v>103</v>
      </c>
      <c r="D10" t="s">
        <v>6</v>
      </c>
      <c r="E10" s="3" t="s">
        <v>8</v>
      </c>
      <c r="F10" s="3"/>
      <c r="G10" s="19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1">
        <v>0</v>
      </c>
      <c r="S10" s="22">
        <f t="shared" si="0"/>
        <v>0</v>
      </c>
    </row>
    <row r="11" spans="1:19" x14ac:dyDescent="0.3">
      <c r="A11" t="s">
        <v>100</v>
      </c>
      <c r="B11" t="s">
        <v>101</v>
      </c>
      <c r="C11" t="s">
        <v>103</v>
      </c>
      <c r="D11" t="s">
        <v>6</v>
      </c>
      <c r="E11" s="3" t="s">
        <v>9</v>
      </c>
      <c r="F11" s="3"/>
      <c r="G11" s="19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1">
        <v>0</v>
      </c>
      <c r="S11" s="22">
        <f t="shared" si="0"/>
        <v>0</v>
      </c>
    </row>
    <row r="12" spans="1:19" x14ac:dyDescent="0.3">
      <c r="A12" t="s">
        <v>100</v>
      </c>
      <c r="B12" t="s">
        <v>101</v>
      </c>
      <c r="C12" t="s">
        <v>103</v>
      </c>
      <c r="D12" t="s">
        <v>6</v>
      </c>
      <c r="E12" s="3" t="s">
        <v>10</v>
      </c>
      <c r="F12" s="3"/>
      <c r="G12" s="19">
        <v>3</v>
      </c>
      <c r="H12" s="20">
        <v>8</v>
      </c>
      <c r="I12" s="20">
        <v>11</v>
      </c>
      <c r="J12" s="20">
        <v>8</v>
      </c>
      <c r="K12" s="20">
        <v>8</v>
      </c>
      <c r="L12" s="20">
        <v>8</v>
      </c>
      <c r="M12" s="20">
        <v>9</v>
      </c>
      <c r="N12" s="20">
        <v>8</v>
      </c>
      <c r="O12" s="20">
        <v>9</v>
      </c>
      <c r="P12" s="20">
        <v>10</v>
      </c>
      <c r="Q12" s="20">
        <v>10</v>
      </c>
      <c r="R12" s="21">
        <v>10</v>
      </c>
      <c r="S12" s="22">
        <f t="shared" si="0"/>
        <v>102</v>
      </c>
    </row>
    <row r="13" spans="1:19" x14ac:dyDescent="0.3">
      <c r="A13" t="s">
        <v>100</v>
      </c>
      <c r="B13" t="s">
        <v>101</v>
      </c>
      <c r="C13" t="s">
        <v>103</v>
      </c>
      <c r="D13" t="s">
        <v>6</v>
      </c>
      <c r="E13" s="3" t="s">
        <v>11</v>
      </c>
      <c r="F13" s="3"/>
      <c r="G13" s="19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1">
        <v>0</v>
      </c>
      <c r="S13" s="22">
        <f t="shared" si="0"/>
        <v>0</v>
      </c>
    </row>
    <row r="14" spans="1:19" x14ac:dyDescent="0.3">
      <c r="A14" t="s">
        <v>100</v>
      </c>
      <c r="B14" t="s">
        <v>101</v>
      </c>
      <c r="C14" t="s">
        <v>103</v>
      </c>
      <c r="D14" t="s">
        <v>118</v>
      </c>
      <c r="E14" s="3" t="s">
        <v>12</v>
      </c>
      <c r="F14" s="3"/>
      <c r="G14" s="19">
        <v>0</v>
      </c>
      <c r="H14" s="20">
        <v>2</v>
      </c>
      <c r="I14" s="20">
        <v>5</v>
      </c>
      <c r="J14" s="20">
        <v>3</v>
      </c>
      <c r="K14" s="20">
        <v>3</v>
      </c>
      <c r="L14" s="20">
        <v>4</v>
      </c>
      <c r="M14" s="20">
        <v>3</v>
      </c>
      <c r="N14" s="20">
        <v>3</v>
      </c>
      <c r="O14" s="20">
        <v>5</v>
      </c>
      <c r="P14" s="20">
        <v>3</v>
      </c>
      <c r="Q14" s="20">
        <v>4</v>
      </c>
      <c r="R14" s="21">
        <v>5</v>
      </c>
      <c r="S14" s="22">
        <f t="shared" si="0"/>
        <v>40</v>
      </c>
    </row>
    <row r="15" spans="1:19" x14ac:dyDescent="0.3">
      <c r="A15" t="s">
        <v>100</v>
      </c>
      <c r="B15" t="s">
        <v>110</v>
      </c>
      <c r="C15" t="s">
        <v>103</v>
      </c>
      <c r="D15" t="s">
        <v>105</v>
      </c>
      <c r="E15" s="2" t="s">
        <v>107</v>
      </c>
      <c r="F15" s="2"/>
      <c r="G15" s="19">
        <v>363</v>
      </c>
      <c r="H15" s="20">
        <v>293</v>
      </c>
      <c r="I15" s="20">
        <v>516</v>
      </c>
      <c r="J15" s="20">
        <v>473</v>
      </c>
      <c r="K15" s="20">
        <v>487</v>
      </c>
      <c r="L15" s="20">
        <v>472</v>
      </c>
      <c r="M15" s="20">
        <v>398</v>
      </c>
      <c r="N15" s="20">
        <v>398</v>
      </c>
      <c r="O15" s="20">
        <v>529</v>
      </c>
      <c r="P15" s="20">
        <v>493</v>
      </c>
      <c r="Q15" s="20">
        <v>523</v>
      </c>
      <c r="R15" s="21">
        <v>479</v>
      </c>
      <c r="S15" s="22">
        <f t="shared" si="0"/>
        <v>5424</v>
      </c>
    </row>
    <row r="16" spans="1:19" x14ac:dyDescent="0.3">
      <c r="A16" t="s">
        <v>100</v>
      </c>
      <c r="B16" t="s">
        <v>106</v>
      </c>
      <c r="C16" t="s">
        <v>103</v>
      </c>
      <c r="D16" t="s">
        <v>105</v>
      </c>
      <c r="E16" s="2" t="s">
        <v>13</v>
      </c>
      <c r="F16" s="2"/>
      <c r="G16" s="19">
        <v>159</v>
      </c>
      <c r="H16" s="20">
        <v>128</v>
      </c>
      <c r="I16" s="20">
        <v>225</v>
      </c>
      <c r="J16" s="20">
        <v>207</v>
      </c>
      <c r="K16" s="20">
        <v>213</v>
      </c>
      <c r="L16" s="20">
        <v>206</v>
      </c>
      <c r="M16" s="20">
        <v>174</v>
      </c>
      <c r="N16" s="20">
        <v>174</v>
      </c>
      <c r="O16" s="20">
        <v>231</v>
      </c>
      <c r="P16" s="20">
        <v>215</v>
      </c>
      <c r="Q16" s="20">
        <v>229</v>
      </c>
      <c r="R16" s="21">
        <v>209</v>
      </c>
      <c r="S16" s="22">
        <f t="shared" si="0"/>
        <v>2370</v>
      </c>
    </row>
    <row r="17" spans="1:19" x14ac:dyDescent="0.3">
      <c r="A17" t="s">
        <v>100</v>
      </c>
      <c r="B17" t="s">
        <v>106</v>
      </c>
      <c r="C17" t="s">
        <v>103</v>
      </c>
      <c r="D17" t="s">
        <v>105</v>
      </c>
      <c r="E17" s="2" t="s">
        <v>14</v>
      </c>
      <c r="F17" s="2"/>
      <c r="G17" s="19">
        <v>5</v>
      </c>
      <c r="H17" s="20">
        <v>4</v>
      </c>
      <c r="I17" s="20">
        <v>7</v>
      </c>
      <c r="J17" s="20">
        <v>6</v>
      </c>
      <c r="K17" s="20">
        <v>6</v>
      </c>
      <c r="L17" s="20">
        <v>5</v>
      </c>
      <c r="M17" s="20">
        <v>5</v>
      </c>
      <c r="N17" s="20">
        <v>5</v>
      </c>
      <c r="O17" s="20">
        <v>6</v>
      </c>
      <c r="P17" s="20">
        <v>6</v>
      </c>
      <c r="Q17" s="20">
        <v>7</v>
      </c>
      <c r="R17" s="21">
        <v>6</v>
      </c>
      <c r="S17" s="22">
        <f t="shared" si="0"/>
        <v>68</v>
      </c>
    </row>
    <row r="18" spans="1:19" x14ac:dyDescent="0.3">
      <c r="A18" t="s">
        <v>100</v>
      </c>
      <c r="B18" t="s">
        <v>106</v>
      </c>
      <c r="C18" t="s">
        <v>103</v>
      </c>
      <c r="D18" t="s">
        <v>105</v>
      </c>
      <c r="E18" s="2" t="s">
        <v>15</v>
      </c>
      <c r="F18" s="2"/>
      <c r="G18" s="19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1">
        <v>0</v>
      </c>
      <c r="S18" s="22">
        <f t="shared" si="0"/>
        <v>0</v>
      </c>
    </row>
    <row r="19" spans="1:19" x14ac:dyDescent="0.3">
      <c r="A19" t="s">
        <v>100</v>
      </c>
      <c r="B19" t="s">
        <v>110</v>
      </c>
      <c r="C19" t="s">
        <v>103</v>
      </c>
      <c r="D19" t="s">
        <v>122</v>
      </c>
      <c r="E19" s="2" t="s">
        <v>16</v>
      </c>
      <c r="F19" s="2"/>
      <c r="G19" s="19">
        <v>6315</v>
      </c>
      <c r="H19" s="20">
        <v>4287</v>
      </c>
      <c r="I19" s="20">
        <v>6544</v>
      </c>
      <c r="J19" s="20">
        <v>6380</v>
      </c>
      <c r="K19" s="20">
        <v>6574</v>
      </c>
      <c r="L19" s="20">
        <v>6380</v>
      </c>
      <c r="M19" s="20">
        <v>5572</v>
      </c>
      <c r="N19" s="20">
        <v>5572</v>
      </c>
      <c r="O19" s="20">
        <v>7430</v>
      </c>
      <c r="P19" s="20">
        <v>6912</v>
      </c>
      <c r="Q19" s="20">
        <v>7331</v>
      </c>
      <c r="R19" s="21">
        <v>6703</v>
      </c>
      <c r="S19" s="22">
        <f t="shared" si="0"/>
        <v>76000</v>
      </c>
    </row>
    <row r="20" spans="1:19" x14ac:dyDescent="0.3">
      <c r="A20" t="s">
        <v>100</v>
      </c>
      <c r="B20" t="s">
        <v>110</v>
      </c>
      <c r="C20" t="s">
        <v>103</v>
      </c>
      <c r="D20" t="s">
        <v>122</v>
      </c>
      <c r="E20" s="2" t="s">
        <v>17</v>
      </c>
      <c r="F20" s="2"/>
      <c r="G20" s="19">
        <v>420</v>
      </c>
      <c r="H20" s="20">
        <v>339</v>
      </c>
      <c r="I20" s="20">
        <v>595</v>
      </c>
      <c r="J20" s="20">
        <v>504</v>
      </c>
      <c r="K20" s="20">
        <v>519</v>
      </c>
      <c r="L20" s="20">
        <v>503</v>
      </c>
      <c r="M20" s="20">
        <v>440</v>
      </c>
      <c r="N20" s="20">
        <v>440</v>
      </c>
      <c r="O20" s="20">
        <v>586</v>
      </c>
      <c r="P20" s="20">
        <v>546</v>
      </c>
      <c r="Q20" s="20">
        <v>579</v>
      </c>
      <c r="R20" s="21">
        <v>529</v>
      </c>
      <c r="S20" s="22">
        <f t="shared" si="0"/>
        <v>6000</v>
      </c>
    </row>
    <row r="21" spans="1:19" x14ac:dyDescent="0.3">
      <c r="A21" t="s">
        <v>100</v>
      </c>
      <c r="B21" t="s">
        <v>110</v>
      </c>
      <c r="C21" t="s">
        <v>103</v>
      </c>
      <c r="D21" t="s">
        <v>18</v>
      </c>
      <c r="E21" s="2" t="s">
        <v>19</v>
      </c>
      <c r="F21" s="2"/>
      <c r="G21" s="19">
        <v>34548</v>
      </c>
      <c r="H21" s="20">
        <v>27862</v>
      </c>
      <c r="I21" s="20">
        <v>49036</v>
      </c>
      <c r="J21" s="20">
        <v>41472</v>
      </c>
      <c r="K21" s="20">
        <v>42729</v>
      </c>
      <c r="L21" s="20">
        <v>41473</v>
      </c>
      <c r="M21" s="20">
        <v>36220</v>
      </c>
      <c r="N21" s="20">
        <v>36220</v>
      </c>
      <c r="O21" s="20">
        <v>48294</v>
      </c>
      <c r="P21" s="20">
        <v>44928</v>
      </c>
      <c r="Q21" s="20">
        <v>47651</v>
      </c>
      <c r="R21" s="21">
        <v>43567</v>
      </c>
      <c r="S21" s="22">
        <f t="shared" si="0"/>
        <v>494000</v>
      </c>
    </row>
    <row r="22" spans="1:19" x14ac:dyDescent="0.3">
      <c r="A22" t="s">
        <v>100</v>
      </c>
      <c r="B22" t="s">
        <v>110</v>
      </c>
      <c r="C22" t="s">
        <v>103</v>
      </c>
      <c r="D22" t="s">
        <v>18</v>
      </c>
      <c r="E22" s="2" t="s">
        <v>20</v>
      </c>
      <c r="F22" s="2"/>
      <c r="G22" s="19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1">
        <v>0</v>
      </c>
      <c r="S22" s="22">
        <f t="shared" si="0"/>
        <v>0</v>
      </c>
    </row>
    <row r="23" spans="1:19" x14ac:dyDescent="0.3">
      <c r="A23" t="s">
        <v>100</v>
      </c>
      <c r="B23" t="s">
        <v>110</v>
      </c>
      <c r="C23" t="s">
        <v>103</v>
      </c>
      <c r="D23" t="s">
        <v>18</v>
      </c>
      <c r="E23" s="2" t="s">
        <v>21</v>
      </c>
      <c r="F23" s="2"/>
      <c r="G23" s="19">
        <v>6819</v>
      </c>
      <c r="H23" s="20">
        <v>5499</v>
      </c>
      <c r="I23" s="20">
        <v>9678</v>
      </c>
      <c r="J23" s="20">
        <v>8185</v>
      </c>
      <c r="K23" s="20">
        <v>8433</v>
      </c>
      <c r="L23" s="20">
        <v>8186</v>
      </c>
      <c r="M23" s="20">
        <v>6091</v>
      </c>
      <c r="N23" s="20">
        <v>6091</v>
      </c>
      <c r="O23" s="20">
        <v>8122</v>
      </c>
      <c r="P23" s="20">
        <v>7556</v>
      </c>
      <c r="Q23" s="20">
        <v>8014</v>
      </c>
      <c r="R23" s="21">
        <v>7326</v>
      </c>
      <c r="S23" s="22">
        <f t="shared" si="0"/>
        <v>90000</v>
      </c>
    </row>
    <row r="24" spans="1:19" x14ac:dyDescent="0.3">
      <c r="A24" t="s">
        <v>100</v>
      </c>
      <c r="B24" t="s">
        <v>110</v>
      </c>
      <c r="C24" t="s">
        <v>103</v>
      </c>
      <c r="D24" t="s">
        <v>18</v>
      </c>
      <c r="E24" s="2" t="s">
        <v>22</v>
      </c>
      <c r="F24" s="2"/>
      <c r="G24" s="19">
        <v>2743</v>
      </c>
      <c r="H24" s="20">
        <v>2212</v>
      </c>
      <c r="I24" s="20">
        <v>3893</v>
      </c>
      <c r="J24" s="20">
        <v>3293</v>
      </c>
      <c r="K24" s="20">
        <v>3393</v>
      </c>
      <c r="L24" s="20">
        <v>3292</v>
      </c>
      <c r="M24" s="20">
        <v>2876</v>
      </c>
      <c r="N24" s="20">
        <v>2876</v>
      </c>
      <c r="O24" s="20">
        <v>3834</v>
      </c>
      <c r="P24" s="20">
        <v>3567</v>
      </c>
      <c r="Q24" s="20">
        <v>3783</v>
      </c>
      <c r="R24" s="21">
        <v>3459.8407000000002</v>
      </c>
      <c r="S24" s="22">
        <f t="shared" si="0"/>
        <v>39221.840700000001</v>
      </c>
    </row>
    <row r="25" spans="1:19" x14ac:dyDescent="0.3">
      <c r="A25" t="s">
        <v>100</v>
      </c>
      <c r="B25" t="s">
        <v>110</v>
      </c>
      <c r="C25" t="s">
        <v>103</v>
      </c>
      <c r="D25" t="s">
        <v>18</v>
      </c>
      <c r="E25" s="2" t="s">
        <v>23</v>
      </c>
      <c r="F25" s="2"/>
      <c r="G25" s="19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1">
        <v>0</v>
      </c>
      <c r="S25" s="22">
        <f t="shared" si="0"/>
        <v>0</v>
      </c>
    </row>
    <row r="26" spans="1:19" x14ac:dyDescent="0.3">
      <c r="A26" t="s">
        <v>100</v>
      </c>
      <c r="B26" t="s">
        <v>110</v>
      </c>
      <c r="C26" t="s">
        <v>103</v>
      </c>
      <c r="D26" t="s">
        <v>18</v>
      </c>
      <c r="E26" s="2" t="s">
        <v>108</v>
      </c>
      <c r="F26" s="2"/>
      <c r="G26" s="19">
        <v>1023</v>
      </c>
      <c r="H26" s="20">
        <v>825</v>
      </c>
      <c r="I26" s="20">
        <v>1451</v>
      </c>
      <c r="J26" s="20">
        <v>1228</v>
      </c>
      <c r="K26" s="20">
        <v>1265</v>
      </c>
      <c r="L26" s="20">
        <v>1227</v>
      </c>
      <c r="M26" s="20">
        <v>1072</v>
      </c>
      <c r="N26" s="20">
        <v>1072</v>
      </c>
      <c r="O26" s="20">
        <v>1430</v>
      </c>
      <c r="P26" s="20">
        <v>1330</v>
      </c>
      <c r="Q26" s="20">
        <v>1411</v>
      </c>
      <c r="R26" s="21">
        <v>1289</v>
      </c>
      <c r="S26" s="22">
        <f t="shared" si="0"/>
        <v>14623</v>
      </c>
    </row>
    <row r="27" spans="1:19" x14ac:dyDescent="0.3">
      <c r="A27" t="s">
        <v>100</v>
      </c>
      <c r="B27" t="s">
        <v>110</v>
      </c>
      <c r="C27" t="s">
        <v>103</v>
      </c>
      <c r="D27" t="s">
        <v>24</v>
      </c>
      <c r="E27" s="2" t="s">
        <v>25</v>
      </c>
      <c r="F27" s="2"/>
      <c r="G27" s="19">
        <v>718</v>
      </c>
      <c r="H27" s="20">
        <v>579</v>
      </c>
      <c r="I27" s="20">
        <v>1020</v>
      </c>
      <c r="J27" s="20">
        <v>862</v>
      </c>
      <c r="K27" s="20">
        <v>888</v>
      </c>
      <c r="L27" s="20">
        <v>863</v>
      </c>
      <c r="M27" s="20">
        <v>753</v>
      </c>
      <c r="N27" s="20">
        <v>753</v>
      </c>
      <c r="O27" s="20">
        <v>1004</v>
      </c>
      <c r="P27" s="20">
        <v>934</v>
      </c>
      <c r="Q27" s="20">
        <v>991</v>
      </c>
      <c r="R27" s="21">
        <v>905.8</v>
      </c>
      <c r="S27" s="22">
        <f t="shared" si="0"/>
        <v>10270.799999999999</v>
      </c>
    </row>
    <row r="28" spans="1:19" x14ac:dyDescent="0.3">
      <c r="A28" t="s">
        <v>100</v>
      </c>
      <c r="B28" t="s">
        <v>110</v>
      </c>
      <c r="C28" t="s">
        <v>103</v>
      </c>
      <c r="D28" t="s">
        <v>24</v>
      </c>
      <c r="E28" s="2" t="s">
        <v>109</v>
      </c>
      <c r="F28" s="2"/>
      <c r="G28" s="19">
        <v>10</v>
      </c>
      <c r="H28" s="20">
        <v>8</v>
      </c>
      <c r="I28" s="20">
        <v>13</v>
      </c>
      <c r="J28" s="20">
        <v>11</v>
      </c>
      <c r="K28" s="20">
        <v>12</v>
      </c>
      <c r="L28" s="20">
        <v>11</v>
      </c>
      <c r="M28" s="20">
        <v>10</v>
      </c>
      <c r="N28" s="20">
        <v>10</v>
      </c>
      <c r="O28" s="20">
        <v>13</v>
      </c>
      <c r="P28" s="20">
        <v>12</v>
      </c>
      <c r="Q28" s="20">
        <v>13</v>
      </c>
      <c r="R28" s="21">
        <v>12</v>
      </c>
      <c r="S28" s="22">
        <f t="shared" si="0"/>
        <v>135</v>
      </c>
    </row>
    <row r="29" spans="1:19" x14ac:dyDescent="0.3">
      <c r="A29" t="s">
        <v>100</v>
      </c>
      <c r="B29" t="s">
        <v>110</v>
      </c>
      <c r="C29" t="s">
        <v>103</v>
      </c>
      <c r="D29" t="s">
        <v>24</v>
      </c>
      <c r="E29" s="4" t="s">
        <v>26</v>
      </c>
      <c r="F29" s="4"/>
      <c r="G29" s="19">
        <v>196</v>
      </c>
      <c r="H29" s="20">
        <v>158</v>
      </c>
      <c r="I29" s="20">
        <v>278</v>
      </c>
      <c r="J29" s="20">
        <v>235</v>
      </c>
      <c r="K29" s="20">
        <v>242</v>
      </c>
      <c r="L29" s="20">
        <v>235</v>
      </c>
      <c r="M29" s="20">
        <v>205</v>
      </c>
      <c r="N29" s="20">
        <v>205</v>
      </c>
      <c r="O29" s="20">
        <v>274</v>
      </c>
      <c r="P29" s="20">
        <v>255</v>
      </c>
      <c r="Q29" s="20">
        <v>270</v>
      </c>
      <c r="R29" s="21">
        <v>247</v>
      </c>
      <c r="S29" s="22">
        <f t="shared" si="0"/>
        <v>2800</v>
      </c>
    </row>
    <row r="30" spans="1:19" x14ac:dyDescent="0.3">
      <c r="A30" t="s">
        <v>100</v>
      </c>
      <c r="B30" t="s">
        <v>110</v>
      </c>
      <c r="C30" t="s">
        <v>103</v>
      </c>
      <c r="D30" t="s">
        <v>24</v>
      </c>
      <c r="E30" s="2" t="s">
        <v>27</v>
      </c>
      <c r="F30" s="2"/>
      <c r="G30" s="19">
        <v>1609</v>
      </c>
      <c r="H30" s="20">
        <v>1297</v>
      </c>
      <c r="I30" s="20">
        <v>2283</v>
      </c>
      <c r="J30" s="20">
        <v>1931</v>
      </c>
      <c r="K30" s="20">
        <v>1989</v>
      </c>
      <c r="L30" s="20">
        <v>1931</v>
      </c>
      <c r="M30" s="20">
        <v>1686</v>
      </c>
      <c r="N30" s="20">
        <v>1686</v>
      </c>
      <c r="O30" s="20">
        <v>2249</v>
      </c>
      <c r="P30" s="20">
        <v>2092</v>
      </c>
      <c r="Q30" s="20">
        <v>2219</v>
      </c>
      <c r="R30" s="21">
        <v>2028</v>
      </c>
      <c r="S30" s="22">
        <f t="shared" si="0"/>
        <v>23000</v>
      </c>
    </row>
    <row r="31" spans="1:19" x14ac:dyDescent="0.3">
      <c r="A31" t="s">
        <v>100</v>
      </c>
      <c r="B31" t="s">
        <v>110</v>
      </c>
      <c r="C31" t="s">
        <v>103</v>
      </c>
      <c r="D31" t="s">
        <v>24</v>
      </c>
      <c r="E31" s="2" t="s">
        <v>28</v>
      </c>
      <c r="F31" s="2"/>
      <c r="G31" s="19">
        <v>3637</v>
      </c>
      <c r="H31" s="20">
        <v>2933</v>
      </c>
      <c r="I31" s="20">
        <v>5161</v>
      </c>
      <c r="J31" s="20">
        <v>4366</v>
      </c>
      <c r="K31" s="20">
        <v>4498</v>
      </c>
      <c r="L31" s="20">
        <v>4365</v>
      </c>
      <c r="M31" s="20">
        <v>3813</v>
      </c>
      <c r="N31" s="20">
        <v>3813</v>
      </c>
      <c r="O31" s="20">
        <v>5083</v>
      </c>
      <c r="P31" s="20">
        <v>4729</v>
      </c>
      <c r="Q31" s="20">
        <v>5016</v>
      </c>
      <c r="R31" s="21">
        <v>4586</v>
      </c>
      <c r="S31" s="22">
        <f t="shared" si="0"/>
        <v>52000</v>
      </c>
    </row>
    <row r="32" spans="1:19" x14ac:dyDescent="0.3">
      <c r="A32" t="s">
        <v>100</v>
      </c>
      <c r="B32" t="s">
        <v>110</v>
      </c>
      <c r="C32" t="s">
        <v>103</v>
      </c>
      <c r="D32" t="s">
        <v>123</v>
      </c>
      <c r="E32" s="5" t="s">
        <v>29</v>
      </c>
      <c r="F32" s="5"/>
      <c r="G32" s="19">
        <v>32660</v>
      </c>
      <c r="H32" s="20">
        <v>26339</v>
      </c>
      <c r="I32" s="20">
        <v>46356</v>
      </c>
      <c r="J32" s="20">
        <v>39206</v>
      </c>
      <c r="K32" s="20">
        <v>40394</v>
      </c>
      <c r="L32" s="20">
        <v>39205</v>
      </c>
      <c r="M32" s="20">
        <v>34241</v>
      </c>
      <c r="N32" s="20">
        <v>34241</v>
      </c>
      <c r="O32" s="20">
        <v>45653</v>
      </c>
      <c r="P32" s="20">
        <v>42473</v>
      </c>
      <c r="Q32" s="20">
        <v>45047</v>
      </c>
      <c r="R32" s="21">
        <v>41185</v>
      </c>
      <c r="S32" s="22">
        <f t="shared" si="0"/>
        <v>467000</v>
      </c>
    </row>
    <row r="33" spans="1:19" x14ac:dyDescent="0.3">
      <c r="A33" t="s">
        <v>100</v>
      </c>
      <c r="B33" t="s">
        <v>110</v>
      </c>
      <c r="C33" t="s">
        <v>103</v>
      </c>
      <c r="D33" t="s">
        <v>123</v>
      </c>
      <c r="E33" s="5" t="s">
        <v>30</v>
      </c>
      <c r="F33" s="5"/>
      <c r="G33" s="19">
        <v>129</v>
      </c>
      <c r="H33" s="20">
        <v>104</v>
      </c>
      <c r="I33" s="20">
        <v>184</v>
      </c>
      <c r="J33" s="20">
        <v>155</v>
      </c>
      <c r="K33" s="20">
        <v>160</v>
      </c>
      <c r="L33" s="20">
        <v>156</v>
      </c>
      <c r="M33" s="20">
        <v>136</v>
      </c>
      <c r="N33" s="20">
        <v>136</v>
      </c>
      <c r="O33" s="20">
        <v>180</v>
      </c>
      <c r="P33" s="20">
        <v>168</v>
      </c>
      <c r="Q33" s="20">
        <v>179</v>
      </c>
      <c r="R33" s="21">
        <v>163</v>
      </c>
      <c r="S33" s="22">
        <f t="shared" si="0"/>
        <v>1850</v>
      </c>
    </row>
    <row r="34" spans="1:19" x14ac:dyDescent="0.3">
      <c r="A34" t="s">
        <v>100</v>
      </c>
      <c r="B34" t="s">
        <v>110</v>
      </c>
      <c r="C34" t="s">
        <v>103</v>
      </c>
      <c r="D34" t="s">
        <v>124</v>
      </c>
      <c r="E34" s="4" t="s">
        <v>31</v>
      </c>
      <c r="F34" s="4"/>
      <c r="G34" s="19">
        <v>17047</v>
      </c>
      <c r="H34" s="20">
        <v>13748</v>
      </c>
      <c r="I34" s="20">
        <v>24195</v>
      </c>
      <c r="J34" s="20">
        <v>20463</v>
      </c>
      <c r="K34" s="20">
        <v>21083</v>
      </c>
      <c r="L34" s="20">
        <v>20464</v>
      </c>
      <c r="M34" s="20">
        <v>20163</v>
      </c>
      <c r="N34" s="20">
        <v>20163</v>
      </c>
      <c r="O34" s="20">
        <v>26884</v>
      </c>
      <c r="P34" s="20">
        <v>25011</v>
      </c>
      <c r="Q34" s="20">
        <v>26527</v>
      </c>
      <c r="R34" s="21">
        <v>24252</v>
      </c>
      <c r="S34" s="22">
        <f t="shared" si="0"/>
        <v>260000</v>
      </c>
    </row>
    <row r="35" spans="1:19" x14ac:dyDescent="0.3">
      <c r="A35" t="s">
        <v>100</v>
      </c>
      <c r="B35" t="s">
        <v>125</v>
      </c>
      <c r="C35" t="s">
        <v>103</v>
      </c>
      <c r="D35" t="s">
        <v>126</v>
      </c>
      <c r="E35" s="4" t="s">
        <v>32</v>
      </c>
      <c r="F35" s="4"/>
      <c r="G35" s="19">
        <v>0</v>
      </c>
      <c r="H35" s="20">
        <v>0</v>
      </c>
      <c r="I35" s="20">
        <v>0</v>
      </c>
      <c r="J35" s="20">
        <v>10000</v>
      </c>
      <c r="K35" s="20">
        <v>10000</v>
      </c>
      <c r="L35" s="20">
        <v>10000</v>
      </c>
      <c r="M35" s="20">
        <v>10000</v>
      </c>
      <c r="N35" s="20">
        <v>10000</v>
      </c>
      <c r="O35" s="20">
        <v>10000</v>
      </c>
      <c r="P35" s="20">
        <v>10000</v>
      </c>
      <c r="Q35" s="20">
        <v>10000</v>
      </c>
      <c r="R35" s="21">
        <v>20000</v>
      </c>
      <c r="S35" s="22">
        <f t="shared" si="0"/>
        <v>100000</v>
      </c>
    </row>
    <row r="36" spans="1:19" x14ac:dyDescent="0.3">
      <c r="A36" t="s">
        <v>100</v>
      </c>
      <c r="B36" t="s">
        <v>125</v>
      </c>
      <c r="C36" t="s">
        <v>103</v>
      </c>
      <c r="D36" t="s">
        <v>126</v>
      </c>
      <c r="E36" s="4" t="s">
        <v>33</v>
      </c>
      <c r="F36" s="4"/>
      <c r="G36" s="19">
        <v>0</v>
      </c>
      <c r="H36" s="20">
        <v>0</v>
      </c>
      <c r="I36" s="20">
        <v>0</v>
      </c>
      <c r="J36" s="20">
        <v>8000</v>
      </c>
      <c r="K36" s="20">
        <v>8000</v>
      </c>
      <c r="L36" s="20">
        <v>8000</v>
      </c>
      <c r="M36" s="20">
        <v>8000</v>
      </c>
      <c r="N36" s="20">
        <v>8000</v>
      </c>
      <c r="O36" s="20">
        <v>8000</v>
      </c>
      <c r="P36" s="20">
        <v>8000</v>
      </c>
      <c r="Q36" s="20">
        <v>8000</v>
      </c>
      <c r="R36" s="21">
        <v>8000</v>
      </c>
      <c r="S36" s="22">
        <f t="shared" si="0"/>
        <v>72000</v>
      </c>
    </row>
    <row r="37" spans="1:19" x14ac:dyDescent="0.3">
      <c r="A37" t="s">
        <v>100</v>
      </c>
      <c r="B37" t="s">
        <v>125</v>
      </c>
      <c r="C37" t="s">
        <v>103</v>
      </c>
      <c r="D37" t="s">
        <v>127</v>
      </c>
      <c r="E37" s="3" t="s">
        <v>34</v>
      </c>
      <c r="F37" s="3"/>
      <c r="G37" s="19">
        <v>2448</v>
      </c>
      <c r="H37" s="20">
        <v>1974</v>
      </c>
      <c r="I37" s="20">
        <v>3474</v>
      </c>
      <c r="J37" s="20">
        <v>2938</v>
      </c>
      <c r="K37" s="20">
        <v>3027</v>
      </c>
      <c r="L37" s="20">
        <v>2939</v>
      </c>
      <c r="M37" s="20">
        <v>2566</v>
      </c>
      <c r="N37" s="20">
        <v>2566</v>
      </c>
      <c r="O37" s="20">
        <v>3422</v>
      </c>
      <c r="P37" s="20">
        <v>3183</v>
      </c>
      <c r="Q37" s="20">
        <v>3376</v>
      </c>
      <c r="R37" s="21">
        <v>3087</v>
      </c>
      <c r="S37" s="22">
        <f t="shared" si="0"/>
        <v>35000</v>
      </c>
    </row>
    <row r="38" spans="1:19" x14ac:dyDescent="0.3">
      <c r="A38" t="s">
        <v>100</v>
      </c>
      <c r="B38" t="s">
        <v>106</v>
      </c>
      <c r="C38" t="s">
        <v>103</v>
      </c>
      <c r="D38" t="s">
        <v>128</v>
      </c>
      <c r="E38" s="5" t="s">
        <v>35</v>
      </c>
      <c r="F38" s="5"/>
      <c r="G38" s="19">
        <v>42025</v>
      </c>
      <c r="H38" s="20">
        <v>33891</v>
      </c>
      <c r="I38" s="20">
        <v>59649</v>
      </c>
      <c r="J38" s="20">
        <v>50448</v>
      </c>
      <c r="K38" s="20">
        <v>51976</v>
      </c>
      <c r="L38" s="20">
        <v>50448</v>
      </c>
      <c r="M38" s="20">
        <v>44059</v>
      </c>
      <c r="N38" s="20">
        <v>44059</v>
      </c>
      <c r="O38" s="20">
        <v>58744</v>
      </c>
      <c r="P38" s="20">
        <v>54651</v>
      </c>
      <c r="Q38" s="20">
        <v>57964</v>
      </c>
      <c r="R38" s="21">
        <v>52995.429732600001</v>
      </c>
      <c r="S38" s="22">
        <f t="shared" si="0"/>
        <v>600909.42973259999</v>
      </c>
    </row>
    <row r="39" spans="1:19" x14ac:dyDescent="0.3">
      <c r="A39" t="s">
        <v>100</v>
      </c>
      <c r="B39" t="s">
        <v>129</v>
      </c>
      <c r="C39" t="s">
        <v>103</v>
      </c>
      <c r="D39" t="s">
        <v>128</v>
      </c>
      <c r="E39" s="5" t="s">
        <v>36</v>
      </c>
      <c r="F39" s="5"/>
      <c r="G39" s="19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1">
        <v>0</v>
      </c>
      <c r="S39" s="22">
        <f t="shared" si="0"/>
        <v>0</v>
      </c>
    </row>
    <row r="40" spans="1:19" x14ac:dyDescent="0.3">
      <c r="A40" t="s">
        <v>100</v>
      </c>
      <c r="B40" t="s">
        <v>111</v>
      </c>
      <c r="C40" t="s">
        <v>103</v>
      </c>
      <c r="D40" t="s">
        <v>128</v>
      </c>
      <c r="E40" s="5" t="s">
        <v>37</v>
      </c>
      <c r="F40" s="5"/>
      <c r="G40" s="19">
        <v>22348</v>
      </c>
      <c r="H40" s="20">
        <v>22761</v>
      </c>
      <c r="I40" s="20">
        <v>34727</v>
      </c>
      <c r="J40" s="20">
        <v>28887</v>
      </c>
      <c r="K40" s="20">
        <v>29762</v>
      </c>
      <c r="L40" s="20">
        <v>28890</v>
      </c>
      <c r="M40" s="20">
        <v>25280</v>
      </c>
      <c r="N40" s="20">
        <v>25280</v>
      </c>
      <c r="O40" s="20">
        <v>33707</v>
      </c>
      <c r="P40" s="20">
        <v>31757</v>
      </c>
      <c r="Q40" s="20">
        <v>33683</v>
      </c>
      <c r="R40" s="21">
        <v>30797</v>
      </c>
      <c r="S40" s="22">
        <f t="shared" si="0"/>
        <v>347879</v>
      </c>
    </row>
    <row r="41" spans="1:19" x14ac:dyDescent="0.3">
      <c r="A41" t="s">
        <v>100</v>
      </c>
      <c r="B41" t="s">
        <v>111</v>
      </c>
      <c r="C41" t="s">
        <v>103</v>
      </c>
      <c r="D41" t="s">
        <v>38</v>
      </c>
      <c r="E41" s="6" t="s">
        <v>39</v>
      </c>
      <c r="F41" s="6"/>
      <c r="G41" s="19">
        <v>1851</v>
      </c>
      <c r="H41" s="20">
        <v>2396</v>
      </c>
      <c r="I41" s="20">
        <v>3338</v>
      </c>
      <c r="J41" s="20">
        <v>2714</v>
      </c>
      <c r="K41" s="20">
        <v>2796</v>
      </c>
      <c r="L41" s="20">
        <v>2714</v>
      </c>
      <c r="M41" s="20">
        <v>2351</v>
      </c>
      <c r="N41" s="20">
        <v>2351</v>
      </c>
      <c r="O41" s="20">
        <v>3135</v>
      </c>
      <c r="P41" s="20">
        <v>2840</v>
      </c>
      <c r="Q41" s="20">
        <v>3012</v>
      </c>
      <c r="R41" s="21">
        <v>2753</v>
      </c>
      <c r="S41" s="22">
        <f t="shared" si="0"/>
        <v>32251</v>
      </c>
    </row>
    <row r="42" spans="1:19" x14ac:dyDescent="0.3">
      <c r="A42" t="s">
        <v>100</v>
      </c>
      <c r="B42" t="s">
        <v>111</v>
      </c>
      <c r="C42" t="s">
        <v>103</v>
      </c>
      <c r="D42" t="s">
        <v>38</v>
      </c>
      <c r="E42" s="6" t="s">
        <v>40</v>
      </c>
      <c r="F42" s="6"/>
      <c r="G42" s="19">
        <v>78</v>
      </c>
      <c r="H42" s="20">
        <v>63</v>
      </c>
      <c r="I42" s="20">
        <v>109</v>
      </c>
      <c r="J42" s="20">
        <v>89</v>
      </c>
      <c r="K42" s="20">
        <v>92</v>
      </c>
      <c r="L42" s="20">
        <v>90</v>
      </c>
      <c r="M42" s="20">
        <v>77</v>
      </c>
      <c r="N42" s="20">
        <v>77</v>
      </c>
      <c r="O42" s="20">
        <v>104</v>
      </c>
      <c r="P42" s="20">
        <v>93</v>
      </c>
      <c r="Q42" s="20">
        <v>99</v>
      </c>
      <c r="R42" s="21">
        <v>91</v>
      </c>
      <c r="S42" s="22">
        <f t="shared" si="0"/>
        <v>1062</v>
      </c>
    </row>
    <row r="43" spans="1:19" x14ac:dyDescent="0.3">
      <c r="A43" t="s">
        <v>100</v>
      </c>
      <c r="B43" t="s">
        <v>111</v>
      </c>
      <c r="C43" t="s">
        <v>103</v>
      </c>
      <c r="D43" t="s">
        <v>38</v>
      </c>
      <c r="E43" s="6" t="s">
        <v>41</v>
      </c>
      <c r="F43" s="6"/>
      <c r="G43" s="19">
        <v>17</v>
      </c>
      <c r="H43" s="20">
        <v>14</v>
      </c>
      <c r="I43" s="20">
        <v>25</v>
      </c>
      <c r="J43" s="20">
        <v>20</v>
      </c>
      <c r="K43" s="20">
        <v>20</v>
      </c>
      <c r="L43" s="20">
        <v>20</v>
      </c>
      <c r="M43" s="20">
        <v>17</v>
      </c>
      <c r="N43" s="20">
        <v>17</v>
      </c>
      <c r="O43" s="20">
        <v>24</v>
      </c>
      <c r="P43" s="20">
        <v>21</v>
      </c>
      <c r="Q43" s="20">
        <v>22</v>
      </c>
      <c r="R43" s="21">
        <v>20</v>
      </c>
      <c r="S43" s="22">
        <f t="shared" si="0"/>
        <v>237</v>
      </c>
    </row>
    <row r="44" spans="1:19" x14ac:dyDescent="0.3">
      <c r="A44" t="s">
        <v>100</v>
      </c>
      <c r="B44" t="s">
        <v>111</v>
      </c>
      <c r="C44" t="s">
        <v>103</v>
      </c>
      <c r="D44" t="s">
        <v>38</v>
      </c>
      <c r="E44" s="6" t="s">
        <v>112</v>
      </c>
      <c r="F44" s="6"/>
      <c r="G44" s="19">
        <v>501</v>
      </c>
      <c r="H44" s="20">
        <v>227</v>
      </c>
      <c r="I44" s="20">
        <v>180</v>
      </c>
      <c r="J44" s="20">
        <v>325</v>
      </c>
      <c r="K44" s="20">
        <v>335</v>
      </c>
      <c r="L44" s="20">
        <v>325</v>
      </c>
      <c r="M44" s="20">
        <v>281</v>
      </c>
      <c r="N44" s="20">
        <v>281</v>
      </c>
      <c r="O44" s="20">
        <v>376</v>
      </c>
      <c r="P44" s="20">
        <v>340</v>
      </c>
      <c r="Q44" s="20">
        <v>361</v>
      </c>
      <c r="R44" s="21">
        <v>329</v>
      </c>
      <c r="S44" s="22">
        <f t="shared" si="0"/>
        <v>3861</v>
      </c>
    </row>
    <row r="45" spans="1:19" x14ac:dyDescent="0.3">
      <c r="A45" t="s">
        <v>100</v>
      </c>
      <c r="B45" t="s">
        <v>111</v>
      </c>
      <c r="C45" t="s">
        <v>103</v>
      </c>
      <c r="D45" t="s">
        <v>38</v>
      </c>
      <c r="E45" s="6" t="s">
        <v>42</v>
      </c>
      <c r="F45" s="6"/>
      <c r="G45" s="19">
        <v>6189</v>
      </c>
      <c r="H45" s="20">
        <v>11314</v>
      </c>
      <c r="I45" s="20">
        <v>13751</v>
      </c>
      <c r="J45" s="20">
        <v>11173</v>
      </c>
      <c r="K45" s="20">
        <v>11512</v>
      </c>
      <c r="L45" s="20">
        <v>11173</v>
      </c>
      <c r="M45" s="20">
        <v>10064</v>
      </c>
      <c r="N45" s="20">
        <v>10064</v>
      </c>
      <c r="O45" s="20">
        <v>13420</v>
      </c>
      <c r="P45" s="20">
        <v>12996</v>
      </c>
      <c r="Q45" s="20">
        <v>13784</v>
      </c>
      <c r="R45" s="21">
        <v>12603</v>
      </c>
      <c r="S45" s="22">
        <f t="shared" si="0"/>
        <v>138043</v>
      </c>
    </row>
    <row r="46" spans="1:19" x14ac:dyDescent="0.3">
      <c r="A46" t="s">
        <v>100</v>
      </c>
      <c r="B46" t="s">
        <v>111</v>
      </c>
      <c r="C46" t="s">
        <v>103</v>
      </c>
      <c r="D46" t="s">
        <v>38</v>
      </c>
      <c r="E46" s="6" t="s">
        <v>43</v>
      </c>
      <c r="F46" s="6"/>
      <c r="G46" s="19">
        <v>978</v>
      </c>
      <c r="H46" s="20">
        <v>507</v>
      </c>
      <c r="I46" s="20">
        <v>542</v>
      </c>
      <c r="J46" s="20">
        <v>724</v>
      </c>
      <c r="K46" s="20">
        <v>746</v>
      </c>
      <c r="L46" s="20">
        <v>725</v>
      </c>
      <c r="M46" s="20">
        <v>653</v>
      </c>
      <c r="N46" s="20">
        <v>653</v>
      </c>
      <c r="O46" s="20">
        <v>869</v>
      </c>
      <c r="P46" s="20">
        <v>843</v>
      </c>
      <c r="Q46" s="20">
        <v>894</v>
      </c>
      <c r="R46" s="21">
        <v>817</v>
      </c>
      <c r="S46" s="22">
        <f t="shared" si="0"/>
        <v>8951</v>
      </c>
    </row>
    <row r="47" spans="1:19" x14ac:dyDescent="0.3">
      <c r="A47" t="s">
        <v>100</v>
      </c>
      <c r="B47" t="s">
        <v>111</v>
      </c>
      <c r="C47" t="s">
        <v>103</v>
      </c>
      <c r="D47" t="s">
        <v>38</v>
      </c>
      <c r="E47" s="6" t="s">
        <v>44</v>
      </c>
      <c r="F47" s="6"/>
      <c r="G47" s="19">
        <v>3476</v>
      </c>
      <c r="H47" s="20">
        <v>2804</v>
      </c>
      <c r="I47" s="20">
        <v>4934</v>
      </c>
      <c r="J47" s="20">
        <v>3982</v>
      </c>
      <c r="K47" s="20">
        <v>4103</v>
      </c>
      <c r="L47" s="20">
        <v>3983</v>
      </c>
      <c r="M47" s="20">
        <v>3615</v>
      </c>
      <c r="N47" s="20">
        <v>3615</v>
      </c>
      <c r="O47" s="20">
        <v>4821</v>
      </c>
      <c r="P47" s="20">
        <v>4543</v>
      </c>
      <c r="Q47" s="20">
        <v>4819</v>
      </c>
      <c r="R47" s="21">
        <v>4406</v>
      </c>
      <c r="S47" s="22">
        <f t="shared" si="0"/>
        <v>49101</v>
      </c>
    </row>
    <row r="48" spans="1:19" x14ac:dyDescent="0.3">
      <c r="A48" t="s">
        <v>100</v>
      </c>
      <c r="B48" t="s">
        <v>111</v>
      </c>
      <c r="C48" t="s">
        <v>103</v>
      </c>
      <c r="D48" t="s">
        <v>38</v>
      </c>
      <c r="E48" s="7" t="s">
        <v>113</v>
      </c>
      <c r="F48" s="7"/>
      <c r="G48" s="19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1">
        <v>0</v>
      </c>
      <c r="S48" s="22">
        <f t="shared" si="0"/>
        <v>0</v>
      </c>
    </row>
    <row r="49" spans="1:19" x14ac:dyDescent="0.3">
      <c r="A49" t="s">
        <v>100</v>
      </c>
      <c r="B49" t="s">
        <v>111</v>
      </c>
      <c r="C49" t="s">
        <v>103</v>
      </c>
      <c r="D49" t="s">
        <v>38</v>
      </c>
      <c r="E49" s="7" t="s">
        <v>45</v>
      </c>
      <c r="F49" s="7"/>
      <c r="G49" s="19">
        <v>443</v>
      </c>
      <c r="H49" s="20">
        <v>357</v>
      </c>
      <c r="I49" s="20">
        <v>628</v>
      </c>
      <c r="J49" s="20">
        <v>507</v>
      </c>
      <c r="K49" s="20">
        <v>523</v>
      </c>
      <c r="L49" s="20">
        <v>507</v>
      </c>
      <c r="M49" s="20">
        <v>461</v>
      </c>
      <c r="N49" s="20">
        <v>461</v>
      </c>
      <c r="O49" s="20">
        <v>613</v>
      </c>
      <c r="P49" s="20">
        <v>578</v>
      </c>
      <c r="Q49" s="20">
        <v>614</v>
      </c>
      <c r="R49" s="21">
        <v>561</v>
      </c>
      <c r="S49" s="22">
        <f t="shared" si="0"/>
        <v>6253</v>
      </c>
    </row>
    <row r="50" spans="1:19" x14ac:dyDescent="0.3">
      <c r="A50" t="s">
        <v>100</v>
      </c>
      <c r="B50" t="s">
        <v>111</v>
      </c>
      <c r="C50" t="s">
        <v>103</v>
      </c>
      <c r="D50" t="s">
        <v>38</v>
      </c>
      <c r="E50" s="7" t="s">
        <v>114</v>
      </c>
      <c r="F50" s="7"/>
      <c r="G50" s="19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1">
        <v>0</v>
      </c>
      <c r="S50" s="22">
        <f t="shared" si="0"/>
        <v>0</v>
      </c>
    </row>
    <row r="51" spans="1:19" x14ac:dyDescent="0.3">
      <c r="A51" t="s">
        <v>100</v>
      </c>
      <c r="B51" t="s">
        <v>111</v>
      </c>
      <c r="C51" t="s">
        <v>103</v>
      </c>
      <c r="D51" t="s">
        <v>38</v>
      </c>
      <c r="E51" s="7" t="s">
        <v>46</v>
      </c>
      <c r="F51" s="7"/>
      <c r="G51" s="19">
        <v>3115</v>
      </c>
      <c r="H51" s="20">
        <v>2512</v>
      </c>
      <c r="I51" s="20">
        <v>4421</v>
      </c>
      <c r="J51" s="20">
        <v>3490</v>
      </c>
      <c r="K51" s="20">
        <v>3596</v>
      </c>
      <c r="L51" s="20">
        <v>3491</v>
      </c>
      <c r="M51" s="20">
        <v>3260</v>
      </c>
      <c r="N51" s="20">
        <v>3260</v>
      </c>
      <c r="O51" s="20">
        <v>4346</v>
      </c>
      <c r="P51" s="20">
        <v>4115</v>
      </c>
      <c r="Q51" s="20">
        <v>4365</v>
      </c>
      <c r="R51" s="21">
        <v>3991</v>
      </c>
      <c r="S51" s="22">
        <f t="shared" si="0"/>
        <v>43962</v>
      </c>
    </row>
    <row r="52" spans="1:19" x14ac:dyDescent="0.3">
      <c r="A52" t="s">
        <v>100</v>
      </c>
      <c r="B52" t="s">
        <v>111</v>
      </c>
      <c r="C52" t="s">
        <v>103</v>
      </c>
      <c r="D52" t="s">
        <v>38</v>
      </c>
      <c r="E52" s="7" t="s">
        <v>115</v>
      </c>
      <c r="F52" s="7"/>
      <c r="G52" s="19">
        <v>164</v>
      </c>
      <c r="H52" s="20">
        <v>133</v>
      </c>
      <c r="I52" s="20">
        <v>233</v>
      </c>
      <c r="J52" s="20">
        <v>184</v>
      </c>
      <c r="K52" s="20">
        <v>190</v>
      </c>
      <c r="L52" s="20">
        <v>184</v>
      </c>
      <c r="M52" s="20">
        <v>172</v>
      </c>
      <c r="N52" s="20">
        <v>172</v>
      </c>
      <c r="O52" s="20">
        <v>230</v>
      </c>
      <c r="P52" s="20">
        <v>217</v>
      </c>
      <c r="Q52" s="20">
        <v>230</v>
      </c>
      <c r="R52" s="21">
        <v>211</v>
      </c>
      <c r="S52" s="22">
        <f t="shared" si="0"/>
        <v>2320</v>
      </c>
    </row>
    <row r="53" spans="1:19" x14ac:dyDescent="0.3">
      <c r="A53" t="s">
        <v>100</v>
      </c>
      <c r="B53" t="s">
        <v>111</v>
      </c>
      <c r="C53" t="s">
        <v>103</v>
      </c>
      <c r="D53" t="s">
        <v>38</v>
      </c>
      <c r="E53" s="7" t="s">
        <v>47</v>
      </c>
      <c r="F53" s="7"/>
      <c r="G53" s="19">
        <v>9456</v>
      </c>
      <c r="H53" s="20">
        <v>7626</v>
      </c>
      <c r="I53" s="20">
        <v>13420</v>
      </c>
      <c r="J53" s="20">
        <v>11351</v>
      </c>
      <c r="K53" s="20">
        <v>11695</v>
      </c>
      <c r="L53" s="20">
        <v>11351</v>
      </c>
      <c r="M53" s="20">
        <v>9525</v>
      </c>
      <c r="N53" s="20">
        <v>9525</v>
      </c>
      <c r="O53" s="20">
        <v>12699</v>
      </c>
      <c r="P53" s="20">
        <v>11814</v>
      </c>
      <c r="Q53" s="20">
        <v>12530</v>
      </c>
      <c r="R53" s="21">
        <v>11457</v>
      </c>
      <c r="S53" s="22">
        <f t="shared" si="0"/>
        <v>132449</v>
      </c>
    </row>
    <row r="54" spans="1:19" x14ac:dyDescent="0.3">
      <c r="A54" t="s">
        <v>100</v>
      </c>
      <c r="B54" t="s">
        <v>111</v>
      </c>
      <c r="C54" t="s">
        <v>103</v>
      </c>
      <c r="D54" t="s">
        <v>38</v>
      </c>
      <c r="E54" s="7" t="s">
        <v>48</v>
      </c>
      <c r="F54" s="7"/>
      <c r="G54" s="19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1">
        <v>0</v>
      </c>
      <c r="S54" s="22">
        <f t="shared" si="0"/>
        <v>0</v>
      </c>
    </row>
    <row r="55" spans="1:19" x14ac:dyDescent="0.3">
      <c r="A55" t="s">
        <v>100</v>
      </c>
      <c r="B55" t="s">
        <v>111</v>
      </c>
      <c r="C55" t="s">
        <v>103</v>
      </c>
      <c r="D55" t="s">
        <v>38</v>
      </c>
      <c r="E55" s="7" t="s">
        <v>49</v>
      </c>
      <c r="F55" s="7"/>
      <c r="G55" s="19">
        <v>3103</v>
      </c>
      <c r="H55" s="20">
        <v>2503</v>
      </c>
      <c r="I55" s="20">
        <v>4404</v>
      </c>
      <c r="J55" s="20">
        <v>3725</v>
      </c>
      <c r="K55" s="20">
        <v>3838</v>
      </c>
      <c r="L55" s="20">
        <v>3725</v>
      </c>
      <c r="M55" s="20">
        <v>3126</v>
      </c>
      <c r="N55" s="20">
        <v>3126</v>
      </c>
      <c r="O55" s="20">
        <v>4167</v>
      </c>
      <c r="P55" s="20">
        <v>3877</v>
      </c>
      <c r="Q55" s="20">
        <v>4112</v>
      </c>
      <c r="R55" s="21">
        <v>3760</v>
      </c>
      <c r="S55" s="22">
        <f t="shared" si="0"/>
        <v>43466</v>
      </c>
    </row>
    <row r="56" spans="1:19" x14ac:dyDescent="0.3">
      <c r="A56" t="s">
        <v>100</v>
      </c>
      <c r="B56" t="s">
        <v>111</v>
      </c>
      <c r="C56" t="s">
        <v>103</v>
      </c>
      <c r="D56" t="s">
        <v>38</v>
      </c>
      <c r="E56" s="6" t="s">
        <v>50</v>
      </c>
      <c r="F56" s="6"/>
      <c r="G56" s="19">
        <v>786</v>
      </c>
      <c r="H56" s="20">
        <v>634</v>
      </c>
      <c r="I56" s="20">
        <v>1116</v>
      </c>
      <c r="J56" s="20">
        <v>944</v>
      </c>
      <c r="K56" s="20">
        <v>972</v>
      </c>
      <c r="L56" s="20">
        <v>944</v>
      </c>
      <c r="M56" s="20">
        <v>792</v>
      </c>
      <c r="N56" s="20">
        <v>792</v>
      </c>
      <c r="O56" s="20">
        <v>1056</v>
      </c>
      <c r="P56" s="20">
        <v>982</v>
      </c>
      <c r="Q56" s="20">
        <v>1042</v>
      </c>
      <c r="R56" s="21">
        <v>953</v>
      </c>
      <c r="S56" s="22">
        <f t="shared" si="0"/>
        <v>11013</v>
      </c>
    </row>
    <row r="57" spans="1:19" x14ac:dyDescent="0.3">
      <c r="A57" t="s">
        <v>100</v>
      </c>
      <c r="B57" t="s">
        <v>111</v>
      </c>
      <c r="C57" t="s">
        <v>103</v>
      </c>
      <c r="D57" t="s">
        <v>38</v>
      </c>
      <c r="E57" s="7" t="s">
        <v>51</v>
      </c>
      <c r="F57" s="7"/>
      <c r="G57" s="19">
        <v>1473</v>
      </c>
      <c r="H57" s="20">
        <v>1188</v>
      </c>
      <c r="I57" s="20">
        <v>2091</v>
      </c>
      <c r="J57" s="20">
        <v>1699</v>
      </c>
      <c r="K57" s="20">
        <v>1750</v>
      </c>
      <c r="L57" s="20">
        <v>1699</v>
      </c>
      <c r="M57" s="20">
        <v>1433</v>
      </c>
      <c r="N57" s="20">
        <v>1433</v>
      </c>
      <c r="O57" s="20">
        <v>1911</v>
      </c>
      <c r="P57" s="20">
        <v>1757</v>
      </c>
      <c r="Q57" s="20">
        <v>1863</v>
      </c>
      <c r="R57" s="21">
        <v>1703</v>
      </c>
      <c r="S57" s="22">
        <f t="shared" si="0"/>
        <v>20000</v>
      </c>
    </row>
    <row r="58" spans="1:19" x14ac:dyDescent="0.3">
      <c r="A58" t="s">
        <v>100</v>
      </c>
      <c r="B58" t="s">
        <v>111</v>
      </c>
      <c r="C58" t="s">
        <v>103</v>
      </c>
      <c r="D58" t="s">
        <v>38</v>
      </c>
      <c r="E58" s="6" t="s">
        <v>52</v>
      </c>
      <c r="F58" s="6"/>
      <c r="G58" s="19">
        <v>221</v>
      </c>
      <c r="H58" s="20">
        <v>178</v>
      </c>
      <c r="I58" s="20">
        <v>314</v>
      </c>
      <c r="J58" s="20">
        <v>255</v>
      </c>
      <c r="K58" s="20">
        <v>262</v>
      </c>
      <c r="L58" s="20">
        <v>255</v>
      </c>
      <c r="M58" s="20">
        <v>215</v>
      </c>
      <c r="N58" s="20">
        <v>215</v>
      </c>
      <c r="O58" s="20">
        <v>287</v>
      </c>
      <c r="P58" s="20">
        <v>263</v>
      </c>
      <c r="Q58" s="20">
        <v>279</v>
      </c>
      <c r="R58" s="21">
        <v>256</v>
      </c>
      <c r="S58" s="22">
        <f t="shared" si="0"/>
        <v>3000</v>
      </c>
    </row>
    <row r="59" spans="1:19" x14ac:dyDescent="0.3">
      <c r="A59" t="s">
        <v>100</v>
      </c>
      <c r="B59" t="s">
        <v>111</v>
      </c>
      <c r="C59" t="s">
        <v>103</v>
      </c>
      <c r="D59" t="s">
        <v>38</v>
      </c>
      <c r="E59" s="6" t="s">
        <v>53</v>
      </c>
      <c r="F59" s="6"/>
      <c r="G59" s="19">
        <v>74</v>
      </c>
      <c r="H59" s="20">
        <v>60</v>
      </c>
      <c r="I59" s="20">
        <v>104</v>
      </c>
      <c r="J59" s="20">
        <v>85</v>
      </c>
      <c r="K59" s="20">
        <v>87</v>
      </c>
      <c r="L59" s="20">
        <v>85</v>
      </c>
      <c r="M59" s="20">
        <v>72</v>
      </c>
      <c r="N59" s="20">
        <v>72</v>
      </c>
      <c r="O59" s="20">
        <v>95</v>
      </c>
      <c r="P59" s="20">
        <v>88</v>
      </c>
      <c r="Q59" s="20">
        <v>93</v>
      </c>
      <c r="R59" s="21">
        <v>85</v>
      </c>
      <c r="S59" s="22">
        <f t="shared" si="0"/>
        <v>1000</v>
      </c>
    </row>
    <row r="60" spans="1:19" x14ac:dyDescent="0.3">
      <c r="A60" t="s">
        <v>100</v>
      </c>
      <c r="B60" t="s">
        <v>111</v>
      </c>
      <c r="C60" t="s">
        <v>103</v>
      </c>
      <c r="D60" t="s">
        <v>54</v>
      </c>
      <c r="E60" s="8" t="s">
        <v>55</v>
      </c>
      <c r="F60" s="8"/>
      <c r="G60" s="19">
        <v>28</v>
      </c>
      <c r="H60" s="20">
        <v>23</v>
      </c>
      <c r="I60" s="20">
        <v>40</v>
      </c>
      <c r="J60" s="20">
        <v>34</v>
      </c>
      <c r="K60" s="20">
        <v>35</v>
      </c>
      <c r="L60" s="20">
        <v>33</v>
      </c>
      <c r="M60" s="20">
        <v>28</v>
      </c>
      <c r="N60" s="20">
        <v>28</v>
      </c>
      <c r="O60" s="20">
        <v>38</v>
      </c>
      <c r="P60" s="20">
        <v>35</v>
      </c>
      <c r="Q60" s="20">
        <v>37</v>
      </c>
      <c r="R60" s="21">
        <v>35</v>
      </c>
      <c r="S60" s="22">
        <f t="shared" si="0"/>
        <v>394</v>
      </c>
    </row>
    <row r="61" spans="1:19" x14ac:dyDescent="0.3">
      <c r="A61" t="s">
        <v>100</v>
      </c>
      <c r="B61" t="s">
        <v>110</v>
      </c>
      <c r="C61" t="s">
        <v>56</v>
      </c>
      <c r="D61" t="s">
        <v>130</v>
      </c>
      <c r="E61" s="4" t="s">
        <v>57</v>
      </c>
      <c r="F61" s="4"/>
      <c r="G61" s="19">
        <v>143</v>
      </c>
      <c r="H61" s="20">
        <v>115</v>
      </c>
      <c r="I61" s="20">
        <v>202</v>
      </c>
      <c r="J61" s="20">
        <v>171</v>
      </c>
      <c r="K61" s="20">
        <v>176</v>
      </c>
      <c r="L61" s="20">
        <v>172</v>
      </c>
      <c r="M61" s="20">
        <v>149</v>
      </c>
      <c r="N61" s="20">
        <v>149</v>
      </c>
      <c r="O61" s="20">
        <v>200</v>
      </c>
      <c r="P61" s="20">
        <v>186</v>
      </c>
      <c r="Q61" s="20">
        <v>197</v>
      </c>
      <c r="R61" s="21">
        <v>179.52</v>
      </c>
      <c r="S61" s="22">
        <f t="shared" si="0"/>
        <v>2039.52</v>
      </c>
    </row>
    <row r="62" spans="1:19" x14ac:dyDescent="0.3">
      <c r="A62" t="s">
        <v>100</v>
      </c>
      <c r="B62" t="s">
        <v>110</v>
      </c>
      <c r="C62" t="s">
        <v>56</v>
      </c>
      <c r="D62" t="s">
        <v>131</v>
      </c>
      <c r="E62" s="4" t="s">
        <v>58</v>
      </c>
      <c r="F62" s="4"/>
      <c r="G62" s="19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150</v>
      </c>
      <c r="N62" s="20">
        <v>150</v>
      </c>
      <c r="O62" s="20">
        <v>250</v>
      </c>
      <c r="P62" s="20">
        <v>250</v>
      </c>
      <c r="Q62" s="20">
        <v>250</v>
      </c>
      <c r="R62" s="21">
        <v>300</v>
      </c>
      <c r="S62" s="22">
        <f t="shared" si="0"/>
        <v>1350</v>
      </c>
    </row>
    <row r="63" spans="1:19" x14ac:dyDescent="0.3">
      <c r="A63" t="s">
        <v>100</v>
      </c>
      <c r="B63" t="s">
        <v>101</v>
      </c>
      <c r="C63" t="s">
        <v>132</v>
      </c>
      <c r="D63" t="s">
        <v>59</v>
      </c>
      <c r="E63" s="2" t="s">
        <v>60</v>
      </c>
      <c r="F63" s="2"/>
      <c r="G63" s="19">
        <v>13</v>
      </c>
      <c r="H63" s="20">
        <v>12</v>
      </c>
      <c r="I63" s="20">
        <v>16</v>
      </c>
      <c r="J63" s="20">
        <v>17</v>
      </c>
      <c r="K63" s="20">
        <v>17</v>
      </c>
      <c r="L63" s="20">
        <v>16</v>
      </c>
      <c r="M63" s="20">
        <v>14</v>
      </c>
      <c r="N63" s="20">
        <v>15</v>
      </c>
      <c r="O63" s="20">
        <v>19</v>
      </c>
      <c r="P63" s="20">
        <v>14</v>
      </c>
      <c r="Q63" s="20">
        <v>16</v>
      </c>
      <c r="R63" s="21">
        <v>11</v>
      </c>
      <c r="S63" s="22">
        <f t="shared" si="0"/>
        <v>180</v>
      </c>
    </row>
    <row r="64" spans="1:19" x14ac:dyDescent="0.3">
      <c r="A64" t="s">
        <v>100</v>
      </c>
      <c r="B64" t="s">
        <v>101</v>
      </c>
      <c r="C64" t="s">
        <v>132</v>
      </c>
      <c r="D64" t="s">
        <v>133</v>
      </c>
      <c r="E64" s="3" t="s">
        <v>61</v>
      </c>
      <c r="F64" s="3"/>
      <c r="G64" s="19">
        <v>1</v>
      </c>
      <c r="H64" s="20">
        <v>1</v>
      </c>
      <c r="I64" s="20">
        <v>2</v>
      </c>
      <c r="J64" s="20">
        <v>1</v>
      </c>
      <c r="K64" s="20">
        <v>2</v>
      </c>
      <c r="L64" s="20">
        <v>1</v>
      </c>
      <c r="M64" s="20">
        <v>2</v>
      </c>
      <c r="N64" s="20">
        <v>1</v>
      </c>
      <c r="O64" s="20">
        <v>2</v>
      </c>
      <c r="P64" s="20">
        <v>1</v>
      </c>
      <c r="Q64" s="20">
        <v>2</v>
      </c>
      <c r="R64" s="21">
        <v>1</v>
      </c>
      <c r="S64" s="22">
        <f t="shared" si="0"/>
        <v>17</v>
      </c>
    </row>
    <row r="65" spans="1:19" x14ac:dyDescent="0.3">
      <c r="A65" t="s">
        <v>100</v>
      </c>
      <c r="B65" t="s">
        <v>101</v>
      </c>
      <c r="C65" t="s">
        <v>132</v>
      </c>
      <c r="D65" t="s">
        <v>59</v>
      </c>
      <c r="E65" s="2" t="s">
        <v>62</v>
      </c>
      <c r="F65" s="2"/>
      <c r="G65" s="19">
        <v>0</v>
      </c>
      <c r="H65" s="20">
        <v>0</v>
      </c>
      <c r="I65" s="20">
        <v>1</v>
      </c>
      <c r="J65" s="20">
        <v>0</v>
      </c>
      <c r="K65" s="20">
        <v>0</v>
      </c>
      <c r="L65" s="20">
        <v>2</v>
      </c>
      <c r="M65" s="20">
        <v>0</v>
      </c>
      <c r="N65" s="20">
        <v>0</v>
      </c>
      <c r="O65" s="20">
        <v>1</v>
      </c>
      <c r="P65" s="20">
        <v>0</v>
      </c>
      <c r="Q65" s="20">
        <v>0</v>
      </c>
      <c r="R65" s="21">
        <v>1</v>
      </c>
      <c r="S65" s="22">
        <f t="shared" si="0"/>
        <v>5</v>
      </c>
    </row>
    <row r="66" spans="1:19" x14ac:dyDescent="0.3">
      <c r="A66" t="s">
        <v>100</v>
      </c>
      <c r="B66" t="s">
        <v>110</v>
      </c>
      <c r="C66" t="s">
        <v>132</v>
      </c>
      <c r="D66" t="s">
        <v>134</v>
      </c>
      <c r="E66" s="9" t="s">
        <v>63</v>
      </c>
      <c r="F66" s="9"/>
      <c r="G66" s="19">
        <v>5700</v>
      </c>
      <c r="H66" s="20">
        <v>5300</v>
      </c>
      <c r="I66" s="20">
        <v>7600</v>
      </c>
      <c r="J66" s="20">
        <v>7600</v>
      </c>
      <c r="K66" s="20">
        <v>7600</v>
      </c>
      <c r="L66" s="20">
        <v>7500</v>
      </c>
      <c r="M66" s="20">
        <v>7500</v>
      </c>
      <c r="N66" s="20">
        <v>7500</v>
      </c>
      <c r="O66" s="20">
        <v>7500</v>
      </c>
      <c r="P66" s="20">
        <v>7500</v>
      </c>
      <c r="Q66" s="20">
        <v>7200</v>
      </c>
      <c r="R66" s="21">
        <v>6000</v>
      </c>
      <c r="S66" s="22">
        <f t="shared" si="0"/>
        <v>84500</v>
      </c>
    </row>
    <row r="67" spans="1:19" x14ac:dyDescent="0.3">
      <c r="A67" t="s">
        <v>100</v>
      </c>
      <c r="B67" t="s">
        <v>110</v>
      </c>
      <c r="C67" t="s">
        <v>132</v>
      </c>
      <c r="D67" t="s">
        <v>134</v>
      </c>
      <c r="E67" s="9" t="s">
        <v>64</v>
      </c>
      <c r="F67" s="9"/>
      <c r="G67" s="19">
        <v>30</v>
      </c>
      <c r="H67" s="20">
        <v>37</v>
      </c>
      <c r="I67" s="20">
        <v>43</v>
      </c>
      <c r="J67" s="20">
        <v>38</v>
      </c>
      <c r="K67" s="20">
        <v>38</v>
      </c>
      <c r="L67" s="20">
        <v>39</v>
      </c>
      <c r="M67" s="20">
        <v>40</v>
      </c>
      <c r="N67" s="20">
        <v>40</v>
      </c>
      <c r="O67" s="20">
        <v>41</v>
      </c>
      <c r="P67" s="20">
        <v>33</v>
      </c>
      <c r="Q67" s="20">
        <v>33</v>
      </c>
      <c r="R67" s="21">
        <v>33</v>
      </c>
      <c r="S67" s="22">
        <f t="shared" ref="S67:S130" si="1">SUM(G67:R67)</f>
        <v>445</v>
      </c>
    </row>
    <row r="68" spans="1:19" x14ac:dyDescent="0.3">
      <c r="A68" t="s">
        <v>100</v>
      </c>
      <c r="B68" t="s">
        <v>106</v>
      </c>
      <c r="C68" t="s">
        <v>132</v>
      </c>
      <c r="D68" t="s">
        <v>134</v>
      </c>
      <c r="E68" s="4" t="s">
        <v>65</v>
      </c>
      <c r="F68" s="4"/>
      <c r="G68" s="19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1">
        <v>0</v>
      </c>
      <c r="S68" s="22">
        <f t="shared" si="1"/>
        <v>0</v>
      </c>
    </row>
    <row r="69" spans="1:19" x14ac:dyDescent="0.3">
      <c r="A69" t="s">
        <v>100</v>
      </c>
      <c r="B69" t="s">
        <v>106</v>
      </c>
      <c r="C69" t="s">
        <v>132</v>
      </c>
      <c r="D69" t="s">
        <v>134</v>
      </c>
      <c r="E69" s="9" t="s">
        <v>66</v>
      </c>
      <c r="F69" s="9"/>
      <c r="G69" s="19">
        <v>13</v>
      </c>
      <c r="H69" s="20">
        <v>15</v>
      </c>
      <c r="I69" s="20">
        <v>17</v>
      </c>
      <c r="J69" s="20">
        <v>15</v>
      </c>
      <c r="K69" s="20">
        <v>16</v>
      </c>
      <c r="L69" s="20">
        <v>16</v>
      </c>
      <c r="M69" s="20">
        <v>16</v>
      </c>
      <c r="N69" s="20">
        <v>17</v>
      </c>
      <c r="O69" s="20">
        <v>17</v>
      </c>
      <c r="P69" s="20">
        <v>14</v>
      </c>
      <c r="Q69" s="20">
        <v>14</v>
      </c>
      <c r="R69" s="21">
        <v>13</v>
      </c>
      <c r="S69" s="22">
        <f t="shared" si="1"/>
        <v>183</v>
      </c>
    </row>
    <row r="70" spans="1:19" x14ac:dyDescent="0.3">
      <c r="A70" t="s">
        <v>100</v>
      </c>
      <c r="B70" t="s">
        <v>110</v>
      </c>
      <c r="C70" t="s">
        <v>132</v>
      </c>
      <c r="D70" t="s">
        <v>67</v>
      </c>
      <c r="E70" s="2" t="s">
        <v>68</v>
      </c>
      <c r="F70" s="2"/>
      <c r="G70" s="19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1">
        <v>0</v>
      </c>
      <c r="S70" s="22">
        <f t="shared" si="1"/>
        <v>0</v>
      </c>
    </row>
    <row r="71" spans="1:19" x14ac:dyDescent="0.3">
      <c r="A71" t="s">
        <v>100</v>
      </c>
      <c r="B71" t="s">
        <v>106</v>
      </c>
      <c r="C71" t="s">
        <v>132</v>
      </c>
      <c r="D71" t="s">
        <v>134</v>
      </c>
      <c r="E71" s="2" t="s">
        <v>69</v>
      </c>
      <c r="F71" s="2"/>
      <c r="G71" s="19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1">
        <v>0</v>
      </c>
      <c r="S71" s="22">
        <f t="shared" si="1"/>
        <v>0</v>
      </c>
    </row>
    <row r="72" spans="1:19" x14ac:dyDescent="0.3">
      <c r="A72" t="s">
        <v>100</v>
      </c>
      <c r="B72" t="s">
        <v>110</v>
      </c>
      <c r="C72" t="s">
        <v>132</v>
      </c>
      <c r="D72" t="s">
        <v>67</v>
      </c>
      <c r="E72" s="9" t="s">
        <v>70</v>
      </c>
      <c r="F72" s="9"/>
      <c r="G72" s="19">
        <v>5</v>
      </c>
      <c r="H72" s="20">
        <v>5</v>
      </c>
      <c r="I72" s="20">
        <v>5</v>
      </c>
      <c r="J72" s="20">
        <v>6</v>
      </c>
      <c r="K72" s="20">
        <v>6</v>
      </c>
      <c r="L72" s="20">
        <v>5</v>
      </c>
      <c r="M72" s="20">
        <v>5</v>
      </c>
      <c r="N72" s="20">
        <v>6</v>
      </c>
      <c r="O72" s="20">
        <v>7</v>
      </c>
      <c r="P72" s="20">
        <v>6</v>
      </c>
      <c r="Q72" s="20">
        <v>5</v>
      </c>
      <c r="R72" s="21">
        <v>4</v>
      </c>
      <c r="S72" s="22">
        <f t="shared" si="1"/>
        <v>65</v>
      </c>
    </row>
    <row r="73" spans="1:19" x14ac:dyDescent="0.3">
      <c r="A73" t="s">
        <v>100</v>
      </c>
      <c r="B73" t="s">
        <v>110</v>
      </c>
      <c r="C73" t="s">
        <v>132</v>
      </c>
      <c r="D73" t="s">
        <v>67</v>
      </c>
      <c r="E73" s="10" t="s">
        <v>71</v>
      </c>
      <c r="F73" s="10"/>
      <c r="G73" s="19">
        <v>7300</v>
      </c>
      <c r="H73" s="20">
        <v>7300</v>
      </c>
      <c r="I73" s="20">
        <v>7450</v>
      </c>
      <c r="J73" s="20">
        <v>7700</v>
      </c>
      <c r="K73" s="20">
        <v>7100</v>
      </c>
      <c r="L73" s="20">
        <v>7000</v>
      </c>
      <c r="M73" s="20">
        <v>7200</v>
      </c>
      <c r="N73" s="20">
        <v>7350</v>
      </c>
      <c r="O73" s="20">
        <v>7700</v>
      </c>
      <c r="P73" s="20">
        <v>6800</v>
      </c>
      <c r="Q73" s="20">
        <v>6900</v>
      </c>
      <c r="R73" s="21">
        <v>6500</v>
      </c>
      <c r="S73" s="22">
        <f t="shared" si="1"/>
        <v>86300</v>
      </c>
    </row>
    <row r="74" spans="1:19" x14ac:dyDescent="0.3">
      <c r="A74" t="s">
        <v>100</v>
      </c>
      <c r="B74" t="s">
        <v>110</v>
      </c>
      <c r="C74" t="s">
        <v>132</v>
      </c>
      <c r="D74" t="s">
        <v>67</v>
      </c>
      <c r="E74" s="4" t="s">
        <v>72</v>
      </c>
      <c r="F74" s="4"/>
      <c r="G74" s="19">
        <v>15500</v>
      </c>
      <c r="H74" s="20">
        <v>16000</v>
      </c>
      <c r="I74" s="20">
        <v>16900</v>
      </c>
      <c r="J74" s="20">
        <v>16100</v>
      </c>
      <c r="K74" s="20">
        <v>16700</v>
      </c>
      <c r="L74" s="20">
        <v>16700</v>
      </c>
      <c r="M74" s="20">
        <v>17150</v>
      </c>
      <c r="N74" s="20">
        <v>17600</v>
      </c>
      <c r="O74" s="20">
        <v>18700</v>
      </c>
      <c r="P74" s="20">
        <v>15600</v>
      </c>
      <c r="Q74" s="20">
        <v>17000</v>
      </c>
      <c r="R74" s="21">
        <v>16000</v>
      </c>
      <c r="S74" s="22">
        <f t="shared" si="1"/>
        <v>199950</v>
      </c>
    </row>
    <row r="75" spans="1:19" x14ac:dyDescent="0.3">
      <c r="A75" t="s">
        <v>100</v>
      </c>
      <c r="B75" t="s">
        <v>110</v>
      </c>
      <c r="C75" t="s">
        <v>132</v>
      </c>
      <c r="D75" t="s">
        <v>67</v>
      </c>
      <c r="E75" s="2" t="s">
        <v>73</v>
      </c>
      <c r="F75" s="2"/>
      <c r="G75" s="19">
        <v>200</v>
      </c>
      <c r="H75" s="20">
        <v>200</v>
      </c>
      <c r="I75" s="20">
        <v>200</v>
      </c>
      <c r="J75" s="20">
        <v>200</v>
      </c>
      <c r="K75" s="20">
        <v>200</v>
      </c>
      <c r="L75" s="20">
        <v>100</v>
      </c>
      <c r="M75" s="20">
        <v>200</v>
      </c>
      <c r="N75" s="20">
        <v>200</v>
      </c>
      <c r="O75" s="20">
        <v>300</v>
      </c>
      <c r="P75" s="20">
        <v>200</v>
      </c>
      <c r="Q75" s="20">
        <v>200</v>
      </c>
      <c r="R75" s="21">
        <v>230</v>
      </c>
      <c r="S75" s="22">
        <f t="shared" si="1"/>
        <v>2430</v>
      </c>
    </row>
    <row r="76" spans="1:19" x14ac:dyDescent="0.3">
      <c r="A76" t="s">
        <v>100</v>
      </c>
      <c r="B76" t="s">
        <v>110</v>
      </c>
      <c r="C76" t="s">
        <v>132</v>
      </c>
      <c r="D76" t="s">
        <v>74</v>
      </c>
      <c r="E76" s="3" t="s">
        <v>75</v>
      </c>
      <c r="F76" s="3"/>
      <c r="G76" s="19">
        <v>7100</v>
      </c>
      <c r="H76" s="20">
        <v>7290</v>
      </c>
      <c r="I76" s="20">
        <v>7600</v>
      </c>
      <c r="J76" s="20">
        <v>7500</v>
      </c>
      <c r="K76" s="20">
        <v>7587</v>
      </c>
      <c r="L76" s="20">
        <v>7675</v>
      </c>
      <c r="M76" s="20">
        <v>7600</v>
      </c>
      <c r="N76" s="20">
        <v>7742</v>
      </c>
      <c r="O76" s="20">
        <v>7885</v>
      </c>
      <c r="P76" s="20">
        <v>7600</v>
      </c>
      <c r="Q76" s="20">
        <v>7742</v>
      </c>
      <c r="R76" s="21">
        <v>7884</v>
      </c>
      <c r="S76" s="22">
        <f t="shared" si="1"/>
        <v>91205</v>
      </c>
    </row>
    <row r="77" spans="1:19" x14ac:dyDescent="0.3">
      <c r="A77" t="s">
        <v>100</v>
      </c>
      <c r="B77" t="s">
        <v>110</v>
      </c>
      <c r="C77" t="s">
        <v>132</v>
      </c>
      <c r="D77" t="s">
        <v>74</v>
      </c>
      <c r="E77" s="3" t="s">
        <v>76</v>
      </c>
      <c r="F77" s="3"/>
      <c r="G77" s="19">
        <v>3000</v>
      </c>
      <c r="H77" s="20">
        <v>2983</v>
      </c>
      <c r="I77" s="20">
        <v>3067</v>
      </c>
      <c r="J77" s="20">
        <v>2900</v>
      </c>
      <c r="K77" s="20">
        <v>3105</v>
      </c>
      <c r="L77" s="20">
        <v>3311</v>
      </c>
      <c r="M77" s="20">
        <v>2900</v>
      </c>
      <c r="N77" s="20">
        <v>3169</v>
      </c>
      <c r="O77" s="20">
        <v>3437</v>
      </c>
      <c r="P77" s="20">
        <v>3000</v>
      </c>
      <c r="Q77" s="20">
        <v>3169</v>
      </c>
      <c r="R77" s="21">
        <v>3337</v>
      </c>
      <c r="S77" s="22">
        <f t="shared" si="1"/>
        <v>37378</v>
      </c>
    </row>
    <row r="78" spans="1:19" x14ac:dyDescent="0.3">
      <c r="A78" t="s">
        <v>100</v>
      </c>
      <c r="B78" t="s">
        <v>110</v>
      </c>
      <c r="C78" t="s">
        <v>132</v>
      </c>
      <c r="D78" t="s">
        <v>74</v>
      </c>
      <c r="E78" s="3" t="s">
        <v>77</v>
      </c>
      <c r="F78" s="3"/>
      <c r="G78" s="19">
        <v>9000</v>
      </c>
      <c r="H78" s="20">
        <v>9236</v>
      </c>
      <c r="I78" s="20">
        <v>10000</v>
      </c>
      <c r="J78" s="20">
        <v>9400</v>
      </c>
      <c r="K78" s="20">
        <v>9613</v>
      </c>
      <c r="L78" s="20">
        <v>9825</v>
      </c>
      <c r="M78" s="20">
        <v>9600</v>
      </c>
      <c r="N78" s="20">
        <v>9809</v>
      </c>
      <c r="O78" s="20">
        <v>9800</v>
      </c>
      <c r="P78" s="20">
        <v>9800</v>
      </c>
      <c r="Q78" s="20">
        <v>9809</v>
      </c>
      <c r="R78" s="21">
        <v>9817</v>
      </c>
      <c r="S78" s="22">
        <f t="shared" si="1"/>
        <v>115709</v>
      </c>
    </row>
    <row r="79" spans="1:19" x14ac:dyDescent="0.3">
      <c r="A79" t="s">
        <v>100</v>
      </c>
      <c r="B79" t="s">
        <v>110</v>
      </c>
      <c r="C79" t="s">
        <v>132</v>
      </c>
      <c r="D79" t="s">
        <v>74</v>
      </c>
      <c r="E79" s="3" t="s">
        <v>78</v>
      </c>
      <c r="F79" s="3"/>
      <c r="G79" s="19">
        <v>8100</v>
      </c>
      <c r="H79" s="20">
        <v>8297</v>
      </c>
      <c r="I79" s="20">
        <v>9000</v>
      </c>
      <c r="J79" s="20">
        <v>7703</v>
      </c>
      <c r="K79" s="20">
        <v>8636</v>
      </c>
      <c r="L79" s="20">
        <v>9569</v>
      </c>
      <c r="M79" s="20">
        <v>7000</v>
      </c>
      <c r="N79" s="20">
        <v>8812</v>
      </c>
      <c r="O79" s="20">
        <v>10625</v>
      </c>
      <c r="P79" s="20">
        <v>6900</v>
      </c>
      <c r="Q79" s="20">
        <v>8812</v>
      </c>
      <c r="R79" s="21">
        <v>10724</v>
      </c>
      <c r="S79" s="22">
        <f t="shared" si="1"/>
        <v>104178</v>
      </c>
    </row>
    <row r="80" spans="1:19" x14ac:dyDescent="0.3">
      <c r="A80" t="s">
        <v>100</v>
      </c>
      <c r="B80" t="s">
        <v>110</v>
      </c>
      <c r="C80" t="s">
        <v>132</v>
      </c>
      <c r="D80" t="s">
        <v>74</v>
      </c>
      <c r="E80" s="3" t="s">
        <v>79</v>
      </c>
      <c r="F80" s="3"/>
      <c r="G80" s="19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1">
        <v>0</v>
      </c>
      <c r="S80" s="22">
        <f t="shared" si="1"/>
        <v>0</v>
      </c>
    </row>
    <row r="81" spans="1:19" x14ac:dyDescent="0.3">
      <c r="A81" t="s">
        <v>100</v>
      </c>
      <c r="B81" t="s">
        <v>110</v>
      </c>
      <c r="C81" t="s">
        <v>132</v>
      </c>
      <c r="D81" t="s">
        <v>74</v>
      </c>
      <c r="E81" s="3" t="s">
        <v>80</v>
      </c>
      <c r="F81" s="3"/>
      <c r="G81" s="19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1">
        <v>0</v>
      </c>
      <c r="S81" s="22">
        <f t="shared" si="1"/>
        <v>0</v>
      </c>
    </row>
    <row r="82" spans="1:19" x14ac:dyDescent="0.3">
      <c r="A82" t="s">
        <v>100</v>
      </c>
      <c r="B82" t="s">
        <v>110</v>
      </c>
      <c r="C82" t="s">
        <v>132</v>
      </c>
      <c r="D82" t="s">
        <v>74</v>
      </c>
      <c r="E82" s="3" t="s">
        <v>81</v>
      </c>
      <c r="F82" s="3"/>
      <c r="G82" s="19">
        <v>9000</v>
      </c>
      <c r="H82" s="20">
        <v>9000</v>
      </c>
      <c r="I82" s="20">
        <v>10000</v>
      </c>
      <c r="J82" s="20">
        <v>9800</v>
      </c>
      <c r="K82" s="20">
        <v>9759</v>
      </c>
      <c r="L82" s="20">
        <v>9718</v>
      </c>
      <c r="M82" s="20">
        <v>9900</v>
      </c>
      <c r="N82" s="20">
        <v>9958</v>
      </c>
      <c r="O82" s="20">
        <v>11017</v>
      </c>
      <c r="P82" s="20">
        <v>9900</v>
      </c>
      <c r="Q82" s="20">
        <v>10958</v>
      </c>
      <c r="R82" s="21">
        <v>10016</v>
      </c>
      <c r="S82" s="22">
        <f t="shared" si="1"/>
        <v>119026</v>
      </c>
    </row>
    <row r="83" spans="1:19" x14ac:dyDescent="0.3">
      <c r="A83" t="s">
        <v>100</v>
      </c>
      <c r="B83" t="s">
        <v>110</v>
      </c>
      <c r="C83" t="s">
        <v>132</v>
      </c>
      <c r="D83" t="s">
        <v>74</v>
      </c>
      <c r="E83" s="3" t="s">
        <v>82</v>
      </c>
      <c r="F83" s="3"/>
      <c r="G83" s="19">
        <v>1500</v>
      </c>
      <c r="H83" s="20">
        <v>1408</v>
      </c>
      <c r="I83" s="20">
        <v>2000</v>
      </c>
      <c r="J83" s="20">
        <v>1600</v>
      </c>
      <c r="K83" s="20">
        <v>1673</v>
      </c>
      <c r="L83" s="20">
        <v>1547</v>
      </c>
      <c r="M83" s="20">
        <v>1700</v>
      </c>
      <c r="N83" s="20">
        <v>1708</v>
      </c>
      <c r="O83" s="20">
        <v>1715</v>
      </c>
      <c r="P83" s="20">
        <v>1800</v>
      </c>
      <c r="Q83" s="20">
        <v>1707</v>
      </c>
      <c r="R83" s="21">
        <v>1615</v>
      </c>
      <c r="S83" s="22">
        <f t="shared" si="1"/>
        <v>19973</v>
      </c>
    </row>
    <row r="84" spans="1:19" x14ac:dyDescent="0.3">
      <c r="A84" t="s">
        <v>100</v>
      </c>
      <c r="B84" t="s">
        <v>110</v>
      </c>
      <c r="C84" t="s">
        <v>132</v>
      </c>
      <c r="D84" t="s">
        <v>74</v>
      </c>
      <c r="E84" s="3" t="s">
        <v>83</v>
      </c>
      <c r="F84" s="3"/>
      <c r="G84" s="19">
        <v>7300</v>
      </c>
      <c r="H84" s="20">
        <v>7300</v>
      </c>
      <c r="I84" s="20">
        <v>7807</v>
      </c>
      <c r="J84" s="20">
        <v>7800</v>
      </c>
      <c r="K84" s="20">
        <v>7861</v>
      </c>
      <c r="L84" s="20">
        <v>7923</v>
      </c>
      <c r="M84" s="20">
        <v>7900</v>
      </c>
      <c r="N84" s="20">
        <v>8022</v>
      </c>
      <c r="O84" s="20">
        <v>8397</v>
      </c>
      <c r="P84" s="20">
        <v>8900</v>
      </c>
      <c r="Q84" s="20">
        <v>8022</v>
      </c>
      <c r="R84" s="21">
        <v>7144</v>
      </c>
      <c r="S84" s="22">
        <f t="shared" si="1"/>
        <v>94376</v>
      </c>
    </row>
    <row r="85" spans="1:19" x14ac:dyDescent="0.3">
      <c r="A85" t="s">
        <v>100</v>
      </c>
      <c r="B85" t="s">
        <v>125</v>
      </c>
      <c r="C85" t="s">
        <v>132</v>
      </c>
      <c r="D85" t="s">
        <v>84</v>
      </c>
      <c r="E85" s="2" t="s">
        <v>85</v>
      </c>
      <c r="F85" s="2"/>
      <c r="G85" s="19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1">
        <v>0</v>
      </c>
      <c r="S85" s="22">
        <f t="shared" si="1"/>
        <v>0</v>
      </c>
    </row>
    <row r="86" spans="1:19" x14ac:dyDescent="0.3">
      <c r="A86" t="s">
        <v>100</v>
      </c>
      <c r="B86" t="s">
        <v>110</v>
      </c>
      <c r="C86" t="s">
        <v>132</v>
      </c>
      <c r="D86" t="s">
        <v>84</v>
      </c>
      <c r="E86" s="2" t="s">
        <v>86</v>
      </c>
      <c r="F86" s="2"/>
      <c r="G86" s="19">
        <v>0</v>
      </c>
      <c r="H86" s="20">
        <v>20</v>
      </c>
      <c r="I86" s="20">
        <v>29</v>
      </c>
      <c r="J86" s="20">
        <v>0</v>
      </c>
      <c r="K86" s="20">
        <v>30</v>
      </c>
      <c r="L86" s="20">
        <v>21</v>
      </c>
      <c r="M86" s="20">
        <v>0</v>
      </c>
      <c r="N86" s="20">
        <v>30</v>
      </c>
      <c r="O86" s="20">
        <v>21</v>
      </c>
      <c r="P86" s="20">
        <v>0</v>
      </c>
      <c r="Q86" s="20">
        <v>29</v>
      </c>
      <c r="R86" s="21">
        <v>20</v>
      </c>
      <c r="S86" s="22">
        <f t="shared" si="1"/>
        <v>200</v>
      </c>
    </row>
    <row r="87" spans="1:19" x14ac:dyDescent="0.3">
      <c r="A87" t="s">
        <v>100</v>
      </c>
      <c r="B87" t="s">
        <v>110</v>
      </c>
      <c r="C87" t="s">
        <v>132</v>
      </c>
      <c r="D87" t="s">
        <v>84</v>
      </c>
      <c r="E87" s="2" t="s">
        <v>87</v>
      </c>
      <c r="F87" s="2"/>
      <c r="G87" s="19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1">
        <v>0</v>
      </c>
      <c r="S87" s="22">
        <f t="shared" si="1"/>
        <v>0</v>
      </c>
    </row>
    <row r="88" spans="1:19" x14ac:dyDescent="0.3">
      <c r="A88" t="s">
        <v>100</v>
      </c>
      <c r="B88" t="s">
        <v>101</v>
      </c>
      <c r="C88" t="s">
        <v>135</v>
      </c>
      <c r="D88" t="s">
        <v>136</v>
      </c>
      <c r="E88" s="3" t="s">
        <v>88</v>
      </c>
      <c r="F88" s="3"/>
      <c r="G88" s="19">
        <v>0</v>
      </c>
      <c r="H88" s="20">
        <v>2</v>
      </c>
      <c r="I88" s="20">
        <v>2</v>
      </c>
      <c r="J88" s="20">
        <v>2</v>
      </c>
      <c r="K88" s="20">
        <v>2</v>
      </c>
      <c r="L88" s="20">
        <v>2</v>
      </c>
      <c r="M88" s="20">
        <v>1</v>
      </c>
      <c r="N88" s="20">
        <v>2</v>
      </c>
      <c r="O88" s="20">
        <v>2</v>
      </c>
      <c r="P88" s="20">
        <v>2</v>
      </c>
      <c r="Q88" s="20">
        <v>2</v>
      </c>
      <c r="R88" s="21">
        <v>1</v>
      </c>
      <c r="S88" s="22">
        <f t="shared" si="1"/>
        <v>20</v>
      </c>
    </row>
    <row r="89" spans="1:19" x14ac:dyDescent="0.3">
      <c r="A89" t="s">
        <v>100</v>
      </c>
      <c r="B89" t="s">
        <v>101</v>
      </c>
      <c r="C89" t="s">
        <v>135</v>
      </c>
      <c r="D89" t="s">
        <v>136</v>
      </c>
      <c r="E89" s="3" t="s">
        <v>89</v>
      </c>
      <c r="F89" s="3"/>
      <c r="G89" s="19">
        <v>0</v>
      </c>
      <c r="H89" s="20">
        <v>4</v>
      </c>
      <c r="I89" s="20">
        <v>5</v>
      </c>
      <c r="J89" s="20">
        <v>3</v>
      </c>
      <c r="K89" s="20">
        <v>3</v>
      </c>
      <c r="L89" s="20">
        <v>8</v>
      </c>
      <c r="M89" s="20">
        <v>3</v>
      </c>
      <c r="N89" s="20">
        <v>6</v>
      </c>
      <c r="O89" s="20">
        <v>5</v>
      </c>
      <c r="P89" s="20">
        <v>3</v>
      </c>
      <c r="Q89" s="20">
        <v>3</v>
      </c>
      <c r="R89" s="21">
        <v>3</v>
      </c>
      <c r="S89" s="22">
        <f t="shared" si="1"/>
        <v>46</v>
      </c>
    </row>
    <row r="90" spans="1:19" x14ac:dyDescent="0.3">
      <c r="A90" t="s">
        <v>100</v>
      </c>
      <c r="B90" t="s">
        <v>101</v>
      </c>
      <c r="C90" t="s">
        <v>135</v>
      </c>
      <c r="D90" t="s">
        <v>136</v>
      </c>
      <c r="E90" s="3" t="s">
        <v>90</v>
      </c>
      <c r="F90" s="3"/>
      <c r="G90" s="19">
        <v>0</v>
      </c>
      <c r="H90" s="20">
        <v>4</v>
      </c>
      <c r="I90" s="20">
        <v>5</v>
      </c>
      <c r="J90" s="20">
        <v>3</v>
      </c>
      <c r="K90" s="20">
        <v>3</v>
      </c>
      <c r="L90" s="20">
        <v>8</v>
      </c>
      <c r="M90" s="20">
        <v>3</v>
      </c>
      <c r="N90" s="20">
        <v>6</v>
      </c>
      <c r="O90" s="20">
        <v>5</v>
      </c>
      <c r="P90" s="20">
        <v>3</v>
      </c>
      <c r="Q90" s="20">
        <v>3</v>
      </c>
      <c r="R90" s="21">
        <v>3</v>
      </c>
      <c r="S90" s="22">
        <f t="shared" si="1"/>
        <v>46</v>
      </c>
    </row>
    <row r="91" spans="1:19" x14ac:dyDescent="0.3">
      <c r="A91" t="s">
        <v>100</v>
      </c>
      <c r="B91" t="s">
        <v>101</v>
      </c>
      <c r="C91" t="s">
        <v>135</v>
      </c>
      <c r="D91" t="s">
        <v>136</v>
      </c>
      <c r="E91" s="3" t="s">
        <v>91</v>
      </c>
      <c r="F91" s="3"/>
      <c r="G91" s="19">
        <v>2</v>
      </c>
      <c r="H91" s="20">
        <v>4</v>
      </c>
      <c r="I91" s="20">
        <v>6</v>
      </c>
      <c r="J91" s="20">
        <v>8</v>
      </c>
      <c r="K91" s="20">
        <v>9</v>
      </c>
      <c r="L91" s="20">
        <v>9</v>
      </c>
      <c r="M91" s="20">
        <v>7</v>
      </c>
      <c r="N91" s="20">
        <v>6</v>
      </c>
      <c r="O91" s="20">
        <v>6</v>
      </c>
      <c r="P91" s="20">
        <v>6</v>
      </c>
      <c r="Q91" s="20">
        <v>6</v>
      </c>
      <c r="R91" s="21">
        <v>6</v>
      </c>
      <c r="S91" s="22">
        <f t="shared" si="1"/>
        <v>75</v>
      </c>
    </row>
    <row r="92" spans="1:19" x14ac:dyDescent="0.3">
      <c r="A92" t="s">
        <v>100</v>
      </c>
      <c r="B92" t="s">
        <v>106</v>
      </c>
      <c r="C92" t="s">
        <v>135</v>
      </c>
      <c r="D92" t="s">
        <v>137</v>
      </c>
      <c r="E92" s="4" t="s">
        <v>92</v>
      </c>
      <c r="F92" s="4"/>
      <c r="G92" s="19">
        <v>18970</v>
      </c>
      <c r="H92" s="20">
        <v>17220</v>
      </c>
      <c r="I92" s="20">
        <v>20890</v>
      </c>
      <c r="J92" s="20">
        <v>19110</v>
      </c>
      <c r="K92" s="20">
        <v>37620</v>
      </c>
      <c r="L92" s="20">
        <v>38870</v>
      </c>
      <c r="M92" s="20">
        <v>32760</v>
      </c>
      <c r="N92" s="20">
        <v>27260</v>
      </c>
      <c r="O92" s="20">
        <v>21300</v>
      </c>
      <c r="P92" s="20">
        <v>17230</v>
      </c>
      <c r="Q92" s="20">
        <v>17460</v>
      </c>
      <c r="R92" s="21">
        <v>21600</v>
      </c>
      <c r="S92" s="22">
        <f t="shared" si="1"/>
        <v>290290</v>
      </c>
    </row>
    <row r="93" spans="1:19" x14ac:dyDescent="0.3">
      <c r="A93" t="s">
        <v>100</v>
      </c>
      <c r="B93" t="s">
        <v>106</v>
      </c>
      <c r="C93" t="s">
        <v>135</v>
      </c>
      <c r="D93" t="s">
        <v>138</v>
      </c>
      <c r="E93" s="4" t="s">
        <v>93</v>
      </c>
      <c r="F93" s="4"/>
      <c r="G93" s="19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1">
        <v>0</v>
      </c>
      <c r="S93" s="22">
        <f t="shared" si="1"/>
        <v>0</v>
      </c>
    </row>
    <row r="94" spans="1:19" x14ac:dyDescent="0.3">
      <c r="A94" t="s">
        <v>100</v>
      </c>
      <c r="B94" t="s">
        <v>106</v>
      </c>
      <c r="C94" t="s">
        <v>135</v>
      </c>
      <c r="D94" t="s">
        <v>138</v>
      </c>
      <c r="E94" s="4" t="s">
        <v>94</v>
      </c>
      <c r="F94" s="4"/>
      <c r="G94" s="19">
        <v>160</v>
      </c>
      <c r="H94" s="20">
        <v>80</v>
      </c>
      <c r="I94" s="20">
        <v>135</v>
      </c>
      <c r="J94" s="20">
        <v>220</v>
      </c>
      <c r="K94" s="20">
        <v>220</v>
      </c>
      <c r="L94" s="20">
        <v>220</v>
      </c>
      <c r="M94" s="20">
        <v>280</v>
      </c>
      <c r="N94" s="20">
        <v>280</v>
      </c>
      <c r="O94" s="20">
        <v>280</v>
      </c>
      <c r="P94" s="20">
        <v>220</v>
      </c>
      <c r="Q94" s="20">
        <v>220</v>
      </c>
      <c r="R94" s="21">
        <v>214</v>
      </c>
      <c r="S94" s="22">
        <f t="shared" si="1"/>
        <v>2529</v>
      </c>
    </row>
    <row r="95" spans="1:19" x14ac:dyDescent="0.3">
      <c r="A95" t="s">
        <v>100</v>
      </c>
      <c r="B95" t="s">
        <v>106</v>
      </c>
      <c r="C95" t="s">
        <v>135</v>
      </c>
      <c r="D95" t="s">
        <v>120</v>
      </c>
      <c r="E95" s="18" t="s">
        <v>116</v>
      </c>
      <c r="F95" s="18"/>
      <c r="G95" s="19">
        <v>347</v>
      </c>
      <c r="H95" s="20">
        <v>228</v>
      </c>
      <c r="I95" s="20">
        <v>307</v>
      </c>
      <c r="J95" s="20">
        <v>449</v>
      </c>
      <c r="K95" s="20">
        <v>173</v>
      </c>
      <c r="L95" s="20">
        <v>468</v>
      </c>
      <c r="M95" s="20">
        <v>357</v>
      </c>
      <c r="N95" s="20">
        <v>238</v>
      </c>
      <c r="O95" s="20">
        <v>238</v>
      </c>
      <c r="P95" s="20">
        <v>238</v>
      </c>
      <c r="Q95" s="20">
        <v>238</v>
      </c>
      <c r="R95" s="21">
        <v>351</v>
      </c>
      <c r="S95" s="22">
        <f t="shared" si="1"/>
        <v>3632</v>
      </c>
    </row>
    <row r="96" spans="1:19" x14ac:dyDescent="0.3">
      <c r="A96" t="s">
        <v>100</v>
      </c>
      <c r="B96" t="s">
        <v>101</v>
      </c>
      <c r="C96" t="s">
        <v>103</v>
      </c>
      <c r="D96" t="s">
        <v>118</v>
      </c>
      <c r="E96" s="3" t="s">
        <v>117</v>
      </c>
      <c r="F96" s="3"/>
      <c r="G96" s="19">
        <v>0</v>
      </c>
      <c r="H96" s="20">
        <v>2</v>
      </c>
      <c r="I96" s="20">
        <v>5</v>
      </c>
      <c r="J96" s="20">
        <v>3</v>
      </c>
      <c r="K96" s="20">
        <v>3</v>
      </c>
      <c r="L96" s="20">
        <v>4</v>
      </c>
      <c r="M96" s="20">
        <v>3</v>
      </c>
      <c r="N96" s="20">
        <v>3</v>
      </c>
      <c r="O96" s="20">
        <v>5</v>
      </c>
      <c r="P96" s="20">
        <v>3</v>
      </c>
      <c r="Q96" s="20">
        <v>4</v>
      </c>
      <c r="R96" s="21">
        <v>5</v>
      </c>
      <c r="S96" s="22">
        <f t="shared" si="1"/>
        <v>40</v>
      </c>
    </row>
    <row r="97" spans="1:19" x14ac:dyDescent="0.3">
      <c r="A97" t="s">
        <v>100</v>
      </c>
      <c r="B97" t="s">
        <v>101</v>
      </c>
      <c r="C97" t="s">
        <v>132</v>
      </c>
      <c r="D97" t="s">
        <v>59</v>
      </c>
      <c r="E97" s="2" t="s">
        <v>62</v>
      </c>
      <c r="F97" s="2"/>
      <c r="G97" s="19">
        <v>0</v>
      </c>
      <c r="H97" s="20">
        <v>0</v>
      </c>
      <c r="I97" s="20">
        <v>1</v>
      </c>
      <c r="J97" s="20">
        <v>0</v>
      </c>
      <c r="K97" s="20">
        <v>0</v>
      </c>
      <c r="L97" s="20">
        <v>2</v>
      </c>
      <c r="M97" s="20">
        <v>0</v>
      </c>
      <c r="N97" s="20">
        <v>0</v>
      </c>
      <c r="O97" s="20">
        <v>1</v>
      </c>
      <c r="P97" s="20">
        <v>0</v>
      </c>
      <c r="Q97" s="20">
        <v>0</v>
      </c>
      <c r="R97" s="21">
        <v>1</v>
      </c>
      <c r="S97" s="22">
        <f t="shared" si="1"/>
        <v>5</v>
      </c>
    </row>
    <row r="98" spans="1:19" x14ac:dyDescent="0.3">
      <c r="A98" t="s">
        <v>100</v>
      </c>
      <c r="B98" t="s">
        <v>106</v>
      </c>
      <c r="C98" t="s">
        <v>103</v>
      </c>
      <c r="D98" t="s">
        <v>118</v>
      </c>
      <c r="E98" s="2" t="s">
        <v>119</v>
      </c>
      <c r="F98" s="2"/>
      <c r="G98" s="19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1">
        <v>0</v>
      </c>
      <c r="S98" s="22">
        <f t="shared" si="1"/>
        <v>0</v>
      </c>
    </row>
    <row r="99" spans="1:19" x14ac:dyDescent="0.3">
      <c r="A99" t="s">
        <v>141</v>
      </c>
      <c r="B99" t="s">
        <v>142</v>
      </c>
      <c r="C99" t="s">
        <v>143</v>
      </c>
      <c r="D99" t="s">
        <v>144</v>
      </c>
      <c r="E99" t="s">
        <v>145</v>
      </c>
      <c r="F99" s="23" t="s">
        <v>146</v>
      </c>
      <c r="G99" s="25">
        <v>45550.098872096773</v>
      </c>
      <c r="H99" s="25">
        <v>35191.127292990896</v>
      </c>
      <c r="I99" s="25">
        <v>50107.31354602339</v>
      </c>
      <c r="J99" s="25">
        <v>38742.894120209487</v>
      </c>
      <c r="K99" s="25">
        <v>65001.642497578963</v>
      </c>
      <c r="L99" s="25">
        <v>62215.2172779428</v>
      </c>
      <c r="M99" s="25">
        <v>64874.954402921619</v>
      </c>
      <c r="N99" s="25">
        <v>59759.277087989831</v>
      </c>
      <c r="O99" s="25">
        <v>69908.523189726999</v>
      </c>
      <c r="P99" s="25">
        <v>56052.492244419504</v>
      </c>
      <c r="Q99" s="25">
        <v>62594.109593837435</v>
      </c>
      <c r="R99" s="25">
        <v>39848.643967418204</v>
      </c>
      <c r="S99" s="22">
        <f t="shared" si="1"/>
        <v>649846.29409315588</v>
      </c>
    </row>
    <row r="100" spans="1:19" x14ac:dyDescent="0.3">
      <c r="A100" t="s">
        <v>141</v>
      </c>
      <c r="B100" t="s">
        <v>142</v>
      </c>
      <c r="C100" t="s">
        <v>143</v>
      </c>
      <c r="D100" t="s">
        <v>144</v>
      </c>
      <c r="E100" t="s">
        <v>145</v>
      </c>
      <c r="F100" s="23" t="s">
        <v>147</v>
      </c>
      <c r="G100" s="25">
        <v>23298.042391561066</v>
      </c>
      <c r="H100" s="25">
        <v>18143.333108880626</v>
      </c>
      <c r="I100" s="25">
        <v>42002.088604615499</v>
      </c>
      <c r="J100" s="25">
        <v>17772.789382056439</v>
      </c>
      <c r="K100" s="25">
        <v>26198.038667592453</v>
      </c>
      <c r="L100" s="25">
        <v>27450.380952809934</v>
      </c>
      <c r="M100" s="25">
        <v>34171.831491971403</v>
      </c>
      <c r="N100" s="25">
        <v>26001.223414937544</v>
      </c>
      <c r="O100" s="25">
        <v>27512.627168713821</v>
      </c>
      <c r="P100" s="25">
        <v>39749.565821755619</v>
      </c>
      <c r="Q100" s="25">
        <v>27367.87221829113</v>
      </c>
      <c r="R100" s="25">
        <v>31127.602299602753</v>
      </c>
      <c r="S100" s="22">
        <f t="shared" si="1"/>
        <v>340795.39552278834</v>
      </c>
    </row>
    <row r="101" spans="1:19" x14ac:dyDescent="0.3">
      <c r="A101" t="s">
        <v>141</v>
      </c>
      <c r="B101" t="s">
        <v>142</v>
      </c>
      <c r="C101" t="s">
        <v>143</v>
      </c>
      <c r="D101" t="s">
        <v>148</v>
      </c>
      <c r="E101" t="s">
        <v>149</v>
      </c>
      <c r="F101" s="23" t="s">
        <v>150</v>
      </c>
      <c r="G101" s="25">
        <v>49173.418044715901</v>
      </c>
      <c r="H101" s="25">
        <v>39657.478755416851</v>
      </c>
      <c r="I101" s="25">
        <v>58663.923856598209</v>
      </c>
      <c r="J101" s="25">
        <v>40392.255022140656</v>
      </c>
      <c r="K101" s="25">
        <v>69180.27226065268</v>
      </c>
      <c r="L101" s="25">
        <v>58158.644360025763</v>
      </c>
      <c r="M101" s="25">
        <v>32099.772230721821</v>
      </c>
      <c r="N101" s="25">
        <v>39997.899251703398</v>
      </c>
      <c r="O101" s="25">
        <v>89662.428551174497</v>
      </c>
      <c r="P101" s="25">
        <v>94837.650030823381</v>
      </c>
      <c r="Q101" s="25">
        <v>37420.082750301401</v>
      </c>
      <c r="R101" s="25">
        <v>62450.527490271314</v>
      </c>
      <c r="S101" s="22">
        <f t="shared" si="1"/>
        <v>671694.35260454589</v>
      </c>
    </row>
    <row r="102" spans="1:19" x14ac:dyDescent="0.3">
      <c r="A102" t="s">
        <v>141</v>
      </c>
      <c r="B102" t="s">
        <v>142</v>
      </c>
      <c r="C102" t="s">
        <v>143</v>
      </c>
      <c r="D102" t="s">
        <v>148</v>
      </c>
      <c r="E102" t="s">
        <v>151</v>
      </c>
      <c r="F102" s="23" t="s">
        <v>152</v>
      </c>
      <c r="G102" s="25">
        <v>11171.68044295352</v>
      </c>
      <c r="H102" s="25">
        <v>8952.5803530655703</v>
      </c>
      <c r="I102" s="25">
        <v>13110.312605281979</v>
      </c>
      <c r="J102" s="25">
        <v>8016.7108589509362</v>
      </c>
      <c r="K102" s="25">
        <v>13592.6979702523</v>
      </c>
      <c r="L102" s="25">
        <v>12378.272550477635</v>
      </c>
      <c r="M102" s="25">
        <v>6267.3531728231546</v>
      </c>
      <c r="N102" s="25">
        <v>7845.2238346153144</v>
      </c>
      <c r="O102" s="25">
        <v>19253.13496472776</v>
      </c>
      <c r="P102" s="25">
        <v>18576.04981190008</v>
      </c>
      <c r="Q102" s="25">
        <v>7362.4784480036087</v>
      </c>
      <c r="R102" s="25">
        <v>13562.160810885925</v>
      </c>
      <c r="S102" s="22">
        <f t="shared" si="1"/>
        <v>140088.65582393779</v>
      </c>
    </row>
    <row r="103" spans="1:19" x14ac:dyDescent="0.3">
      <c r="A103" t="s">
        <v>141</v>
      </c>
      <c r="B103" t="s">
        <v>142</v>
      </c>
      <c r="C103" t="s">
        <v>143</v>
      </c>
      <c r="D103" t="s">
        <v>148</v>
      </c>
      <c r="E103" t="s">
        <v>151</v>
      </c>
      <c r="F103" s="23" t="s">
        <v>153</v>
      </c>
      <c r="G103" s="25">
        <v>9136.6589305968919</v>
      </c>
      <c r="H103" s="25">
        <v>4330.4495820590028</v>
      </c>
      <c r="I103" s="25">
        <v>7144.9856199224705</v>
      </c>
      <c r="J103" s="25">
        <v>16465.999788413941</v>
      </c>
      <c r="K103" s="25">
        <v>21576.925439376799</v>
      </c>
      <c r="L103" s="25">
        <v>2071.8322421036428</v>
      </c>
      <c r="M103" s="25">
        <v>9882.5440286448502</v>
      </c>
      <c r="N103" s="25">
        <v>10939.195056264802</v>
      </c>
      <c r="O103" s="25">
        <v>14743.60914437063</v>
      </c>
      <c r="P103" s="25">
        <v>13046.250541923831</v>
      </c>
      <c r="Q103" s="25">
        <v>10490.457890812901</v>
      </c>
      <c r="R103" s="25">
        <v>10035.009307098955</v>
      </c>
      <c r="S103" s="22">
        <f t="shared" si="1"/>
        <v>129863.91757158871</v>
      </c>
    </row>
    <row r="104" spans="1:19" x14ac:dyDescent="0.3">
      <c r="A104" t="s">
        <v>141</v>
      </c>
      <c r="B104" t="s">
        <v>142</v>
      </c>
      <c r="C104" t="s">
        <v>143</v>
      </c>
      <c r="D104" t="s">
        <v>148</v>
      </c>
      <c r="E104" t="s">
        <v>151</v>
      </c>
      <c r="F104" s="23" t="s">
        <v>154</v>
      </c>
      <c r="G104" s="25">
        <v>86</v>
      </c>
      <c r="H104" s="25">
        <v>24</v>
      </c>
      <c r="I104" s="25">
        <v>61</v>
      </c>
      <c r="J104" s="25">
        <v>139.6</v>
      </c>
      <c r="K104" s="25">
        <v>14.780000000000001</v>
      </c>
      <c r="L104" s="25">
        <v>310.83000000000004</v>
      </c>
      <c r="M104" s="25">
        <v>139.53</v>
      </c>
      <c r="N104" s="25">
        <v>206.67000000000002</v>
      </c>
      <c r="O104" s="25">
        <v>132.63999999999999</v>
      </c>
      <c r="P104" s="25">
        <v>88.17</v>
      </c>
      <c r="Q104" s="25">
        <v>196.05</v>
      </c>
      <c r="R104" s="25">
        <v>116.46000000000001</v>
      </c>
      <c r="S104" s="22">
        <f t="shared" si="1"/>
        <v>1515.7300000000002</v>
      </c>
    </row>
    <row r="105" spans="1:19" x14ac:dyDescent="0.3">
      <c r="A105" t="s">
        <v>141</v>
      </c>
      <c r="B105" t="s">
        <v>142</v>
      </c>
      <c r="C105" t="s">
        <v>143</v>
      </c>
      <c r="D105" t="s">
        <v>155</v>
      </c>
      <c r="E105" t="s">
        <v>156</v>
      </c>
      <c r="F105" s="23" t="s">
        <v>157</v>
      </c>
      <c r="G105" s="25">
        <v>19898.485498019523</v>
      </c>
      <c r="H105" s="25">
        <v>19779.914834090996</v>
      </c>
      <c r="I105" s="25">
        <v>30983.377157269279</v>
      </c>
      <c r="J105" s="25">
        <v>26384.913903262914</v>
      </c>
      <c r="K105" s="25">
        <v>29109.590127064021</v>
      </c>
      <c r="L105" s="25">
        <v>31732.562580082598</v>
      </c>
      <c r="M105" s="25">
        <v>36081.984338739196</v>
      </c>
      <c r="N105" s="25">
        <v>29318.137375127244</v>
      </c>
      <c r="O105" s="25">
        <v>37011.841073726886</v>
      </c>
      <c r="P105" s="25">
        <v>38256.406408518364</v>
      </c>
      <c r="Q105" s="25">
        <v>29123.966526850523</v>
      </c>
      <c r="R105" s="25">
        <v>22322.373785309101</v>
      </c>
      <c r="S105" s="22">
        <f t="shared" si="1"/>
        <v>350003.55360806064</v>
      </c>
    </row>
    <row r="106" spans="1:19" x14ac:dyDescent="0.3">
      <c r="A106" t="s">
        <v>141</v>
      </c>
      <c r="B106" t="s">
        <v>142</v>
      </c>
      <c r="C106" t="s">
        <v>143</v>
      </c>
      <c r="D106" t="s">
        <v>155</v>
      </c>
      <c r="E106" t="s">
        <v>156</v>
      </c>
      <c r="F106" s="23" t="s">
        <v>158</v>
      </c>
      <c r="G106" s="25">
        <v>26723.196079225592</v>
      </c>
      <c r="H106" s="25">
        <v>19530.460989416766</v>
      </c>
      <c r="I106" s="25">
        <v>40922.704702787916</v>
      </c>
      <c r="J106" s="25">
        <v>18989.978249190201</v>
      </c>
      <c r="K106" s="25">
        <v>26779.030189403096</v>
      </c>
      <c r="L106" s="25">
        <v>25951.621818512485</v>
      </c>
      <c r="M106" s="25">
        <v>29340.796374658894</v>
      </c>
      <c r="N106" s="25">
        <v>20057.640180227307</v>
      </c>
      <c r="O106" s="25">
        <v>32796.183322554105</v>
      </c>
      <c r="P106" s="25">
        <v>45451.698890522312</v>
      </c>
      <c r="Q106" s="25">
        <v>20659.292659412517</v>
      </c>
      <c r="R106" s="25">
        <v>32359.850483106249</v>
      </c>
      <c r="S106" s="22">
        <f t="shared" si="1"/>
        <v>339562.45393901743</v>
      </c>
    </row>
    <row r="107" spans="1:19" x14ac:dyDescent="0.3">
      <c r="A107" t="s">
        <v>141</v>
      </c>
      <c r="B107" t="s">
        <v>142</v>
      </c>
      <c r="C107" t="s">
        <v>143</v>
      </c>
      <c r="D107" t="s">
        <v>155</v>
      </c>
      <c r="E107" t="s">
        <v>159</v>
      </c>
      <c r="F107" s="23" t="s">
        <v>160</v>
      </c>
      <c r="G107" s="25">
        <v>1848.6525083470274</v>
      </c>
      <c r="H107" s="25">
        <v>1232.4350055646848</v>
      </c>
      <c r="I107" s="25">
        <v>2464.8700111293697</v>
      </c>
      <c r="J107" s="25">
        <v>2753.013315430393</v>
      </c>
      <c r="K107" s="25">
        <v>2753.013315430393</v>
      </c>
      <c r="L107" s="25">
        <v>3976.5747889550134</v>
      </c>
      <c r="M107" s="25">
        <v>5047.1910782890536</v>
      </c>
      <c r="N107" s="25">
        <v>5047.1910782890536</v>
      </c>
      <c r="O107" s="25">
        <v>5506.0266308607861</v>
      </c>
      <c r="P107" s="25">
        <v>5506.0266308607861</v>
      </c>
      <c r="Q107" s="25">
        <v>5506.0266308607861</v>
      </c>
      <c r="R107" s="25">
        <v>5658.9718150513618</v>
      </c>
      <c r="S107" s="22">
        <f t="shared" si="1"/>
        <v>47299.992809068717</v>
      </c>
    </row>
    <row r="108" spans="1:19" x14ac:dyDescent="0.3">
      <c r="A108" t="s">
        <v>141</v>
      </c>
      <c r="B108" t="s">
        <v>142</v>
      </c>
      <c r="C108" t="s">
        <v>143</v>
      </c>
      <c r="D108" t="s">
        <v>155</v>
      </c>
      <c r="E108" t="s">
        <v>159</v>
      </c>
      <c r="F108" s="23" t="s">
        <v>161</v>
      </c>
      <c r="G108" s="25">
        <v>0</v>
      </c>
      <c r="H108" s="25">
        <v>0</v>
      </c>
      <c r="I108" s="25">
        <v>0</v>
      </c>
      <c r="J108" s="25">
        <v>0</v>
      </c>
      <c r="K108" s="25">
        <v>0</v>
      </c>
      <c r="L108" s="25">
        <v>0</v>
      </c>
      <c r="M108" s="25">
        <v>0</v>
      </c>
      <c r="N108" s="25">
        <v>0</v>
      </c>
      <c r="O108" s="25">
        <v>0</v>
      </c>
      <c r="P108" s="25">
        <v>0</v>
      </c>
      <c r="Q108" s="25">
        <v>0</v>
      </c>
      <c r="R108" s="25">
        <v>0</v>
      </c>
      <c r="S108" s="22">
        <f t="shared" si="1"/>
        <v>0</v>
      </c>
    </row>
    <row r="109" spans="1:19" x14ac:dyDescent="0.3">
      <c r="A109" t="s">
        <v>141</v>
      </c>
      <c r="B109" t="s">
        <v>142</v>
      </c>
      <c r="C109" t="s">
        <v>143</v>
      </c>
      <c r="D109" t="s">
        <v>162</v>
      </c>
      <c r="E109" t="s">
        <v>163</v>
      </c>
      <c r="F109" s="23" t="s">
        <v>164</v>
      </c>
      <c r="G109" s="25">
        <v>7356.3827421739015</v>
      </c>
      <c r="H109" s="25">
        <v>5810.9166857950477</v>
      </c>
      <c r="I109" s="25">
        <v>8307.7932804575612</v>
      </c>
      <c r="J109" s="25">
        <v>15255.082364794413</v>
      </c>
      <c r="K109" s="25">
        <v>18534.720965046483</v>
      </c>
      <c r="L109" s="25">
        <v>9184.0668300626221</v>
      </c>
      <c r="M109" s="25">
        <v>4999.5719680999355</v>
      </c>
      <c r="N109" s="25">
        <v>14442.56260257475</v>
      </c>
      <c r="O109" s="25">
        <v>12311.423187950024</v>
      </c>
      <c r="P109" s="25">
        <v>8910.4627024859856</v>
      </c>
      <c r="Q109" s="25">
        <v>15273.68308014692</v>
      </c>
      <c r="R109" s="25">
        <v>8541.2659889862989</v>
      </c>
      <c r="S109" s="22">
        <f t="shared" si="1"/>
        <v>128927.93239857393</v>
      </c>
    </row>
    <row r="110" spans="1:19" x14ac:dyDescent="0.3">
      <c r="A110" t="s">
        <v>141</v>
      </c>
      <c r="B110" t="s">
        <v>142</v>
      </c>
      <c r="C110" t="s">
        <v>143</v>
      </c>
      <c r="D110" t="s">
        <v>162</v>
      </c>
      <c r="E110" t="s">
        <v>165</v>
      </c>
      <c r="F110" s="23" t="s">
        <v>166</v>
      </c>
      <c r="G110" s="25">
        <v>3688.9770252835815</v>
      </c>
      <c r="H110" s="25">
        <v>3243.9750001333473</v>
      </c>
      <c r="I110" s="25">
        <v>4080.5438652064222</v>
      </c>
      <c r="J110" s="25">
        <v>1794.311281653255</v>
      </c>
      <c r="K110" s="25">
        <v>2991.5750975584815</v>
      </c>
      <c r="L110" s="25">
        <v>3970.4095681169124</v>
      </c>
      <c r="M110" s="25">
        <v>2825.6444559882093</v>
      </c>
      <c r="N110" s="25">
        <v>3443.1306391950266</v>
      </c>
      <c r="O110" s="25">
        <v>4966.8469308809345</v>
      </c>
      <c r="P110" s="25">
        <v>2953.509965309072</v>
      </c>
      <c r="Q110" s="25">
        <v>2080.1077222403765</v>
      </c>
      <c r="R110" s="25">
        <v>3755.5713975430117</v>
      </c>
      <c r="S110" s="22">
        <f t="shared" si="1"/>
        <v>39794.602949108637</v>
      </c>
    </row>
    <row r="111" spans="1:19" x14ac:dyDescent="0.3">
      <c r="A111" t="s">
        <v>141</v>
      </c>
      <c r="B111" t="s">
        <v>142</v>
      </c>
      <c r="C111" t="s">
        <v>143</v>
      </c>
      <c r="D111" t="s">
        <v>162</v>
      </c>
      <c r="E111" t="s">
        <v>165</v>
      </c>
      <c r="F111" s="23" t="s">
        <v>167</v>
      </c>
      <c r="G111" s="25">
        <v>2230.4775369428157</v>
      </c>
      <c r="H111" s="25">
        <v>1556.1698051512842</v>
      </c>
      <c r="I111" s="25">
        <v>2202.7295784382463</v>
      </c>
      <c r="J111" s="25">
        <v>1651.9095658445358</v>
      </c>
      <c r="K111" s="25">
        <v>2384.8668381111738</v>
      </c>
      <c r="L111" s="25">
        <v>2563.1268649029798</v>
      </c>
      <c r="M111" s="25">
        <v>1634.6228767082464</v>
      </c>
      <c r="N111" s="25">
        <v>1842.4111188237669</v>
      </c>
      <c r="O111" s="25">
        <v>3940.0509868526478</v>
      </c>
      <c r="P111" s="25">
        <v>2826.4207599566389</v>
      </c>
      <c r="Q111" s="25">
        <v>1439.7931229448111</v>
      </c>
      <c r="R111" s="25">
        <v>2545.1902363998793</v>
      </c>
      <c r="S111" s="22">
        <f t="shared" si="1"/>
        <v>26817.769291077027</v>
      </c>
    </row>
    <row r="112" spans="1:19" x14ac:dyDescent="0.3">
      <c r="A112" t="s">
        <v>141</v>
      </c>
      <c r="B112" t="s">
        <v>142</v>
      </c>
      <c r="C112" t="s">
        <v>143</v>
      </c>
      <c r="D112" t="s">
        <v>162</v>
      </c>
      <c r="E112" t="s">
        <v>165</v>
      </c>
      <c r="F112" s="23" t="s">
        <v>168</v>
      </c>
      <c r="G112" s="25">
        <v>604.58771341818704</v>
      </c>
      <c r="H112" s="25">
        <v>400.4871493795801</v>
      </c>
      <c r="I112" s="25">
        <v>644.00899405061659</v>
      </c>
      <c r="J112" s="25">
        <v>561.60815714378259</v>
      </c>
      <c r="K112" s="25">
        <v>723.52900056015505</v>
      </c>
      <c r="L112" s="25">
        <v>769.55805839267282</v>
      </c>
      <c r="M112" s="25">
        <v>681.45543535608806</v>
      </c>
      <c r="N112" s="25">
        <v>711.2480368926598</v>
      </c>
      <c r="O112" s="25">
        <v>1027.9524091709827</v>
      </c>
      <c r="P112" s="25">
        <v>753.6798199135302</v>
      </c>
      <c r="Q112" s="25">
        <v>400.79688815444433</v>
      </c>
      <c r="R112" s="25">
        <v>835.92084074684635</v>
      </c>
      <c r="S112" s="22">
        <f t="shared" si="1"/>
        <v>8114.8325031795466</v>
      </c>
    </row>
    <row r="113" spans="1:19" x14ac:dyDescent="0.3">
      <c r="A113" t="s">
        <v>141</v>
      </c>
      <c r="B113" t="s">
        <v>142</v>
      </c>
      <c r="C113" t="s">
        <v>143</v>
      </c>
      <c r="D113" t="s">
        <v>162</v>
      </c>
      <c r="E113" t="s">
        <v>169</v>
      </c>
      <c r="F113" s="23" t="s">
        <v>170</v>
      </c>
      <c r="G113" s="25">
        <v>2405.3366142641084</v>
      </c>
      <c r="H113" s="25">
        <v>1495.4535727253653</v>
      </c>
      <c r="I113" s="25">
        <v>1905.3775823540921</v>
      </c>
      <c r="J113" s="25">
        <v>1594.8392559071194</v>
      </c>
      <c r="K113" s="25">
        <v>2146.6976767945257</v>
      </c>
      <c r="L113" s="25">
        <v>2224.3722803466198</v>
      </c>
      <c r="M113" s="25">
        <v>1177.3005379616486</v>
      </c>
      <c r="N113" s="25">
        <v>1311.43744961941</v>
      </c>
      <c r="O113" s="25">
        <v>2144.1349805934929</v>
      </c>
      <c r="P113" s="25">
        <v>1608.9208096215937</v>
      </c>
      <c r="Q113" s="25">
        <v>874.56767472427362</v>
      </c>
      <c r="R113" s="25">
        <v>1330.8595544427553</v>
      </c>
      <c r="S113" s="22">
        <f t="shared" si="1"/>
        <v>20219.297989355004</v>
      </c>
    </row>
    <row r="114" spans="1:19" x14ac:dyDescent="0.3">
      <c r="A114" t="s">
        <v>141</v>
      </c>
      <c r="B114" t="s">
        <v>142</v>
      </c>
      <c r="C114" t="s">
        <v>143</v>
      </c>
      <c r="D114" t="s">
        <v>162</v>
      </c>
      <c r="E114" t="s">
        <v>169</v>
      </c>
      <c r="F114" s="23" t="s">
        <v>171</v>
      </c>
      <c r="G114" s="25">
        <v>896.05388936685495</v>
      </c>
      <c r="H114" s="25">
        <v>624.62763175574514</v>
      </c>
      <c r="I114" s="25">
        <v>977.36321688026158</v>
      </c>
      <c r="J114" s="25">
        <v>618.79284927703156</v>
      </c>
      <c r="K114" s="25">
        <v>959.67260465182449</v>
      </c>
      <c r="L114" s="25">
        <v>951.03707059496082</v>
      </c>
      <c r="M114" s="25">
        <v>617.60685596356973</v>
      </c>
      <c r="N114" s="25">
        <v>654.04401032073656</v>
      </c>
      <c r="O114" s="25">
        <v>748.89990713878456</v>
      </c>
      <c r="P114" s="25">
        <v>491.84480758496136</v>
      </c>
      <c r="Q114" s="25">
        <v>335.85068290336352</v>
      </c>
      <c r="R114" s="25">
        <v>498.88678770040701</v>
      </c>
      <c r="S114" s="22">
        <f t="shared" si="1"/>
        <v>8374.6803141385008</v>
      </c>
    </row>
    <row r="115" spans="1:19" x14ac:dyDescent="0.3">
      <c r="A115" t="s">
        <v>141</v>
      </c>
      <c r="B115" t="s">
        <v>142</v>
      </c>
      <c r="C115" t="s">
        <v>143</v>
      </c>
      <c r="D115" t="s">
        <v>162</v>
      </c>
      <c r="E115" t="s">
        <v>172</v>
      </c>
      <c r="F115" s="23" t="s">
        <v>173</v>
      </c>
      <c r="G115" s="25">
        <v>684.75130691778782</v>
      </c>
      <c r="H115" s="25">
        <v>638.91178640927853</v>
      </c>
      <c r="I115" s="25">
        <v>797.54432642237816</v>
      </c>
      <c r="J115" s="25">
        <v>579.33790053615235</v>
      </c>
      <c r="K115" s="25">
        <v>804.48862691989575</v>
      </c>
      <c r="L115" s="25">
        <v>921.82867278692436</v>
      </c>
      <c r="M115" s="25">
        <v>636.31628387956152</v>
      </c>
      <c r="N115" s="25">
        <v>679.63160102273741</v>
      </c>
      <c r="O115" s="25">
        <v>911.7837520219332</v>
      </c>
      <c r="P115" s="25">
        <v>701.34926985491984</v>
      </c>
      <c r="Q115" s="25">
        <v>552.4820797074392</v>
      </c>
      <c r="R115" s="25">
        <v>595.45693910954265</v>
      </c>
      <c r="S115" s="22">
        <f t="shared" si="1"/>
        <v>8503.8825455885508</v>
      </c>
    </row>
    <row r="116" spans="1:19" x14ac:dyDescent="0.3">
      <c r="A116" t="s">
        <v>141</v>
      </c>
      <c r="B116" t="s">
        <v>142</v>
      </c>
      <c r="C116" t="s">
        <v>143</v>
      </c>
      <c r="D116" t="s">
        <v>162</v>
      </c>
      <c r="E116" t="s">
        <v>172</v>
      </c>
      <c r="F116" s="23" t="s">
        <v>174</v>
      </c>
      <c r="G116" s="25">
        <v>853.74405010467649</v>
      </c>
      <c r="H116" s="25">
        <v>454.30728398008807</v>
      </c>
      <c r="I116" s="25">
        <v>849.83400462416796</v>
      </c>
      <c r="J116" s="25">
        <v>513.32377759581402</v>
      </c>
      <c r="K116" s="25">
        <v>825.56836560354373</v>
      </c>
      <c r="L116" s="25">
        <v>896.99312903383998</v>
      </c>
      <c r="M116" s="25">
        <v>700.5482566117654</v>
      </c>
      <c r="N116" s="25">
        <v>702.28325055032792</v>
      </c>
      <c r="O116" s="25">
        <v>816.47838401247316</v>
      </c>
      <c r="P116" s="25">
        <v>542.29158922828196</v>
      </c>
      <c r="Q116" s="25">
        <v>359.01276730892442</v>
      </c>
      <c r="R116" s="25">
        <v>499.93099399896056</v>
      </c>
      <c r="S116" s="22">
        <f t="shared" si="1"/>
        <v>8014.3158526528632</v>
      </c>
    </row>
    <row r="117" spans="1:19" x14ac:dyDescent="0.3">
      <c r="A117" t="s">
        <v>141</v>
      </c>
      <c r="B117" t="s">
        <v>142</v>
      </c>
      <c r="C117" t="s">
        <v>143</v>
      </c>
      <c r="D117" t="s">
        <v>162</v>
      </c>
      <c r="E117" t="s">
        <v>172</v>
      </c>
      <c r="F117" s="23" t="s">
        <v>175</v>
      </c>
      <c r="G117" s="25">
        <v>271.60300828161633</v>
      </c>
      <c r="H117" s="25">
        <v>189.73495018476822</v>
      </c>
      <c r="I117" s="25">
        <v>285.75045560876191</v>
      </c>
      <c r="J117" s="25">
        <v>190.97904704896337</v>
      </c>
      <c r="K117" s="25">
        <v>303.26521176352134</v>
      </c>
      <c r="L117" s="25">
        <v>359.27531565798552</v>
      </c>
      <c r="M117" s="25">
        <v>254.4869266934393</v>
      </c>
      <c r="N117" s="25">
        <v>269.81069701308547</v>
      </c>
      <c r="O117" s="25">
        <v>295.94086943794736</v>
      </c>
      <c r="P117" s="25">
        <v>236.11096427095322</v>
      </c>
      <c r="Q117" s="25">
        <v>125.76006127567271</v>
      </c>
      <c r="R117" s="25">
        <v>187.94963652191063</v>
      </c>
      <c r="S117" s="22">
        <f t="shared" si="1"/>
        <v>2970.6671437586256</v>
      </c>
    </row>
    <row r="118" spans="1:19" x14ac:dyDescent="0.3">
      <c r="A118" t="s">
        <v>141</v>
      </c>
      <c r="B118" t="s">
        <v>142</v>
      </c>
      <c r="C118" t="s">
        <v>143</v>
      </c>
      <c r="D118" t="s">
        <v>162</v>
      </c>
      <c r="E118" t="s">
        <v>172</v>
      </c>
      <c r="F118" s="23" t="s">
        <v>176</v>
      </c>
      <c r="G118" s="25">
        <v>248.44819435971101</v>
      </c>
      <c r="H118" s="25">
        <v>170.14290657222514</v>
      </c>
      <c r="I118" s="25">
        <v>237.92433694807877</v>
      </c>
      <c r="J118" s="25">
        <v>172.67517633084552</v>
      </c>
      <c r="K118" s="25">
        <v>264.71364843403109</v>
      </c>
      <c r="L118" s="25">
        <v>408.95205257128202</v>
      </c>
      <c r="M118" s="25">
        <v>165.17889339487974</v>
      </c>
      <c r="N118" s="25">
        <v>150.8712969859757</v>
      </c>
      <c r="O118" s="25">
        <v>236.85198835758706</v>
      </c>
      <c r="P118" s="25">
        <v>177.89052720025862</v>
      </c>
      <c r="Q118" s="25">
        <v>107.80218738401231</v>
      </c>
      <c r="R118" s="25">
        <v>177.75267627289156</v>
      </c>
      <c r="S118" s="22">
        <f t="shared" si="1"/>
        <v>2519.2038848117786</v>
      </c>
    </row>
    <row r="119" spans="1:19" x14ac:dyDescent="0.3">
      <c r="A119" t="s">
        <v>141</v>
      </c>
      <c r="B119" t="s">
        <v>142</v>
      </c>
      <c r="C119" t="s">
        <v>143</v>
      </c>
      <c r="D119" t="s">
        <v>162</v>
      </c>
      <c r="E119" t="s">
        <v>169</v>
      </c>
      <c r="F119" s="23" t="s">
        <v>177</v>
      </c>
      <c r="G119" s="25">
        <v>469.40260502653609</v>
      </c>
      <c r="H119" s="25">
        <v>356.20142517848547</v>
      </c>
      <c r="I119" s="25">
        <v>431.13712731052726</v>
      </c>
      <c r="J119" s="25">
        <v>338.17505666592052</v>
      </c>
      <c r="K119" s="25">
        <v>422.63548669463643</v>
      </c>
      <c r="L119" s="25">
        <v>574.65621922608591</v>
      </c>
      <c r="M119" s="25">
        <v>230.77566633533931</v>
      </c>
      <c r="N119" s="25">
        <v>272.00096604250433</v>
      </c>
      <c r="O119" s="25">
        <v>412.71107089120693</v>
      </c>
      <c r="P119" s="25">
        <v>293.91971521372727</v>
      </c>
      <c r="Q119" s="25">
        <v>209.60315588042664</v>
      </c>
      <c r="R119" s="25">
        <v>303.47708629813292</v>
      </c>
      <c r="S119" s="22">
        <f t="shared" si="1"/>
        <v>4314.6955807635286</v>
      </c>
    </row>
    <row r="120" spans="1:19" x14ac:dyDescent="0.3">
      <c r="A120" t="s">
        <v>141</v>
      </c>
      <c r="B120" t="s">
        <v>142</v>
      </c>
      <c r="C120" t="s">
        <v>143</v>
      </c>
      <c r="D120" t="s">
        <v>162</v>
      </c>
      <c r="E120" t="s">
        <v>169</v>
      </c>
      <c r="F120" s="23" t="s">
        <v>178</v>
      </c>
      <c r="G120" s="25">
        <v>1292.3786088621696</v>
      </c>
      <c r="H120" s="25">
        <v>825.71238601858465</v>
      </c>
      <c r="I120" s="25">
        <v>1138.2157700320513</v>
      </c>
      <c r="J120" s="25">
        <v>1058.0257457318162</v>
      </c>
      <c r="K120" s="25">
        <v>1126.9269409668054</v>
      </c>
      <c r="L120" s="25">
        <v>1203.859800075491</v>
      </c>
      <c r="M120" s="25">
        <v>726.87397082892835</v>
      </c>
      <c r="N120" s="25">
        <v>650.40052207374356</v>
      </c>
      <c r="O120" s="25">
        <v>1207.719240458666</v>
      </c>
      <c r="P120" s="25">
        <v>872.25548404071674</v>
      </c>
      <c r="Q120" s="25">
        <v>363.24497100551059</v>
      </c>
      <c r="R120" s="25">
        <v>760.00565213300717</v>
      </c>
      <c r="S120" s="22">
        <f t="shared" si="1"/>
        <v>11225.619092227493</v>
      </c>
    </row>
    <row r="121" spans="1:19" x14ac:dyDescent="0.3">
      <c r="A121" t="s">
        <v>141</v>
      </c>
      <c r="B121" t="s">
        <v>142</v>
      </c>
      <c r="C121" t="s">
        <v>143</v>
      </c>
      <c r="D121" t="s">
        <v>162</v>
      </c>
      <c r="E121" t="s">
        <v>169</v>
      </c>
      <c r="F121" s="23" t="s">
        <v>179</v>
      </c>
      <c r="G121" s="25">
        <v>9.8914214337502937</v>
      </c>
      <c r="H121" s="25">
        <v>9.9972466848974015</v>
      </c>
      <c r="I121" s="25">
        <v>4.7045886297245723</v>
      </c>
      <c r="J121" s="25">
        <v>0</v>
      </c>
      <c r="K121" s="25">
        <v>7.3156314982157822</v>
      </c>
      <c r="L121" s="25">
        <v>13.616835761652153</v>
      </c>
      <c r="M121" s="25">
        <v>5.277955488883161</v>
      </c>
      <c r="N121" s="25">
        <v>0</v>
      </c>
      <c r="O121" s="25">
        <v>0</v>
      </c>
      <c r="P121" s="25">
        <v>0</v>
      </c>
      <c r="Q121" s="25">
        <v>0</v>
      </c>
      <c r="R121" s="25">
        <v>0</v>
      </c>
      <c r="S121" s="22">
        <f t="shared" si="1"/>
        <v>50.803679497123362</v>
      </c>
    </row>
    <row r="122" spans="1:19" x14ac:dyDescent="0.3">
      <c r="A122" t="s">
        <v>141</v>
      </c>
      <c r="B122" t="s">
        <v>142</v>
      </c>
      <c r="C122" t="s">
        <v>143</v>
      </c>
      <c r="D122" t="s">
        <v>162</v>
      </c>
      <c r="E122" t="s">
        <v>169</v>
      </c>
      <c r="F122" s="23" t="s">
        <v>180</v>
      </c>
      <c r="G122" s="25">
        <v>65.641559235865216</v>
      </c>
      <c r="H122" s="25">
        <v>31.16934085568306</v>
      </c>
      <c r="I122" s="25">
        <v>13.672705513552893</v>
      </c>
      <c r="J122" s="25">
        <v>30.388676118374761</v>
      </c>
      <c r="K122" s="25">
        <v>17.598091356063506</v>
      </c>
      <c r="L122" s="25">
        <v>21.141243701181232</v>
      </c>
      <c r="M122" s="25">
        <v>46.875303302147046</v>
      </c>
      <c r="N122" s="25">
        <v>21.111821955532644</v>
      </c>
      <c r="O122" s="25">
        <v>5.866024914331418</v>
      </c>
      <c r="P122" s="25">
        <v>0</v>
      </c>
      <c r="Q122" s="25">
        <v>0</v>
      </c>
      <c r="R122" s="25">
        <v>0</v>
      </c>
      <c r="S122" s="22">
        <f t="shared" si="1"/>
        <v>253.46476695273176</v>
      </c>
    </row>
    <row r="123" spans="1:19" x14ac:dyDescent="0.3">
      <c r="A123" t="s">
        <v>141</v>
      </c>
      <c r="B123" t="s">
        <v>142</v>
      </c>
      <c r="C123" t="s">
        <v>143</v>
      </c>
      <c r="D123" t="s">
        <v>162</v>
      </c>
      <c r="E123" t="s">
        <v>172</v>
      </c>
      <c r="F123" s="23" t="s">
        <v>181</v>
      </c>
      <c r="G123" s="25">
        <v>0</v>
      </c>
      <c r="H123" s="25">
        <v>39.083914781557503</v>
      </c>
      <c r="I123" s="25">
        <v>54.649411264076235</v>
      </c>
      <c r="J123" s="25">
        <v>17.712233639937999</v>
      </c>
      <c r="K123" s="25">
        <v>70.979253478779427</v>
      </c>
      <c r="L123" s="25">
        <v>89.951002214124927</v>
      </c>
      <c r="M123" s="25">
        <v>75.113472742073967</v>
      </c>
      <c r="N123" s="25">
        <v>16.169147717335864</v>
      </c>
      <c r="O123" s="25">
        <v>5.7757272940663755</v>
      </c>
      <c r="P123" s="25">
        <v>5.7757272940663755</v>
      </c>
      <c r="Q123" s="25">
        <v>0</v>
      </c>
      <c r="R123" s="25">
        <v>0</v>
      </c>
      <c r="S123" s="22">
        <f t="shared" si="1"/>
        <v>375.20989042601866</v>
      </c>
    </row>
    <row r="124" spans="1:19" x14ac:dyDescent="0.3">
      <c r="A124" t="s">
        <v>141</v>
      </c>
      <c r="B124" t="s">
        <v>142</v>
      </c>
      <c r="C124" t="s">
        <v>143</v>
      </c>
      <c r="D124" t="s">
        <v>162</v>
      </c>
      <c r="E124" t="s">
        <v>172</v>
      </c>
      <c r="F124" s="23" t="s">
        <v>182</v>
      </c>
      <c r="G124" s="25">
        <v>5.6285078632089336</v>
      </c>
      <c r="H124" s="25">
        <v>56.455046943625611</v>
      </c>
      <c r="I124" s="25">
        <v>42.488273491210073</v>
      </c>
      <c r="J124" s="25">
        <v>0</v>
      </c>
      <c r="K124" s="25">
        <v>33.770100234306135</v>
      </c>
      <c r="L124" s="25">
        <v>122.87356620235553</v>
      </c>
      <c r="M124" s="25">
        <v>62.894405490977114</v>
      </c>
      <c r="N124" s="25">
        <v>5.277955488883161</v>
      </c>
      <c r="O124" s="25">
        <v>0</v>
      </c>
      <c r="P124" s="25">
        <v>0</v>
      </c>
      <c r="Q124" s="25">
        <v>0</v>
      </c>
      <c r="R124" s="25">
        <v>0</v>
      </c>
      <c r="S124" s="22">
        <f t="shared" si="1"/>
        <v>329.38785571456657</v>
      </c>
    </row>
    <row r="125" spans="1:19" x14ac:dyDescent="0.3">
      <c r="A125" t="s">
        <v>141</v>
      </c>
      <c r="B125" t="s">
        <v>142</v>
      </c>
      <c r="C125" t="s">
        <v>143</v>
      </c>
      <c r="D125" t="s">
        <v>162</v>
      </c>
      <c r="E125" t="s">
        <v>172</v>
      </c>
      <c r="F125" s="23" t="s">
        <v>183</v>
      </c>
      <c r="G125" s="25">
        <v>0</v>
      </c>
      <c r="H125" s="25">
        <v>64.982103451833126</v>
      </c>
      <c r="I125" s="25">
        <v>30.465096236942532</v>
      </c>
      <c r="J125" s="25">
        <v>9.4091772594491445</v>
      </c>
      <c r="K125" s="25">
        <v>41.297432074023895</v>
      </c>
      <c r="L125" s="25">
        <v>76.646604540909749</v>
      </c>
      <c r="M125" s="25">
        <v>99.399033537538429</v>
      </c>
      <c r="N125" s="25">
        <v>5.277955488883161</v>
      </c>
      <c r="O125" s="25">
        <v>6.4540943397796768</v>
      </c>
      <c r="P125" s="25">
        <v>0</v>
      </c>
      <c r="Q125" s="25">
        <v>0</v>
      </c>
      <c r="R125" s="25">
        <v>0</v>
      </c>
      <c r="S125" s="22">
        <f t="shared" si="1"/>
        <v>333.9314969293597</v>
      </c>
    </row>
    <row r="126" spans="1:19" x14ac:dyDescent="0.3">
      <c r="A126" t="s">
        <v>141</v>
      </c>
      <c r="B126" t="s">
        <v>142</v>
      </c>
      <c r="C126" t="s">
        <v>143</v>
      </c>
      <c r="D126" t="s">
        <v>162</v>
      </c>
      <c r="E126" t="s">
        <v>172</v>
      </c>
      <c r="F126" s="23" t="s">
        <v>184</v>
      </c>
      <c r="G126" s="25">
        <v>0</v>
      </c>
      <c r="H126" s="25">
        <v>22.787848060277916</v>
      </c>
      <c r="I126" s="25">
        <v>4.7045886297245723</v>
      </c>
      <c r="J126" s="25">
        <v>0</v>
      </c>
      <c r="K126" s="25">
        <v>3.4108292485107032</v>
      </c>
      <c r="L126" s="25">
        <v>6.7143214565721934</v>
      </c>
      <c r="M126" s="25">
        <v>0</v>
      </c>
      <c r="N126" s="25">
        <v>0</v>
      </c>
      <c r="O126" s="25">
        <v>0</v>
      </c>
      <c r="P126" s="25">
        <v>0</v>
      </c>
      <c r="Q126" s="25">
        <v>0</v>
      </c>
      <c r="R126" s="25">
        <v>0</v>
      </c>
      <c r="S126" s="22">
        <f t="shared" si="1"/>
        <v>37.617587395085387</v>
      </c>
    </row>
    <row r="127" spans="1:19" x14ac:dyDescent="0.3">
      <c r="A127" t="s">
        <v>141</v>
      </c>
      <c r="B127" t="s">
        <v>142</v>
      </c>
      <c r="C127" t="s">
        <v>143</v>
      </c>
      <c r="D127" t="s">
        <v>162</v>
      </c>
      <c r="E127" t="s">
        <v>169</v>
      </c>
      <c r="F127" s="23" t="s">
        <v>185</v>
      </c>
      <c r="G127" s="25">
        <v>629.48897882409153</v>
      </c>
      <c r="H127" s="25">
        <v>406.31260649351913</v>
      </c>
      <c r="I127" s="25">
        <v>329.16896648085952</v>
      </c>
      <c r="J127" s="25">
        <v>310.81406966310777</v>
      </c>
      <c r="K127" s="25">
        <v>115.07232814581926</v>
      </c>
      <c r="L127" s="25">
        <v>224.73590828885693</v>
      </c>
      <c r="M127" s="25">
        <v>229.90999917180611</v>
      </c>
      <c r="N127" s="25">
        <v>105.30451629865891</v>
      </c>
      <c r="O127" s="25">
        <v>69.635871726091494</v>
      </c>
      <c r="P127" s="25">
        <v>5.851876901014414</v>
      </c>
      <c r="Q127" s="25">
        <v>0</v>
      </c>
      <c r="R127" s="25">
        <v>0</v>
      </c>
      <c r="S127" s="22">
        <f t="shared" si="1"/>
        <v>2426.2951219938254</v>
      </c>
    </row>
    <row r="128" spans="1:19" x14ac:dyDescent="0.3">
      <c r="A128" t="s">
        <v>141</v>
      </c>
      <c r="B128" t="s">
        <v>142</v>
      </c>
      <c r="C128" t="s">
        <v>143</v>
      </c>
      <c r="D128" t="s">
        <v>162</v>
      </c>
      <c r="E128" t="s">
        <v>169</v>
      </c>
      <c r="F128" s="23" t="s">
        <v>186</v>
      </c>
      <c r="G128" s="25">
        <v>613.90773205879168</v>
      </c>
      <c r="H128" s="25">
        <v>484.55305866604976</v>
      </c>
      <c r="I128" s="25">
        <v>501.16013060191256</v>
      </c>
      <c r="J128" s="25">
        <v>340.50449100578913</v>
      </c>
      <c r="K128" s="25">
        <v>236.47895026401935</v>
      </c>
      <c r="L128" s="25">
        <v>266.36052905648921</v>
      </c>
      <c r="M128" s="25">
        <v>376.88124825830346</v>
      </c>
      <c r="N128" s="25">
        <v>125.64180193212677</v>
      </c>
      <c r="O128" s="25">
        <v>107.92605681960737</v>
      </c>
      <c r="P128" s="25">
        <v>0</v>
      </c>
      <c r="Q128" s="25">
        <v>0</v>
      </c>
      <c r="R128" s="25">
        <v>0</v>
      </c>
      <c r="S128" s="22">
        <f t="shared" si="1"/>
        <v>3053.4139986630889</v>
      </c>
    </row>
    <row r="129" spans="1:19" x14ac:dyDescent="0.3">
      <c r="A129" t="s">
        <v>141</v>
      </c>
      <c r="B129" t="s">
        <v>142</v>
      </c>
      <c r="C129" t="s">
        <v>143</v>
      </c>
      <c r="D129" t="s">
        <v>187</v>
      </c>
      <c r="E129" t="s">
        <v>188</v>
      </c>
      <c r="F129" s="23" t="s">
        <v>189</v>
      </c>
      <c r="G129" s="25">
        <v>4564.8616090480709</v>
      </c>
      <c r="H129" s="25">
        <v>3618.9965729356386</v>
      </c>
      <c r="I129" s="25">
        <v>12521.313861732095</v>
      </c>
      <c r="J129" s="25">
        <v>7542.7192812357816</v>
      </c>
      <c r="K129" s="25">
        <v>13575.504022663366</v>
      </c>
      <c r="L129" s="25">
        <v>15869.089023595598</v>
      </c>
      <c r="M129" s="25">
        <v>22251.884059641456</v>
      </c>
      <c r="N129" s="25">
        <v>13996.915216698741</v>
      </c>
      <c r="O129" s="25">
        <v>9201.5100390712032</v>
      </c>
      <c r="P129" s="25">
        <v>4809.5977764577956</v>
      </c>
      <c r="Q129" s="25">
        <v>5792.2743937634714</v>
      </c>
      <c r="R129" s="25">
        <v>7744.6514887981066</v>
      </c>
      <c r="S129" s="22">
        <f t="shared" si="1"/>
        <v>121489.31734564131</v>
      </c>
    </row>
    <row r="130" spans="1:19" x14ac:dyDescent="0.3">
      <c r="A130" t="s">
        <v>141</v>
      </c>
      <c r="B130" t="s">
        <v>142</v>
      </c>
      <c r="C130" t="s">
        <v>143</v>
      </c>
      <c r="D130" t="s">
        <v>187</v>
      </c>
      <c r="E130" t="s">
        <v>188</v>
      </c>
      <c r="F130" s="23" t="s">
        <v>190</v>
      </c>
      <c r="G130" s="25">
        <v>11574.729143933768</v>
      </c>
      <c r="H130" s="25">
        <v>8961.9423280546107</v>
      </c>
      <c r="I130" s="25">
        <v>14575.468774012621</v>
      </c>
      <c r="J130" s="25">
        <v>8679.2704714019728</v>
      </c>
      <c r="K130" s="25">
        <v>15394.814230607119</v>
      </c>
      <c r="L130" s="25">
        <v>15831.615543061651</v>
      </c>
      <c r="M130" s="25">
        <v>9057.0593889937718</v>
      </c>
      <c r="N130" s="25">
        <v>9420.4114103681932</v>
      </c>
      <c r="O130" s="25">
        <v>22724.581248234044</v>
      </c>
      <c r="P130" s="25">
        <v>19994.638626080668</v>
      </c>
      <c r="Q130" s="25">
        <v>7258.9338294923282</v>
      </c>
      <c r="R130" s="25">
        <v>15857.762989499726</v>
      </c>
      <c r="S130" s="22">
        <f t="shared" si="1"/>
        <v>159331.22798374048</v>
      </c>
    </row>
    <row r="131" spans="1:19" x14ac:dyDescent="0.3">
      <c r="A131" t="s">
        <v>141</v>
      </c>
      <c r="B131" t="s">
        <v>142</v>
      </c>
      <c r="C131" t="s">
        <v>143</v>
      </c>
      <c r="D131" t="s">
        <v>187</v>
      </c>
      <c r="E131" t="s">
        <v>188</v>
      </c>
      <c r="F131" s="23" t="s">
        <v>191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5">
        <v>0</v>
      </c>
      <c r="M131" s="25">
        <v>0</v>
      </c>
      <c r="N131" s="25">
        <v>0</v>
      </c>
      <c r="O131" s="25">
        <v>0</v>
      </c>
      <c r="P131" s="25">
        <v>0</v>
      </c>
      <c r="Q131" s="25">
        <v>0</v>
      </c>
      <c r="R131" s="25">
        <v>0</v>
      </c>
      <c r="S131" s="22">
        <f t="shared" ref="S131:S156" si="2">SUM(G131:R131)</f>
        <v>0</v>
      </c>
    </row>
    <row r="132" spans="1:19" x14ac:dyDescent="0.3">
      <c r="A132" t="s">
        <v>141</v>
      </c>
      <c r="B132" t="s">
        <v>142</v>
      </c>
      <c r="C132" t="s">
        <v>143</v>
      </c>
      <c r="D132" t="s">
        <v>187</v>
      </c>
      <c r="E132" t="s">
        <v>192</v>
      </c>
      <c r="F132" s="23" t="s">
        <v>193</v>
      </c>
      <c r="G132" s="25">
        <v>2025.0997266715231</v>
      </c>
      <c r="H132" s="25">
        <v>2279.6525502073991</v>
      </c>
      <c r="I132" s="25">
        <v>4572.4012194443758</v>
      </c>
      <c r="J132" s="25">
        <v>734.54384583243439</v>
      </c>
      <c r="K132" s="25">
        <v>797.23378478132588</v>
      </c>
      <c r="L132" s="25">
        <v>818.36316607151662</v>
      </c>
      <c r="M132" s="25">
        <v>651.80586746435279</v>
      </c>
      <c r="N132" s="25">
        <v>715.70059206357041</v>
      </c>
      <c r="O132" s="25">
        <v>1453.7660631884291</v>
      </c>
      <c r="P132" s="25">
        <v>715.70059206357041</v>
      </c>
      <c r="Q132" s="25">
        <v>715.70059206357041</v>
      </c>
      <c r="R132" s="25">
        <v>349.09147192802033</v>
      </c>
      <c r="S132" s="22">
        <f t="shared" si="2"/>
        <v>15829.05947178009</v>
      </c>
    </row>
    <row r="133" spans="1:19" x14ac:dyDescent="0.3">
      <c r="A133" t="s">
        <v>141</v>
      </c>
      <c r="B133" t="s">
        <v>142</v>
      </c>
      <c r="C133" t="s">
        <v>143</v>
      </c>
      <c r="D133" t="s">
        <v>187</v>
      </c>
      <c r="E133" t="s">
        <v>192</v>
      </c>
      <c r="F133" s="23" t="s">
        <v>194</v>
      </c>
      <c r="G133" s="25">
        <v>4815.1069721374788</v>
      </c>
      <c r="H133" s="25">
        <v>3776.372463573126</v>
      </c>
      <c r="I133" s="25">
        <v>5729.7191448794511</v>
      </c>
      <c r="J133" s="25">
        <v>5038.6925706788925</v>
      </c>
      <c r="K133" s="25">
        <v>5836.2250331473633</v>
      </c>
      <c r="L133" s="25">
        <v>6940.8109431931407</v>
      </c>
      <c r="M133" s="25">
        <v>5662.0221119598164</v>
      </c>
      <c r="N133" s="25">
        <v>6091.6052367200491</v>
      </c>
      <c r="O133" s="25">
        <v>7020.1363231512778</v>
      </c>
      <c r="P133" s="25">
        <v>5810.1616319694467</v>
      </c>
      <c r="Q133" s="25">
        <v>5010.0897910962358</v>
      </c>
      <c r="R133" s="25">
        <v>5411.3638820674923</v>
      </c>
      <c r="S133" s="22">
        <f t="shared" si="2"/>
        <v>67142.30610457377</v>
      </c>
    </row>
    <row r="134" spans="1:19" x14ac:dyDescent="0.3">
      <c r="A134" t="s">
        <v>141</v>
      </c>
      <c r="B134" t="s">
        <v>142</v>
      </c>
      <c r="C134" t="s">
        <v>143</v>
      </c>
      <c r="D134" t="s">
        <v>187</v>
      </c>
      <c r="E134" t="s">
        <v>192</v>
      </c>
      <c r="F134" s="23" t="s">
        <v>195</v>
      </c>
      <c r="G134" s="25">
        <v>2938.0233272310234</v>
      </c>
      <c r="H134" s="25">
        <v>1699.1425060528582</v>
      </c>
      <c r="I134" s="25">
        <v>1812.6157905926641</v>
      </c>
      <c r="J134" s="25">
        <v>2119.4140584210845</v>
      </c>
      <c r="K134" s="25">
        <v>2953.5923216274382</v>
      </c>
      <c r="L134" s="25">
        <v>3529.0127302503579</v>
      </c>
      <c r="M134" s="25">
        <v>6611.9130831388047</v>
      </c>
      <c r="N134" s="25">
        <v>4915.5120920431627</v>
      </c>
      <c r="O134" s="25">
        <v>3092.2182883539044</v>
      </c>
      <c r="P134" s="25">
        <v>1846.6020665351648</v>
      </c>
      <c r="Q134" s="25">
        <v>2351.0856190501841</v>
      </c>
      <c r="R134" s="25">
        <v>1991.1325332268093</v>
      </c>
      <c r="S134" s="22">
        <f t="shared" si="2"/>
        <v>35860.264416523452</v>
      </c>
    </row>
    <row r="135" spans="1:19" x14ac:dyDescent="0.3">
      <c r="A135" t="s">
        <v>141</v>
      </c>
      <c r="B135" t="s">
        <v>142</v>
      </c>
      <c r="C135" t="s">
        <v>143</v>
      </c>
      <c r="D135" t="s">
        <v>187</v>
      </c>
      <c r="E135" t="s">
        <v>196</v>
      </c>
      <c r="F135" s="23" t="s">
        <v>197</v>
      </c>
      <c r="G135" s="25">
        <v>14270.206179830046</v>
      </c>
      <c r="H135" s="25">
        <v>10091.4241165243</v>
      </c>
      <c r="I135" s="25">
        <v>25272.861723332437</v>
      </c>
      <c r="J135" s="25">
        <v>6632.9952685608478</v>
      </c>
      <c r="K135" s="25">
        <v>9255.3938980912517</v>
      </c>
      <c r="L135" s="25">
        <v>12695.471152139515</v>
      </c>
      <c r="M135" s="25">
        <v>17259.567073557493</v>
      </c>
      <c r="N135" s="25">
        <v>10345.582389855834</v>
      </c>
      <c r="O135" s="25">
        <v>10615.72589489352</v>
      </c>
      <c r="P135" s="25">
        <v>21979.702059621672</v>
      </c>
      <c r="Q135" s="25">
        <v>6648.7774349439533</v>
      </c>
      <c r="R135" s="25">
        <v>20698.299792829264</v>
      </c>
      <c r="S135" s="22">
        <f t="shared" si="2"/>
        <v>165766.00698418013</v>
      </c>
    </row>
    <row r="136" spans="1:19" x14ac:dyDescent="0.3">
      <c r="A136" t="s">
        <v>141</v>
      </c>
      <c r="B136" t="s">
        <v>142</v>
      </c>
      <c r="C136" t="s">
        <v>143</v>
      </c>
      <c r="D136" t="s">
        <v>187</v>
      </c>
      <c r="E136" t="s">
        <v>196</v>
      </c>
      <c r="F136" s="23" t="s">
        <v>198</v>
      </c>
      <c r="G136" s="25">
        <v>26422.557904158941</v>
      </c>
      <c r="H136" s="25">
        <v>22449.597944645451</v>
      </c>
      <c r="I136" s="25">
        <v>34838.722186098821</v>
      </c>
      <c r="J136" s="25">
        <v>28631.571678043736</v>
      </c>
      <c r="K136" s="25">
        <v>34654.880366864636</v>
      </c>
      <c r="L136" s="25">
        <v>30308.538914715558</v>
      </c>
      <c r="M136" s="25">
        <v>23245.877342027707</v>
      </c>
      <c r="N136" s="25">
        <v>23423.599387284128</v>
      </c>
      <c r="O136" s="25">
        <v>35909.473666478982</v>
      </c>
      <c r="P136" s="25">
        <v>38441.858754778521</v>
      </c>
      <c r="Q136" s="25">
        <v>23710.409111191519</v>
      </c>
      <c r="R136" s="25">
        <v>29684.690588151891</v>
      </c>
      <c r="S136" s="22">
        <f t="shared" si="2"/>
        <v>351721.77784443984</v>
      </c>
    </row>
    <row r="137" spans="1:19" x14ac:dyDescent="0.3">
      <c r="A137" t="s">
        <v>141</v>
      </c>
      <c r="B137" t="s">
        <v>142</v>
      </c>
      <c r="C137" t="s">
        <v>143</v>
      </c>
      <c r="D137" t="s">
        <v>187</v>
      </c>
      <c r="E137" t="s">
        <v>196</v>
      </c>
      <c r="F137" s="23" t="s">
        <v>199</v>
      </c>
      <c r="G137" s="25">
        <v>50781.502384576772</v>
      </c>
      <c r="H137" s="25">
        <v>44311.786788782076</v>
      </c>
      <c r="I137" s="25">
        <v>64599.978463648593</v>
      </c>
      <c r="J137" s="25">
        <v>46572.081405036515</v>
      </c>
      <c r="K137" s="25">
        <v>69594.773825216558</v>
      </c>
      <c r="L137" s="25">
        <v>59831.239013537175</v>
      </c>
      <c r="M137" s="25">
        <v>46319.32518373389</v>
      </c>
      <c r="N137" s="25">
        <v>47909.826213693072</v>
      </c>
      <c r="O137" s="25">
        <v>82884.58572158881</v>
      </c>
      <c r="P137" s="25">
        <v>85609.652252394677</v>
      </c>
      <c r="Q137" s="25">
        <v>43501.113210313801</v>
      </c>
      <c r="R137" s="25">
        <v>57708.036913933691</v>
      </c>
      <c r="S137" s="22">
        <f t="shared" si="2"/>
        <v>699623.90137645567</v>
      </c>
    </row>
    <row r="138" spans="1:19" x14ac:dyDescent="0.3">
      <c r="A138" t="s">
        <v>141</v>
      </c>
      <c r="B138" t="s">
        <v>142</v>
      </c>
      <c r="C138" t="s">
        <v>143</v>
      </c>
      <c r="D138" t="s">
        <v>187</v>
      </c>
      <c r="E138" t="s">
        <v>200</v>
      </c>
      <c r="F138" s="23" t="s">
        <v>201</v>
      </c>
      <c r="G138" s="25">
        <v>3526.9786281659526</v>
      </c>
      <c r="H138" s="25">
        <v>3526.9786281659526</v>
      </c>
      <c r="I138" s="25">
        <v>4219.1090274467015</v>
      </c>
      <c r="J138" s="25">
        <v>2757.482307351695</v>
      </c>
      <c r="K138" s="25">
        <v>2757.482307351695</v>
      </c>
      <c r="L138" s="25">
        <v>2769.6723073516951</v>
      </c>
      <c r="M138" s="25">
        <v>3106.8050957706578</v>
      </c>
      <c r="N138" s="25">
        <v>3106.8050957706578</v>
      </c>
      <c r="O138" s="25">
        <v>3106.8050957706578</v>
      </c>
      <c r="P138" s="25">
        <v>3427.8603934758689</v>
      </c>
      <c r="Q138" s="25">
        <v>3085.8826050569069</v>
      </c>
      <c r="R138" s="25">
        <v>2981.5058391551743</v>
      </c>
      <c r="S138" s="22">
        <f t="shared" si="2"/>
        <v>38373.367330833615</v>
      </c>
    </row>
    <row r="139" spans="1:19" x14ac:dyDescent="0.3">
      <c r="A139" t="s">
        <v>141</v>
      </c>
      <c r="B139" t="s">
        <v>142</v>
      </c>
      <c r="C139" t="s">
        <v>143</v>
      </c>
      <c r="D139" t="s">
        <v>187</v>
      </c>
      <c r="E139" t="s">
        <v>200</v>
      </c>
      <c r="F139" s="23" t="s">
        <v>202</v>
      </c>
      <c r="G139" s="25">
        <v>4152.0224732511442</v>
      </c>
      <c r="H139" s="25">
        <v>4152.0224732511442</v>
      </c>
      <c r="I139" s="25">
        <v>4993.3559735947356</v>
      </c>
      <c r="J139" s="25">
        <v>3273.6454238332576</v>
      </c>
      <c r="K139" s="25">
        <v>3273.6454238332576</v>
      </c>
      <c r="L139" s="25">
        <v>3281.0654238332572</v>
      </c>
      <c r="M139" s="25">
        <v>3685.8986018124147</v>
      </c>
      <c r="N139" s="25">
        <v>3685.8986018124147</v>
      </c>
      <c r="O139" s="25">
        <v>3685.8986018124147</v>
      </c>
      <c r="P139" s="25">
        <v>4088.7015341944002</v>
      </c>
      <c r="Q139" s="25">
        <v>3680.6483562152421</v>
      </c>
      <c r="R139" s="25">
        <v>3548.2140454212536</v>
      </c>
      <c r="S139" s="22">
        <f t="shared" si="2"/>
        <v>45501.016932864943</v>
      </c>
    </row>
    <row r="140" spans="1:19" x14ac:dyDescent="0.3">
      <c r="A140" t="s">
        <v>141</v>
      </c>
      <c r="B140" t="s">
        <v>142</v>
      </c>
      <c r="C140" t="s">
        <v>143</v>
      </c>
      <c r="D140" t="s">
        <v>187</v>
      </c>
      <c r="E140" t="s">
        <v>203</v>
      </c>
      <c r="F140" s="23" t="s">
        <v>204</v>
      </c>
      <c r="G140" s="25">
        <v>7768.5720401587942</v>
      </c>
      <c r="H140" s="25">
        <v>6294.6873346127513</v>
      </c>
      <c r="I140" s="25">
        <v>8155.2207723591209</v>
      </c>
      <c r="J140" s="25">
        <v>7464.6115192982052</v>
      </c>
      <c r="K140" s="25">
        <v>9485.2764951026056</v>
      </c>
      <c r="L140" s="25">
        <v>10077.769652168759</v>
      </c>
      <c r="M140" s="25">
        <v>9613.1673062273549</v>
      </c>
      <c r="N140" s="25">
        <v>9762.8634312654358</v>
      </c>
      <c r="O140" s="25">
        <v>7555.1594313669657</v>
      </c>
      <c r="P140" s="25">
        <v>10889.226362668132</v>
      </c>
      <c r="Q140" s="25">
        <v>9559.4516040582293</v>
      </c>
      <c r="R140" s="25">
        <v>6478.2712194731948</v>
      </c>
      <c r="S140" s="22">
        <f t="shared" si="2"/>
        <v>103104.27716875955</v>
      </c>
    </row>
    <row r="141" spans="1:19" x14ac:dyDescent="0.3">
      <c r="A141" t="s">
        <v>141</v>
      </c>
      <c r="B141" t="s">
        <v>205</v>
      </c>
      <c r="C141" t="s">
        <v>206</v>
      </c>
      <c r="D141" t="s">
        <v>207</v>
      </c>
      <c r="E141" t="s">
        <v>208</v>
      </c>
      <c r="F141" s="23" t="s">
        <v>209</v>
      </c>
      <c r="G141" s="25">
        <v>14999.999999999998</v>
      </c>
      <c r="H141" s="25">
        <v>10000</v>
      </c>
      <c r="I141" s="25">
        <v>20000</v>
      </c>
      <c r="J141" s="25">
        <v>10000</v>
      </c>
      <c r="K141" s="25">
        <v>14999.999999999998</v>
      </c>
      <c r="L141" s="25">
        <v>41000</v>
      </c>
      <c r="M141" s="25">
        <v>36000</v>
      </c>
      <c r="N141" s="25">
        <v>36000</v>
      </c>
      <c r="O141" s="25">
        <v>20000</v>
      </c>
      <c r="P141" s="25">
        <v>15999.999999999998</v>
      </c>
      <c r="Q141" s="25">
        <v>20000</v>
      </c>
      <c r="R141" s="25">
        <v>25000.000000000004</v>
      </c>
      <c r="S141" s="22">
        <f t="shared" si="2"/>
        <v>264000</v>
      </c>
    </row>
    <row r="142" spans="1:19" x14ac:dyDescent="0.3">
      <c r="A142" t="s">
        <v>141</v>
      </c>
      <c r="B142" t="s">
        <v>205</v>
      </c>
      <c r="C142" t="s">
        <v>206</v>
      </c>
      <c r="D142" t="s">
        <v>207</v>
      </c>
      <c r="E142" t="s">
        <v>208</v>
      </c>
      <c r="F142" s="23" t="s">
        <v>210</v>
      </c>
      <c r="G142" s="25">
        <v>0</v>
      </c>
      <c r="H142" s="25">
        <v>0</v>
      </c>
      <c r="I142" s="25">
        <v>0</v>
      </c>
      <c r="J142" s="25">
        <v>0</v>
      </c>
      <c r="K142" s="25">
        <v>0</v>
      </c>
      <c r="L142" s="25">
        <v>0</v>
      </c>
      <c r="M142" s="25">
        <v>0</v>
      </c>
      <c r="N142" s="25">
        <v>0</v>
      </c>
      <c r="O142" s="25">
        <v>0</v>
      </c>
      <c r="P142" s="25">
        <v>0</v>
      </c>
      <c r="Q142" s="25">
        <v>0</v>
      </c>
      <c r="R142" s="25">
        <v>0</v>
      </c>
      <c r="S142" s="22">
        <f t="shared" si="2"/>
        <v>0</v>
      </c>
    </row>
    <row r="143" spans="1:19" x14ac:dyDescent="0.3">
      <c r="A143" t="s">
        <v>141</v>
      </c>
      <c r="B143" t="s">
        <v>205</v>
      </c>
      <c r="C143" t="s">
        <v>206</v>
      </c>
      <c r="D143" t="s">
        <v>207</v>
      </c>
      <c r="E143" t="s">
        <v>208</v>
      </c>
      <c r="F143" s="23" t="s">
        <v>211</v>
      </c>
      <c r="G143" s="25">
        <v>129383.80823626831</v>
      </c>
      <c r="H143" s="25">
        <v>30000</v>
      </c>
      <c r="I143" s="25">
        <v>164246.49273705867</v>
      </c>
      <c r="J143" s="25">
        <v>9141.3611294148577</v>
      </c>
      <c r="K143" s="25">
        <v>60883.044673179596</v>
      </c>
      <c r="L143" s="25">
        <v>79804.614460571131</v>
      </c>
      <c r="M143" s="25">
        <v>60397.6579565797</v>
      </c>
      <c r="N143" s="25">
        <v>45969.279980406543</v>
      </c>
      <c r="O143" s="25">
        <v>32502.903066298582</v>
      </c>
      <c r="P143" s="25">
        <v>24418.550677310501</v>
      </c>
      <c r="Q143" s="25">
        <v>17713.924612361119</v>
      </c>
      <c r="R143" s="25">
        <v>15551.142010764543</v>
      </c>
      <c r="S143" s="22">
        <f t="shared" si="2"/>
        <v>670012.77954021352</v>
      </c>
    </row>
    <row r="144" spans="1:19" x14ac:dyDescent="0.3">
      <c r="A144" t="s">
        <v>141</v>
      </c>
      <c r="B144" t="s">
        <v>205</v>
      </c>
      <c r="C144" t="s">
        <v>206</v>
      </c>
      <c r="D144" t="s">
        <v>207</v>
      </c>
      <c r="E144" t="s">
        <v>212</v>
      </c>
      <c r="F144" s="23" t="s">
        <v>213</v>
      </c>
      <c r="G144" s="25">
        <v>0</v>
      </c>
      <c r="H144" s="25">
        <v>0</v>
      </c>
      <c r="I144" s="25">
        <v>0</v>
      </c>
      <c r="J144" s="25">
        <v>62167</v>
      </c>
      <c r="K144" s="25">
        <v>42167</v>
      </c>
      <c r="L144" s="25">
        <v>42167</v>
      </c>
      <c r="M144" s="25">
        <v>52167</v>
      </c>
      <c r="N144" s="25">
        <v>52167</v>
      </c>
      <c r="O144" s="25">
        <v>52167</v>
      </c>
      <c r="P144" s="25">
        <v>40000</v>
      </c>
      <c r="Q144" s="25">
        <v>70000</v>
      </c>
      <c r="R144" s="25">
        <v>90000</v>
      </c>
      <c r="S144" s="22">
        <f t="shared" si="2"/>
        <v>503002</v>
      </c>
    </row>
    <row r="145" spans="1:19" x14ac:dyDescent="0.3">
      <c r="A145" t="s">
        <v>141</v>
      </c>
      <c r="B145" t="s">
        <v>214</v>
      </c>
      <c r="C145" t="s">
        <v>206</v>
      </c>
      <c r="D145" t="s">
        <v>215</v>
      </c>
      <c r="E145" t="s">
        <v>216</v>
      </c>
      <c r="F145" s="23" t="s">
        <v>217</v>
      </c>
      <c r="G145" s="25">
        <v>23595.29437650193</v>
      </c>
      <c r="H145" s="25">
        <v>9812.9547886100827</v>
      </c>
      <c r="I145" s="25">
        <v>17172.851682752244</v>
      </c>
      <c r="J145" s="25">
        <v>14184.974841120547</v>
      </c>
      <c r="K145" s="25">
        <v>16085.983100540217</v>
      </c>
      <c r="L145" s="25">
        <v>18286.621735053028</v>
      </c>
      <c r="M145" s="25">
        <v>15680.701656685815</v>
      </c>
      <c r="N145" s="25">
        <v>17942.961663456874</v>
      </c>
      <c r="O145" s="25">
        <v>23407.64529868606</v>
      </c>
      <c r="P145" s="25">
        <v>19121.666549038451</v>
      </c>
      <c r="Q145" s="25">
        <v>12673.706095382595</v>
      </c>
      <c r="R145" s="25">
        <v>13676.652622575582</v>
      </c>
      <c r="S145" s="22">
        <f t="shared" si="2"/>
        <v>201642.01441040344</v>
      </c>
    </row>
    <row r="146" spans="1:19" x14ac:dyDescent="0.3">
      <c r="A146" t="s">
        <v>141</v>
      </c>
      <c r="B146" t="s">
        <v>205</v>
      </c>
      <c r="C146" t="s">
        <v>206</v>
      </c>
      <c r="D146" t="s">
        <v>207</v>
      </c>
      <c r="E146" t="s">
        <v>218</v>
      </c>
      <c r="F146" s="23" t="s">
        <v>219</v>
      </c>
      <c r="G146" s="25">
        <v>130318.00606314519</v>
      </c>
      <c r="H146" s="25">
        <v>51891.70622581015</v>
      </c>
      <c r="I146" s="25">
        <v>170857.2267360414</v>
      </c>
      <c r="J146" s="25">
        <v>115371.98304627517</v>
      </c>
      <c r="K146" s="25">
        <v>120261.52014480261</v>
      </c>
      <c r="L146" s="25">
        <v>154115.70035318733</v>
      </c>
      <c r="M146" s="25">
        <v>135834.6343261468</v>
      </c>
      <c r="N146" s="25">
        <v>121091.98006035617</v>
      </c>
      <c r="O146" s="25">
        <v>192353.33652910742</v>
      </c>
      <c r="P146" s="25">
        <v>157695.79997882739</v>
      </c>
      <c r="Q146" s="25">
        <v>89729.458874996635</v>
      </c>
      <c r="R146" s="25">
        <v>100008.21540966671</v>
      </c>
      <c r="S146" s="22">
        <f t="shared" si="2"/>
        <v>1539529.5677483631</v>
      </c>
    </row>
    <row r="147" spans="1:19" x14ac:dyDescent="0.3">
      <c r="A147" t="s">
        <v>141</v>
      </c>
      <c r="B147" t="s">
        <v>205</v>
      </c>
      <c r="C147" t="s">
        <v>206</v>
      </c>
      <c r="D147" t="s">
        <v>207</v>
      </c>
      <c r="E147" t="s">
        <v>218</v>
      </c>
      <c r="F147" s="23" t="s">
        <v>220</v>
      </c>
      <c r="G147" s="25">
        <v>274648.85186881234</v>
      </c>
      <c r="H147" s="25">
        <v>106284.52962668492</v>
      </c>
      <c r="I147" s="25">
        <v>349563.59766623867</v>
      </c>
      <c r="J147" s="25">
        <v>245736.649080556</v>
      </c>
      <c r="K147" s="25">
        <v>248334.16236616083</v>
      </c>
      <c r="L147" s="25">
        <v>323898.61146954889</v>
      </c>
      <c r="M147" s="25">
        <v>275650.05977226724</v>
      </c>
      <c r="N147" s="25">
        <v>254066.63887637187</v>
      </c>
      <c r="O147" s="25">
        <v>415093.92043869291</v>
      </c>
      <c r="P147" s="25">
        <v>323825.1776291008</v>
      </c>
      <c r="Q147" s="25">
        <v>191098.00339494442</v>
      </c>
      <c r="R147" s="25">
        <v>197940.80863757434</v>
      </c>
      <c r="S147" s="22">
        <f t="shared" si="2"/>
        <v>3206141.0108269532</v>
      </c>
    </row>
    <row r="148" spans="1:19" x14ac:dyDescent="0.3">
      <c r="A148" t="s">
        <v>141</v>
      </c>
      <c r="B148" t="s">
        <v>205</v>
      </c>
      <c r="C148" t="s">
        <v>206</v>
      </c>
      <c r="D148" t="s">
        <v>207</v>
      </c>
      <c r="E148" t="s">
        <v>218</v>
      </c>
      <c r="F148" s="23" t="s">
        <v>221</v>
      </c>
      <c r="G148" s="25">
        <v>278994.13748633442</v>
      </c>
      <c r="H148" s="25">
        <v>109359.86119341545</v>
      </c>
      <c r="I148" s="25">
        <v>376806.76827890793</v>
      </c>
      <c r="J148" s="25">
        <v>250868.07338519249</v>
      </c>
      <c r="K148" s="25">
        <v>240204.43317785056</v>
      </c>
      <c r="L148" s="25">
        <v>320406.95977656776</v>
      </c>
      <c r="M148" s="25">
        <v>296236.16671620257</v>
      </c>
      <c r="N148" s="25">
        <v>261223.72100879438</v>
      </c>
      <c r="O148" s="25">
        <v>385645.65155473375</v>
      </c>
      <c r="P148" s="25">
        <v>301692.30377870088</v>
      </c>
      <c r="Q148" s="25">
        <v>197759.53828174405</v>
      </c>
      <c r="R148" s="25">
        <v>179781.87008707703</v>
      </c>
      <c r="S148" s="22">
        <f t="shared" si="2"/>
        <v>3198979.4847255209</v>
      </c>
    </row>
    <row r="149" spans="1:19" x14ac:dyDescent="0.3">
      <c r="A149" t="s">
        <v>141</v>
      </c>
      <c r="B149" t="s">
        <v>205</v>
      </c>
      <c r="C149" t="s">
        <v>206</v>
      </c>
      <c r="D149" t="s">
        <v>207</v>
      </c>
      <c r="E149" t="s">
        <v>222</v>
      </c>
      <c r="F149" s="23" t="s">
        <v>223</v>
      </c>
      <c r="G149" s="25">
        <v>17940.835555720805</v>
      </c>
      <c r="H149" s="25">
        <v>14470.818150927229</v>
      </c>
      <c r="I149" s="25">
        <v>19924.147437078398</v>
      </c>
      <c r="J149" s="25">
        <v>9011.9906281022122</v>
      </c>
      <c r="K149" s="25">
        <v>20081.862245082604</v>
      </c>
      <c r="L149" s="25">
        <v>21889.27936734934</v>
      </c>
      <c r="M149" s="25">
        <v>20400.756597797263</v>
      </c>
      <c r="N149" s="25">
        <v>10621.044349340058</v>
      </c>
      <c r="O149" s="25">
        <v>7569.1978035228403</v>
      </c>
      <c r="P149" s="25">
        <v>9764.8236604249869</v>
      </c>
      <c r="Q149" s="25">
        <v>8739.603759575486</v>
      </c>
      <c r="R149" s="25">
        <v>9488.9949355329172</v>
      </c>
      <c r="S149" s="22">
        <f t="shared" si="2"/>
        <v>169903.35449045416</v>
      </c>
    </row>
    <row r="150" spans="1:19" x14ac:dyDescent="0.3">
      <c r="A150" t="s">
        <v>141</v>
      </c>
      <c r="B150" t="s">
        <v>205</v>
      </c>
      <c r="C150" t="s">
        <v>206</v>
      </c>
      <c r="D150" t="s">
        <v>207</v>
      </c>
      <c r="E150" t="s">
        <v>222</v>
      </c>
      <c r="F150" s="23" t="s">
        <v>224</v>
      </c>
      <c r="G150" s="25">
        <v>13354.794773656942</v>
      </c>
      <c r="H150" s="25">
        <v>9350.6820594421788</v>
      </c>
      <c r="I150" s="25">
        <v>16065.089749309696</v>
      </c>
      <c r="J150" s="25">
        <v>10646.496293236958</v>
      </c>
      <c r="K150" s="25">
        <v>12096.079284826666</v>
      </c>
      <c r="L150" s="25">
        <v>13118.572650393044</v>
      </c>
      <c r="M150" s="25">
        <v>8381.3240208532698</v>
      </c>
      <c r="N150" s="25">
        <v>10587.761584577172</v>
      </c>
      <c r="O150" s="25">
        <v>16025.98448607164</v>
      </c>
      <c r="P150" s="25">
        <v>15251.401388553053</v>
      </c>
      <c r="Q150" s="25">
        <v>6396.0190742547466</v>
      </c>
      <c r="R150" s="25">
        <v>13748.901812373184</v>
      </c>
      <c r="S150" s="22">
        <f t="shared" si="2"/>
        <v>145023.10717754858</v>
      </c>
    </row>
    <row r="151" spans="1:19" x14ac:dyDescent="0.3">
      <c r="A151" t="s">
        <v>141</v>
      </c>
      <c r="B151" t="s">
        <v>205</v>
      </c>
      <c r="C151" t="s">
        <v>206</v>
      </c>
      <c r="D151" t="s">
        <v>207</v>
      </c>
      <c r="E151" t="s">
        <v>222</v>
      </c>
      <c r="F151" s="23" t="s">
        <v>225</v>
      </c>
      <c r="G151" s="25">
        <v>14227.705738793073</v>
      </c>
      <c r="H151" s="25">
        <v>10620.353663900894</v>
      </c>
      <c r="I151" s="25">
        <v>16347.138224446182</v>
      </c>
      <c r="J151" s="25">
        <v>10348.980611339332</v>
      </c>
      <c r="K151" s="25">
        <v>14508.309650254596</v>
      </c>
      <c r="L151" s="25">
        <v>14999.282807738915</v>
      </c>
      <c r="M151" s="25">
        <v>15195.500428101481</v>
      </c>
      <c r="N151" s="25">
        <v>11485.953442838927</v>
      </c>
      <c r="O151" s="25">
        <v>10772.606410730934</v>
      </c>
      <c r="P151" s="25">
        <v>13306.144188667358</v>
      </c>
      <c r="Q151" s="25">
        <v>11443.463621474262</v>
      </c>
      <c r="R151" s="25">
        <v>13219.368154886104</v>
      </c>
      <c r="S151" s="22">
        <f t="shared" si="2"/>
        <v>156474.80694317204</v>
      </c>
    </row>
    <row r="152" spans="1:19" x14ac:dyDescent="0.3">
      <c r="A152" t="s">
        <v>141</v>
      </c>
      <c r="B152" t="s">
        <v>205</v>
      </c>
      <c r="C152" t="s">
        <v>206</v>
      </c>
      <c r="D152" t="s">
        <v>207</v>
      </c>
      <c r="E152" t="s">
        <v>222</v>
      </c>
      <c r="F152" s="23" t="s">
        <v>226</v>
      </c>
      <c r="G152" s="25">
        <v>18239.095022216126</v>
      </c>
      <c r="H152" s="25">
        <v>15590.124283751751</v>
      </c>
      <c r="I152" s="25">
        <v>41256.0834398691</v>
      </c>
      <c r="J152" s="25">
        <v>27408.01522744336</v>
      </c>
      <c r="K152" s="25">
        <v>42647.196302828372</v>
      </c>
      <c r="L152" s="25">
        <v>25344.873483320443</v>
      </c>
      <c r="M152" s="25">
        <v>23802.506667823713</v>
      </c>
      <c r="N152" s="25">
        <v>27854.545037578617</v>
      </c>
      <c r="O152" s="25">
        <v>32335.971964043587</v>
      </c>
      <c r="P152" s="25">
        <v>24020.705674799159</v>
      </c>
      <c r="Q152" s="25">
        <v>13902.687257191285</v>
      </c>
      <c r="R152" s="25">
        <v>15707.386138383743</v>
      </c>
      <c r="S152" s="22">
        <f t="shared" si="2"/>
        <v>308109.19049924926</v>
      </c>
    </row>
    <row r="153" spans="1:19" x14ac:dyDescent="0.3">
      <c r="A153" t="s">
        <v>141</v>
      </c>
      <c r="B153" t="s">
        <v>205</v>
      </c>
      <c r="C153" t="s">
        <v>206</v>
      </c>
      <c r="D153" t="s">
        <v>207</v>
      </c>
      <c r="E153" t="s">
        <v>227</v>
      </c>
      <c r="F153" s="23" t="s">
        <v>228</v>
      </c>
      <c r="G153" s="25">
        <v>94649.885921488923</v>
      </c>
      <c r="H153" s="25">
        <v>64316.52865539676</v>
      </c>
      <c r="I153" s="25">
        <v>185197.77421278879</v>
      </c>
      <c r="J153" s="25">
        <v>60920.533877306872</v>
      </c>
      <c r="K153" s="25">
        <v>119572.30965172526</v>
      </c>
      <c r="L153" s="25">
        <v>158950.15491422621</v>
      </c>
      <c r="M153" s="25">
        <v>125778.61713679219</v>
      </c>
      <c r="N153" s="25">
        <v>130079.54797560142</v>
      </c>
      <c r="O153" s="25">
        <v>134675.92596812017</v>
      </c>
      <c r="P153" s="25">
        <v>131627.09381254367</v>
      </c>
      <c r="Q153" s="25">
        <v>86271.370031857747</v>
      </c>
      <c r="R153" s="25">
        <v>116112.1262877931</v>
      </c>
      <c r="S153" s="22">
        <f t="shared" si="2"/>
        <v>1408151.8684456411</v>
      </c>
    </row>
    <row r="154" spans="1:19" x14ac:dyDescent="0.3">
      <c r="A154" t="s">
        <v>141</v>
      </c>
      <c r="B154" t="s">
        <v>205</v>
      </c>
      <c r="C154" t="s">
        <v>206</v>
      </c>
      <c r="D154" t="s">
        <v>207</v>
      </c>
      <c r="E154" t="s">
        <v>227</v>
      </c>
      <c r="F154" s="23" t="s">
        <v>229</v>
      </c>
      <c r="G154" s="25">
        <v>98779.031764064726</v>
      </c>
      <c r="H154" s="25">
        <v>55184.03298104601</v>
      </c>
      <c r="I154" s="25">
        <v>159349.36705676946</v>
      </c>
      <c r="J154" s="25">
        <v>92376.45155637995</v>
      </c>
      <c r="K154" s="25">
        <v>118206.85876352323</v>
      </c>
      <c r="L154" s="25">
        <v>141956.43832521196</v>
      </c>
      <c r="M154" s="25">
        <v>119282.78799045493</v>
      </c>
      <c r="N154" s="25">
        <v>137846.62145620375</v>
      </c>
      <c r="O154" s="25">
        <v>142987.52604160612</v>
      </c>
      <c r="P154" s="25">
        <v>109576.01590812128</v>
      </c>
      <c r="Q154" s="25">
        <v>79847.372012952197</v>
      </c>
      <c r="R154" s="25">
        <v>91057.759644838705</v>
      </c>
      <c r="S154" s="22">
        <f t="shared" si="2"/>
        <v>1346450.2635011724</v>
      </c>
    </row>
    <row r="155" spans="1:19" x14ac:dyDescent="0.3">
      <c r="A155" t="s">
        <v>141</v>
      </c>
      <c r="B155" t="s">
        <v>205</v>
      </c>
      <c r="C155" t="s">
        <v>206</v>
      </c>
      <c r="D155" t="s">
        <v>207</v>
      </c>
      <c r="E155" t="s">
        <v>227</v>
      </c>
      <c r="F155" s="23" t="s">
        <v>230</v>
      </c>
      <c r="G155" s="25">
        <v>58303.505740033135</v>
      </c>
      <c r="H155" s="25">
        <v>36902.750312225471</v>
      </c>
      <c r="I155" s="25">
        <v>106526.74874126341</v>
      </c>
      <c r="J155" s="25">
        <v>43523.684311725032</v>
      </c>
      <c r="K155" s="25">
        <v>60096.824155617178</v>
      </c>
      <c r="L155" s="25">
        <v>80486.517018463695</v>
      </c>
      <c r="M155" s="25">
        <v>91809.915427157321</v>
      </c>
      <c r="N155" s="25">
        <v>87457.038546977303</v>
      </c>
      <c r="O155" s="25">
        <v>74741.344190877513</v>
      </c>
      <c r="P155" s="25">
        <v>61009.901763803849</v>
      </c>
      <c r="Q155" s="25">
        <v>53628.431810846174</v>
      </c>
      <c r="R155" s="25">
        <v>49945.321560793484</v>
      </c>
      <c r="S155" s="22">
        <f t="shared" si="2"/>
        <v>804431.98357978347</v>
      </c>
    </row>
    <row r="156" spans="1:19" x14ac:dyDescent="0.3">
      <c r="A156" t="s">
        <v>141</v>
      </c>
      <c r="B156" t="s">
        <v>205</v>
      </c>
      <c r="C156" t="s">
        <v>206</v>
      </c>
      <c r="D156" t="s">
        <v>207</v>
      </c>
      <c r="E156" t="s">
        <v>227</v>
      </c>
      <c r="F156" s="23" t="s">
        <v>231</v>
      </c>
      <c r="G156" s="25">
        <v>88557.668504927307</v>
      </c>
      <c r="H156" s="25">
        <v>50941.283366254276</v>
      </c>
      <c r="I156" s="25">
        <v>150399.86195304047</v>
      </c>
      <c r="J156" s="25">
        <v>73507.679290483211</v>
      </c>
      <c r="K156" s="25">
        <v>108755.32182424329</v>
      </c>
      <c r="L156" s="25">
        <v>142247.96024472266</v>
      </c>
      <c r="M156" s="25">
        <v>118168.10135425974</v>
      </c>
      <c r="N156" s="25">
        <v>129407.27769128521</v>
      </c>
      <c r="O156" s="25">
        <v>119360.96428463838</v>
      </c>
      <c r="P156" s="25">
        <v>111401.72893929962</v>
      </c>
      <c r="Q156" s="25">
        <v>75647.898981413848</v>
      </c>
      <c r="R156" s="25">
        <v>89991.613757379717</v>
      </c>
      <c r="S156" s="22">
        <f t="shared" si="2"/>
        <v>1258387.360191948</v>
      </c>
    </row>
  </sheetData>
  <phoneticPr fontId="13" type="noConversion"/>
  <conditionalFormatting sqref="E8:F11 E13:F13">
    <cfRule type="duplicateValues" dxfId="5" priority="2"/>
  </conditionalFormatting>
  <conditionalFormatting sqref="E12:F12">
    <cfRule type="duplicateValues" dxfId="4" priority="1"/>
  </conditionalFormatting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7ADA3-8940-45FC-9AA0-154C33EBA660}">
  <dimension ref="A1:T311"/>
  <sheetViews>
    <sheetView tabSelected="1" workbookViewId="0">
      <selection activeCell="G161" sqref="G161"/>
    </sheetView>
  </sheetViews>
  <sheetFormatPr defaultRowHeight="14" x14ac:dyDescent="0.3"/>
  <cols>
    <col min="6" max="6" width="28.6640625" customWidth="1"/>
    <col min="7" max="7" width="30.25" customWidth="1"/>
  </cols>
  <sheetData>
    <row r="1" spans="1:20" ht="23" x14ac:dyDescent="0.3">
      <c r="A1" s="13" t="s">
        <v>99</v>
      </c>
      <c r="B1" s="13" t="s">
        <v>98</v>
      </c>
      <c r="C1" s="12" t="s">
        <v>97</v>
      </c>
      <c r="D1" s="12" t="s">
        <v>96</v>
      </c>
      <c r="E1" s="12" t="s">
        <v>95</v>
      </c>
      <c r="F1" s="23" t="s">
        <v>140</v>
      </c>
      <c r="G1" s="23" t="s">
        <v>232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 t="s">
        <v>139</v>
      </c>
    </row>
    <row r="2" spans="1:20" x14ac:dyDescent="0.3">
      <c r="A2" t="s">
        <v>100</v>
      </c>
      <c r="B2" t="s">
        <v>101</v>
      </c>
      <c r="C2" s="17" t="s">
        <v>103</v>
      </c>
      <c r="D2" s="17" t="s">
        <v>102</v>
      </c>
      <c r="E2" s="2" t="s">
        <v>0</v>
      </c>
      <c r="F2" s="2"/>
      <c r="G2" s="26" t="s">
        <v>234</v>
      </c>
      <c r="H2" s="14">
        <v>0</v>
      </c>
      <c r="I2" s="15">
        <v>0</v>
      </c>
      <c r="J2" s="15">
        <v>443548.08179584</v>
      </c>
      <c r="K2" s="15">
        <v>443548.08179584</v>
      </c>
      <c r="L2" s="15">
        <v>0</v>
      </c>
      <c r="M2" s="15">
        <v>443548.08179584</v>
      </c>
      <c r="N2" s="15">
        <v>443548.08179584</v>
      </c>
      <c r="O2" s="15">
        <v>0</v>
      </c>
      <c r="P2" s="15">
        <v>443548.08179584</v>
      </c>
      <c r="Q2" s="15">
        <v>443548.08179584</v>
      </c>
      <c r="R2" s="15">
        <v>0</v>
      </c>
      <c r="S2" s="16">
        <v>443548.08179584</v>
      </c>
      <c r="T2" s="22">
        <f>SUM(H2:S2)</f>
        <v>3104836.5725708799</v>
      </c>
    </row>
    <row r="3" spans="1:20" x14ac:dyDescent="0.3">
      <c r="A3" t="s">
        <v>100</v>
      </c>
      <c r="B3" t="s">
        <v>101</v>
      </c>
      <c r="C3" t="s">
        <v>103</v>
      </c>
      <c r="D3" t="s">
        <v>102</v>
      </c>
      <c r="E3" s="2" t="s">
        <v>1</v>
      </c>
      <c r="F3" s="2"/>
      <c r="G3" s="26" t="s">
        <v>234</v>
      </c>
      <c r="H3" s="14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6">
        <v>0</v>
      </c>
      <c r="T3" s="22">
        <f t="shared" ref="T3:T66" si="0">SUM(H3:S3)</f>
        <v>0</v>
      </c>
    </row>
    <row r="4" spans="1:20" x14ac:dyDescent="0.3">
      <c r="A4" t="s">
        <v>100</v>
      </c>
      <c r="B4" t="s">
        <v>101</v>
      </c>
      <c r="C4" t="s">
        <v>103</v>
      </c>
      <c r="D4" t="s">
        <v>102</v>
      </c>
      <c r="E4" s="2" t="s">
        <v>2</v>
      </c>
      <c r="F4" s="2"/>
      <c r="G4" s="26" t="s">
        <v>234</v>
      </c>
      <c r="H4" s="14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6">
        <v>0</v>
      </c>
      <c r="T4" s="22">
        <f t="shared" si="0"/>
        <v>0</v>
      </c>
    </row>
    <row r="5" spans="1:20" x14ac:dyDescent="0.3">
      <c r="A5" t="s">
        <v>100</v>
      </c>
      <c r="B5" t="s">
        <v>101</v>
      </c>
      <c r="C5" t="s">
        <v>103</v>
      </c>
      <c r="D5" t="s">
        <v>102</v>
      </c>
      <c r="E5" s="2" t="s">
        <v>3</v>
      </c>
      <c r="F5" s="2"/>
      <c r="G5" s="26" t="s">
        <v>234</v>
      </c>
      <c r="H5" s="14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6">
        <v>0</v>
      </c>
      <c r="T5" s="22">
        <f t="shared" si="0"/>
        <v>0</v>
      </c>
    </row>
    <row r="6" spans="1:20" x14ac:dyDescent="0.3">
      <c r="A6" t="s">
        <v>100</v>
      </c>
      <c r="B6" t="s">
        <v>101</v>
      </c>
      <c r="C6" t="s">
        <v>103</v>
      </c>
      <c r="D6" t="s">
        <v>121</v>
      </c>
      <c r="E6" s="2" t="s">
        <v>4</v>
      </c>
      <c r="F6" s="2"/>
      <c r="G6" s="26" t="s">
        <v>234</v>
      </c>
      <c r="H6" s="14">
        <v>1554094.2783385599</v>
      </c>
      <c r="I6" s="15">
        <v>1554094.2783385599</v>
      </c>
      <c r="J6" s="15">
        <v>4662282.8350156806</v>
      </c>
      <c r="K6" s="15">
        <v>3108188.5566771198</v>
      </c>
      <c r="L6" s="15">
        <v>3108188.5566771198</v>
      </c>
      <c r="M6" s="15">
        <v>4662282.8350156806</v>
      </c>
      <c r="N6" s="15">
        <v>3108188.5566771198</v>
      </c>
      <c r="O6" s="15">
        <v>3108188.5566771198</v>
      </c>
      <c r="P6" s="15">
        <v>3108188.5566771198</v>
      </c>
      <c r="Q6" s="15">
        <v>3108188.5566771198</v>
      </c>
      <c r="R6" s="15">
        <v>3108188.5566771198</v>
      </c>
      <c r="S6" s="16">
        <v>3108188.5566771198</v>
      </c>
      <c r="T6" s="22">
        <f t="shared" si="0"/>
        <v>37298262.68012543</v>
      </c>
    </row>
    <row r="7" spans="1:20" x14ac:dyDescent="0.3">
      <c r="A7" t="s">
        <v>100</v>
      </c>
      <c r="B7" t="s">
        <v>101</v>
      </c>
      <c r="C7" t="s">
        <v>103</v>
      </c>
      <c r="D7" t="s">
        <v>121</v>
      </c>
      <c r="E7" s="2" t="s">
        <v>5</v>
      </c>
      <c r="F7" s="2"/>
      <c r="G7" s="26" t="s">
        <v>234</v>
      </c>
      <c r="H7" s="14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6">
        <v>0</v>
      </c>
      <c r="T7" s="22">
        <f t="shared" si="0"/>
        <v>0</v>
      </c>
    </row>
    <row r="8" spans="1:20" x14ac:dyDescent="0.3">
      <c r="A8" t="s">
        <v>100</v>
      </c>
      <c r="B8" t="s">
        <v>101</v>
      </c>
      <c r="C8" t="s">
        <v>103</v>
      </c>
      <c r="D8" t="s">
        <v>6</v>
      </c>
      <c r="E8" s="3" t="s">
        <v>104</v>
      </c>
      <c r="F8" s="3"/>
      <c r="G8" s="26" t="s">
        <v>234</v>
      </c>
      <c r="H8" s="14">
        <v>4163133.3407910406</v>
      </c>
      <c r="I8" s="15">
        <v>2312851.8561523203</v>
      </c>
      <c r="J8" s="15">
        <v>3700562.9692774401</v>
      </c>
      <c r="K8" s="15">
        <v>3700562.9692774401</v>
      </c>
      <c r="L8" s="15">
        <v>5550844.4546240009</v>
      </c>
      <c r="M8" s="15">
        <v>5550844.4546240009</v>
      </c>
      <c r="N8" s="15">
        <v>3700562.9692774401</v>
      </c>
      <c r="O8" s="15">
        <v>4625703.7115968</v>
      </c>
      <c r="P8" s="15">
        <v>5550844.4546240009</v>
      </c>
      <c r="Q8" s="15">
        <v>2775422.2269580802</v>
      </c>
      <c r="R8" s="15">
        <v>5550844.4546240009</v>
      </c>
      <c r="S8" s="16">
        <v>6013414.8254297609</v>
      </c>
      <c r="T8" s="22">
        <f t="shared" si="0"/>
        <v>53195592.687256329</v>
      </c>
    </row>
    <row r="9" spans="1:20" x14ac:dyDescent="0.3">
      <c r="A9" t="s">
        <v>100</v>
      </c>
      <c r="B9" t="s">
        <v>101</v>
      </c>
      <c r="C9" t="s">
        <v>103</v>
      </c>
      <c r="D9" t="s">
        <v>6</v>
      </c>
      <c r="E9" s="3" t="s">
        <v>7</v>
      </c>
      <c r="F9" s="3"/>
      <c r="G9" s="26" t="s">
        <v>234</v>
      </c>
      <c r="H9" s="14">
        <v>0</v>
      </c>
      <c r="I9" s="15">
        <v>1379132.2855654401</v>
      </c>
      <c r="J9" s="15">
        <v>1838843.0478924802</v>
      </c>
      <c r="K9" s="15">
        <v>919421.52394624008</v>
      </c>
      <c r="L9" s="15">
        <v>1379132.2855654401</v>
      </c>
      <c r="M9" s="15">
        <v>919421.52394624008</v>
      </c>
      <c r="N9" s="15">
        <v>919421.52394624008</v>
      </c>
      <c r="O9" s="15">
        <v>1379132.2855654401</v>
      </c>
      <c r="P9" s="15">
        <v>919421.52394624008</v>
      </c>
      <c r="Q9" s="15">
        <v>919421.52394624008</v>
      </c>
      <c r="R9" s="15">
        <v>1379132.2855654401</v>
      </c>
      <c r="S9" s="16">
        <v>919421.52394624008</v>
      </c>
      <c r="T9" s="22">
        <f t="shared" si="0"/>
        <v>12871901.333831683</v>
      </c>
    </row>
    <row r="10" spans="1:20" x14ac:dyDescent="0.3">
      <c r="A10" t="s">
        <v>100</v>
      </c>
      <c r="B10" t="s">
        <v>101</v>
      </c>
      <c r="C10" t="s">
        <v>103</v>
      </c>
      <c r="D10" t="s">
        <v>6</v>
      </c>
      <c r="E10" s="3" t="s">
        <v>8</v>
      </c>
      <c r="F10" s="3"/>
      <c r="G10" s="26" t="s">
        <v>234</v>
      </c>
      <c r="H10" s="14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6">
        <v>0</v>
      </c>
      <c r="T10" s="22">
        <f t="shared" si="0"/>
        <v>0</v>
      </c>
    </row>
    <row r="11" spans="1:20" x14ac:dyDescent="0.3">
      <c r="A11" t="s">
        <v>100</v>
      </c>
      <c r="B11" t="s">
        <v>101</v>
      </c>
      <c r="C11" t="s">
        <v>103</v>
      </c>
      <c r="D11" t="s">
        <v>6</v>
      </c>
      <c r="E11" s="3" t="s">
        <v>9</v>
      </c>
      <c r="F11" s="3"/>
      <c r="G11" s="26" t="s">
        <v>234</v>
      </c>
      <c r="H11" s="14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6">
        <v>0</v>
      </c>
      <c r="T11" s="22">
        <f t="shared" si="0"/>
        <v>0</v>
      </c>
    </row>
    <row r="12" spans="1:20" x14ac:dyDescent="0.3">
      <c r="A12" t="s">
        <v>100</v>
      </c>
      <c r="B12" t="s">
        <v>101</v>
      </c>
      <c r="C12" t="s">
        <v>103</v>
      </c>
      <c r="D12" t="s">
        <v>6</v>
      </c>
      <c r="E12" s="3" t="s">
        <v>10</v>
      </c>
      <c r="F12" s="3"/>
      <c r="G12" s="26" t="s">
        <v>234</v>
      </c>
      <c r="H12" s="14">
        <v>732721.3156928001</v>
      </c>
      <c r="I12" s="15">
        <v>1953923.5080422403</v>
      </c>
      <c r="J12" s="15">
        <v>2686644.8230272005</v>
      </c>
      <c r="K12" s="15">
        <v>1953923.5080422403</v>
      </c>
      <c r="L12" s="15">
        <v>1953923.5080422403</v>
      </c>
      <c r="M12" s="15">
        <v>1953923.5080422403</v>
      </c>
      <c r="N12" s="15">
        <v>2198163.9463705602</v>
      </c>
      <c r="O12" s="15">
        <v>1953923.5080422403</v>
      </c>
      <c r="P12" s="15">
        <v>2198163.9463705602</v>
      </c>
      <c r="Q12" s="15">
        <v>2442404.3846988799</v>
      </c>
      <c r="R12" s="15">
        <v>2442404.3846988799</v>
      </c>
      <c r="S12" s="16">
        <v>2442404.3846988799</v>
      </c>
      <c r="T12" s="22">
        <f t="shared" si="0"/>
        <v>24912524.725768961</v>
      </c>
    </row>
    <row r="13" spans="1:20" x14ac:dyDescent="0.3">
      <c r="A13" t="s">
        <v>100</v>
      </c>
      <c r="B13" t="s">
        <v>101</v>
      </c>
      <c r="C13" t="s">
        <v>103</v>
      </c>
      <c r="D13" t="s">
        <v>6</v>
      </c>
      <c r="E13" s="3" t="s">
        <v>11</v>
      </c>
      <c r="F13" s="3"/>
      <c r="G13" s="26" t="s">
        <v>234</v>
      </c>
      <c r="H13" s="14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6">
        <v>0</v>
      </c>
      <c r="T13" s="22">
        <f t="shared" si="0"/>
        <v>0</v>
      </c>
    </row>
    <row r="14" spans="1:20" x14ac:dyDescent="0.3">
      <c r="A14" t="s">
        <v>100</v>
      </c>
      <c r="B14" t="s">
        <v>101</v>
      </c>
      <c r="C14" t="s">
        <v>103</v>
      </c>
      <c r="D14" t="s">
        <v>118</v>
      </c>
      <c r="E14" s="3" t="s">
        <v>12</v>
      </c>
      <c r="F14" s="3"/>
      <c r="G14" s="26" t="s">
        <v>234</v>
      </c>
      <c r="H14" s="14">
        <v>0</v>
      </c>
      <c r="I14" s="15">
        <v>943995.38367232017</v>
      </c>
      <c r="J14" s="15">
        <v>2359988.4598886403</v>
      </c>
      <c r="K14" s="15">
        <v>1415993.07621632</v>
      </c>
      <c r="L14" s="15">
        <v>1415993.07621632</v>
      </c>
      <c r="M14" s="15">
        <v>1887990.76805248</v>
      </c>
      <c r="N14" s="15">
        <v>1415993.07621632</v>
      </c>
      <c r="O14" s="15">
        <v>1415993.07621632</v>
      </c>
      <c r="P14" s="15">
        <v>2359988.4598886403</v>
      </c>
      <c r="Q14" s="15">
        <v>1415993.07621632</v>
      </c>
      <c r="R14" s="15">
        <v>1887990.76805248</v>
      </c>
      <c r="S14" s="16">
        <v>2359988.4598886403</v>
      </c>
      <c r="T14" s="22">
        <f t="shared" si="0"/>
        <v>18879907.6805248</v>
      </c>
    </row>
    <row r="15" spans="1:20" x14ac:dyDescent="0.3">
      <c r="A15" t="s">
        <v>100</v>
      </c>
      <c r="B15" t="s">
        <v>110</v>
      </c>
      <c r="C15" t="s">
        <v>103</v>
      </c>
      <c r="D15" t="s">
        <v>105</v>
      </c>
      <c r="E15" s="2" t="s">
        <v>107</v>
      </c>
      <c r="F15" s="2"/>
      <c r="G15" s="26" t="s">
        <v>234</v>
      </c>
      <c r="H15" s="14">
        <v>697107.75752575998</v>
      </c>
      <c r="I15" s="15">
        <v>562679.2646451199</v>
      </c>
      <c r="J15" s="15">
        <v>990930.03570176009</v>
      </c>
      <c r="K15" s="15">
        <v>908352.53225471987</v>
      </c>
      <c r="L15" s="15">
        <v>935238.23139712005</v>
      </c>
      <c r="M15" s="15">
        <v>906432.12552704022</v>
      </c>
      <c r="N15" s="15">
        <v>764322.00432000007</v>
      </c>
      <c r="O15" s="15">
        <v>764322.00432000007</v>
      </c>
      <c r="P15" s="15">
        <v>1015895.3267008001</v>
      </c>
      <c r="Q15" s="15">
        <v>946760.67317888001</v>
      </c>
      <c r="R15" s="15">
        <v>1004372.8849190399</v>
      </c>
      <c r="S15" s="16">
        <v>919874.97474432003</v>
      </c>
      <c r="T15" s="22">
        <f t="shared" si="0"/>
        <v>10416287.815234561</v>
      </c>
    </row>
    <row r="16" spans="1:20" x14ac:dyDescent="0.3">
      <c r="A16" t="s">
        <v>100</v>
      </c>
      <c r="B16" t="s">
        <v>106</v>
      </c>
      <c r="C16" t="s">
        <v>103</v>
      </c>
      <c r="D16" t="s">
        <v>105</v>
      </c>
      <c r="E16" s="2" t="s">
        <v>13</v>
      </c>
      <c r="F16" s="2"/>
      <c r="G16" s="26" t="s">
        <v>234</v>
      </c>
      <c r="H16" s="14">
        <v>3311840.97373696</v>
      </c>
      <c r="I16" s="15">
        <v>2666136.13018368</v>
      </c>
      <c r="J16" s="15">
        <v>4686567.4161062408</v>
      </c>
      <c r="K16" s="15">
        <v>4311642.0227327999</v>
      </c>
      <c r="L16" s="15">
        <v>4436617.1538572805</v>
      </c>
      <c r="M16" s="15">
        <v>4290812.8340940801</v>
      </c>
      <c r="N16" s="15">
        <v>3624278.8019020804</v>
      </c>
      <c r="O16" s="15">
        <v>3624278.8019020804</v>
      </c>
      <c r="P16" s="15">
        <v>4811542.5472307205</v>
      </c>
      <c r="Q16" s="15">
        <v>4478275.53113472</v>
      </c>
      <c r="R16" s="15">
        <v>4769884.1699532801</v>
      </c>
      <c r="S16" s="16">
        <v>4353300.4000102403</v>
      </c>
      <c r="T16" s="22">
        <f t="shared" si="0"/>
        <v>49365176.782844171</v>
      </c>
    </row>
    <row r="17" spans="1:20" x14ac:dyDescent="0.3">
      <c r="A17" t="s">
        <v>100</v>
      </c>
      <c r="B17" t="s">
        <v>106</v>
      </c>
      <c r="C17" t="s">
        <v>103</v>
      </c>
      <c r="D17" t="s">
        <v>105</v>
      </c>
      <c r="E17" s="2" t="s">
        <v>14</v>
      </c>
      <c r="F17" s="2"/>
      <c r="G17" s="26" t="s">
        <v>234</v>
      </c>
      <c r="H17" s="14">
        <v>119207.93464832001</v>
      </c>
      <c r="I17" s="15">
        <v>95366.34814336001</v>
      </c>
      <c r="J17" s="15">
        <v>166891.10907392</v>
      </c>
      <c r="K17" s="15">
        <v>143049.52186111998</v>
      </c>
      <c r="L17" s="15">
        <v>143049.52186111998</v>
      </c>
      <c r="M17" s="15">
        <v>119207.93464832001</v>
      </c>
      <c r="N17" s="15">
        <v>119207.93464832001</v>
      </c>
      <c r="O17" s="15">
        <v>119207.93464832001</v>
      </c>
      <c r="P17" s="15">
        <v>143049.52186111998</v>
      </c>
      <c r="Q17" s="15">
        <v>143049.52186111998</v>
      </c>
      <c r="R17" s="15">
        <v>166891.10907392</v>
      </c>
      <c r="S17" s="16">
        <v>143049.52186111998</v>
      </c>
      <c r="T17" s="22">
        <f t="shared" si="0"/>
        <v>1621227.9141900796</v>
      </c>
    </row>
    <row r="18" spans="1:20" x14ac:dyDescent="0.3">
      <c r="A18" t="s">
        <v>100</v>
      </c>
      <c r="B18" t="s">
        <v>106</v>
      </c>
      <c r="C18" t="s">
        <v>103</v>
      </c>
      <c r="D18" t="s">
        <v>105</v>
      </c>
      <c r="E18" s="2" t="s">
        <v>15</v>
      </c>
      <c r="F18" s="2"/>
      <c r="G18" s="26" t="s">
        <v>234</v>
      </c>
      <c r="H18" s="14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6">
        <v>0</v>
      </c>
      <c r="T18" s="22">
        <f t="shared" si="0"/>
        <v>0</v>
      </c>
    </row>
    <row r="19" spans="1:20" x14ac:dyDescent="0.3">
      <c r="A19" t="s">
        <v>100</v>
      </c>
      <c r="B19" t="s">
        <v>110</v>
      </c>
      <c r="C19" t="s">
        <v>103</v>
      </c>
      <c r="D19" t="s">
        <v>122</v>
      </c>
      <c r="E19" s="2" t="s">
        <v>16</v>
      </c>
      <c r="F19" s="2"/>
      <c r="G19" s="26" t="s">
        <v>234</v>
      </c>
      <c r="H19" s="14">
        <v>9156750.0001689605</v>
      </c>
      <c r="I19" s="15">
        <v>6216150.0000588801</v>
      </c>
      <c r="J19" s="15">
        <v>9488800.0000550393</v>
      </c>
      <c r="K19" s="15">
        <v>9250999.9996915217</v>
      </c>
      <c r="L19" s="15">
        <v>9532300.0000524782</v>
      </c>
      <c r="M19" s="15">
        <v>9250999.9996915217</v>
      </c>
      <c r="N19" s="15">
        <v>8079399.9997132802</v>
      </c>
      <c r="O19" s="15">
        <v>8079399.9997132802</v>
      </c>
      <c r="P19" s="15">
        <v>10773500.000309762</v>
      </c>
      <c r="Q19" s="15">
        <v>10022399.99983488</v>
      </c>
      <c r="R19" s="15">
        <v>10629950.00017664</v>
      </c>
      <c r="S19" s="16">
        <v>9719350.0001830403</v>
      </c>
      <c r="T19" s="22">
        <f t="shared" si="0"/>
        <v>110199999.9996493</v>
      </c>
    </row>
    <row r="20" spans="1:20" x14ac:dyDescent="0.3">
      <c r="A20" t="s">
        <v>100</v>
      </c>
      <c r="B20" t="s">
        <v>110</v>
      </c>
      <c r="C20" t="s">
        <v>103</v>
      </c>
      <c r="D20" t="s">
        <v>122</v>
      </c>
      <c r="E20" s="2" t="s">
        <v>17</v>
      </c>
      <c r="F20" s="2"/>
      <c r="G20" s="26" t="s">
        <v>234</v>
      </c>
      <c r="H20" s="14">
        <v>335999.99978496006</v>
      </c>
      <c r="I20" s="15">
        <v>271199.99986687995</v>
      </c>
      <c r="J20" s="15">
        <v>475999.99969535996</v>
      </c>
      <c r="K20" s="15">
        <v>403199.99988352001</v>
      </c>
      <c r="L20" s="15">
        <v>415200.00007807999</v>
      </c>
      <c r="M20" s="15">
        <v>402399.99982336001</v>
      </c>
      <c r="N20" s="15">
        <v>352000.00028031995</v>
      </c>
      <c r="O20" s="15">
        <v>352000.00028031995</v>
      </c>
      <c r="P20" s="15">
        <v>468799.99986176001</v>
      </c>
      <c r="Q20" s="15">
        <v>436800.00028671999</v>
      </c>
      <c r="R20" s="15">
        <v>463200.00014848006</v>
      </c>
      <c r="S20" s="16">
        <v>423199.99997184006</v>
      </c>
      <c r="T20" s="22">
        <f t="shared" si="0"/>
        <v>4799999.9999615997</v>
      </c>
    </row>
    <row r="21" spans="1:20" x14ac:dyDescent="0.3">
      <c r="A21" t="s">
        <v>100</v>
      </c>
      <c r="B21" t="s">
        <v>110</v>
      </c>
      <c r="C21" t="s">
        <v>103</v>
      </c>
      <c r="D21" t="s">
        <v>18</v>
      </c>
      <c r="E21" s="2" t="s">
        <v>19</v>
      </c>
      <c r="F21" s="2"/>
      <c r="G21" s="26" t="s">
        <v>234</v>
      </c>
      <c r="H21" s="14">
        <v>11511981.56927616</v>
      </c>
      <c r="I21" s="15">
        <v>9284092.5807436816</v>
      </c>
      <c r="J21" s="15">
        <v>16339629.73876352</v>
      </c>
      <c r="K21" s="15">
        <v>13819176.2074688</v>
      </c>
      <c r="L21" s="15">
        <v>14238030.00047232</v>
      </c>
      <c r="M21" s="15">
        <v>13819509.424564481</v>
      </c>
      <c r="N21" s="15">
        <v>12069120.424426241</v>
      </c>
      <c r="O21" s="15">
        <v>12069120.424426241</v>
      </c>
      <c r="P21" s="15">
        <v>16092382.711104002</v>
      </c>
      <c r="Q21" s="15">
        <v>14970774.225406721</v>
      </c>
      <c r="R21" s="15">
        <v>15878124.167422721</v>
      </c>
      <c r="S21" s="16">
        <v>14517265.86223872</v>
      </c>
      <c r="T21" s="22">
        <f t="shared" si="0"/>
        <v>164609207.33631361</v>
      </c>
    </row>
    <row r="22" spans="1:20" x14ac:dyDescent="0.3">
      <c r="A22" t="s">
        <v>100</v>
      </c>
      <c r="B22" t="s">
        <v>110</v>
      </c>
      <c r="C22" t="s">
        <v>103</v>
      </c>
      <c r="D22" t="s">
        <v>18</v>
      </c>
      <c r="E22" s="2" t="s">
        <v>20</v>
      </c>
      <c r="F22" s="2"/>
      <c r="G22" s="26" t="s">
        <v>234</v>
      </c>
      <c r="H22" s="14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6">
        <v>0</v>
      </c>
      <c r="T22" s="22">
        <f t="shared" si="0"/>
        <v>0</v>
      </c>
    </row>
    <row r="23" spans="1:20" x14ac:dyDescent="0.3">
      <c r="A23" t="s">
        <v>100</v>
      </c>
      <c r="B23" t="s">
        <v>110</v>
      </c>
      <c r="C23" t="s">
        <v>103</v>
      </c>
      <c r="D23" t="s">
        <v>18</v>
      </c>
      <c r="E23" s="2" t="s">
        <v>21</v>
      </c>
      <c r="F23" s="2"/>
      <c r="G23" s="26" t="s">
        <v>234</v>
      </c>
      <c r="H23" s="14">
        <v>2393603.0099430401</v>
      </c>
      <c r="I23" s="15">
        <v>1930257.06875904</v>
      </c>
      <c r="J23" s="15">
        <v>3397168.1956262402</v>
      </c>
      <c r="K23" s="15">
        <v>2873095.8546124804</v>
      </c>
      <c r="L23" s="15">
        <v>2960148.7288396801</v>
      </c>
      <c r="M23" s="15">
        <v>2873446.8745919997</v>
      </c>
      <c r="N23" s="15">
        <v>2138060.7026867201</v>
      </c>
      <c r="O23" s="15">
        <v>2138060.7026867201</v>
      </c>
      <c r="P23" s="15">
        <v>2850981.6171379201</v>
      </c>
      <c r="Q23" s="15">
        <v>2652304.4934758404</v>
      </c>
      <c r="R23" s="15">
        <v>2813071.4940339201</v>
      </c>
      <c r="S23" s="16">
        <v>2571569.9732172801</v>
      </c>
      <c r="T23" s="22">
        <f t="shared" si="0"/>
        <v>31591768.71561088</v>
      </c>
    </row>
    <row r="24" spans="1:20" x14ac:dyDescent="0.3">
      <c r="A24" t="s">
        <v>100</v>
      </c>
      <c r="B24" t="s">
        <v>110</v>
      </c>
      <c r="C24" t="s">
        <v>103</v>
      </c>
      <c r="D24" t="s">
        <v>18</v>
      </c>
      <c r="E24" s="2" t="s">
        <v>22</v>
      </c>
      <c r="F24" s="2"/>
      <c r="G24" s="26" t="s">
        <v>234</v>
      </c>
      <c r="H24" s="14">
        <v>1075353.0974592001</v>
      </c>
      <c r="I24" s="15">
        <v>867182.30055296002</v>
      </c>
      <c r="J24" s="15">
        <v>1526193.8049075203</v>
      </c>
      <c r="K24" s="15">
        <v>1290972.5661772799</v>
      </c>
      <c r="L24" s="15">
        <v>1330176.1062016001</v>
      </c>
      <c r="M24" s="15">
        <v>1290580.5311168001</v>
      </c>
      <c r="N24" s="15">
        <v>1127493.8050969599</v>
      </c>
      <c r="O24" s="15">
        <v>1127493.8050969599</v>
      </c>
      <c r="P24" s="15">
        <v>1503063.7165196799</v>
      </c>
      <c r="Q24" s="15">
        <v>1398390.2654758401</v>
      </c>
      <c r="R24" s="15">
        <v>1483069.9114470398</v>
      </c>
      <c r="S24" s="16">
        <v>1356380.0265971201</v>
      </c>
      <c r="T24" s="22">
        <f t="shared" si="0"/>
        <v>15376349.936648961</v>
      </c>
    </row>
    <row r="25" spans="1:20" x14ac:dyDescent="0.3">
      <c r="A25" t="s">
        <v>100</v>
      </c>
      <c r="B25" t="s">
        <v>110</v>
      </c>
      <c r="C25" t="s">
        <v>103</v>
      </c>
      <c r="D25" t="s">
        <v>18</v>
      </c>
      <c r="E25" s="2" t="s">
        <v>23</v>
      </c>
      <c r="F25" s="2"/>
      <c r="G25" s="26" t="s">
        <v>234</v>
      </c>
      <c r="H25" s="14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6">
        <v>0</v>
      </c>
      <c r="T25" s="22">
        <f t="shared" si="0"/>
        <v>0</v>
      </c>
    </row>
    <row r="26" spans="1:20" x14ac:dyDescent="0.3">
      <c r="A26" t="s">
        <v>100</v>
      </c>
      <c r="B26" t="s">
        <v>110</v>
      </c>
      <c r="C26" t="s">
        <v>103</v>
      </c>
      <c r="D26" t="s">
        <v>18</v>
      </c>
      <c r="E26" s="2" t="s">
        <v>108</v>
      </c>
      <c r="F26" s="2"/>
      <c r="G26" s="26" t="s">
        <v>234</v>
      </c>
      <c r="H26" s="14">
        <v>294623.99970304</v>
      </c>
      <c r="I26" s="15">
        <v>237600.00017152005</v>
      </c>
      <c r="J26" s="15">
        <v>417887.99982720002</v>
      </c>
      <c r="K26" s="15">
        <v>353663.99975424004</v>
      </c>
      <c r="L26" s="15">
        <v>364320.00007424003</v>
      </c>
      <c r="M26" s="15">
        <v>353376.00018560007</v>
      </c>
      <c r="N26" s="15">
        <v>308735.9998016</v>
      </c>
      <c r="O26" s="15">
        <v>308735.9998016</v>
      </c>
      <c r="P26" s="15">
        <v>411839.99968384003</v>
      </c>
      <c r="Q26" s="15">
        <v>383040.00034943997</v>
      </c>
      <c r="R26" s="15">
        <v>406368.00009344</v>
      </c>
      <c r="S26" s="16">
        <v>371232.00033920008</v>
      </c>
      <c r="T26" s="22">
        <f t="shared" si="0"/>
        <v>4211423.9997849604</v>
      </c>
    </row>
    <row r="27" spans="1:20" x14ac:dyDescent="0.3">
      <c r="A27" t="s">
        <v>100</v>
      </c>
      <c r="B27" t="s">
        <v>110</v>
      </c>
      <c r="C27" t="s">
        <v>103</v>
      </c>
      <c r="D27" t="s">
        <v>24</v>
      </c>
      <c r="E27" s="2" t="s">
        <v>25</v>
      </c>
      <c r="F27" s="2"/>
      <c r="G27" s="26" t="s">
        <v>234</v>
      </c>
      <c r="H27" s="14">
        <v>959287.40967807989</v>
      </c>
      <c r="I27" s="15">
        <v>773575.77997055999</v>
      </c>
      <c r="J27" s="15">
        <v>1362775.98601984</v>
      </c>
      <c r="K27" s="15">
        <v>1151679.3133619202</v>
      </c>
      <c r="L27" s="15">
        <v>1186416.7404454399</v>
      </c>
      <c r="M27" s="15">
        <v>1153015.36844032</v>
      </c>
      <c r="N27" s="15">
        <v>1006049.3310515201</v>
      </c>
      <c r="O27" s="15">
        <v>1006049.3310515201</v>
      </c>
      <c r="P27" s="15">
        <v>1341399.1075968002</v>
      </c>
      <c r="Q27" s="15">
        <v>1247875.2655577601</v>
      </c>
      <c r="R27" s="15">
        <v>1324030.39370112</v>
      </c>
      <c r="S27" s="16">
        <v>1210198.5173017601</v>
      </c>
      <c r="T27" s="22">
        <f t="shared" si="0"/>
        <v>13722352.54417664</v>
      </c>
    </row>
    <row r="28" spans="1:20" x14ac:dyDescent="0.3">
      <c r="A28" t="s">
        <v>100</v>
      </c>
      <c r="B28" t="s">
        <v>110</v>
      </c>
      <c r="C28" t="s">
        <v>103</v>
      </c>
      <c r="D28" t="s">
        <v>24</v>
      </c>
      <c r="E28" s="2" t="s">
        <v>109</v>
      </c>
      <c r="F28" s="2"/>
      <c r="G28" s="26" t="s">
        <v>234</v>
      </c>
      <c r="H28" s="14">
        <v>2195.6354470400001</v>
      </c>
      <c r="I28" s="15">
        <v>1756.5084992</v>
      </c>
      <c r="J28" s="15">
        <v>2854.3258688000001</v>
      </c>
      <c r="K28" s="15">
        <v>2415.1989209600001</v>
      </c>
      <c r="L28" s="15">
        <v>2634.7623948800001</v>
      </c>
      <c r="M28" s="15">
        <v>2415.1989209600001</v>
      </c>
      <c r="N28" s="15">
        <v>2195.6354470400001</v>
      </c>
      <c r="O28" s="15">
        <v>2195.6354470400001</v>
      </c>
      <c r="P28" s="15">
        <v>2854.3258688000001</v>
      </c>
      <c r="Q28" s="15">
        <v>2634.7623948800001</v>
      </c>
      <c r="R28" s="15">
        <v>2854.3258688000001</v>
      </c>
      <c r="S28" s="16">
        <v>2634.7623948800001</v>
      </c>
      <c r="T28" s="22">
        <f t="shared" si="0"/>
        <v>29641.077473279995</v>
      </c>
    </row>
    <row r="29" spans="1:20" x14ac:dyDescent="0.3">
      <c r="A29" t="s">
        <v>100</v>
      </c>
      <c r="B29" t="s">
        <v>110</v>
      </c>
      <c r="C29" t="s">
        <v>103</v>
      </c>
      <c r="D29" t="s">
        <v>24</v>
      </c>
      <c r="E29" s="4" t="s">
        <v>26</v>
      </c>
      <c r="F29" s="4"/>
      <c r="G29" s="26" t="s">
        <v>234</v>
      </c>
      <c r="H29" s="14">
        <v>52639.89764096</v>
      </c>
      <c r="I29" s="15">
        <v>42434.203185920007</v>
      </c>
      <c r="J29" s="15">
        <v>74662.711916800006</v>
      </c>
      <c r="K29" s="15">
        <v>63114.162872320012</v>
      </c>
      <c r="L29" s="15">
        <v>64994.159722240001</v>
      </c>
      <c r="M29" s="15">
        <v>63114.162872320012</v>
      </c>
      <c r="N29" s="15">
        <v>55057.036043519998</v>
      </c>
      <c r="O29" s="15">
        <v>55057.036043519998</v>
      </c>
      <c r="P29" s="15">
        <v>73588.428811520003</v>
      </c>
      <c r="Q29" s="15">
        <v>68485.581230080003</v>
      </c>
      <c r="R29" s="15">
        <v>72514.144998400006</v>
      </c>
      <c r="S29" s="16">
        <v>66337.014311680003</v>
      </c>
      <c r="T29" s="22">
        <f t="shared" si="0"/>
        <v>751998.53964928002</v>
      </c>
    </row>
    <row r="30" spans="1:20" x14ac:dyDescent="0.3">
      <c r="A30" t="s">
        <v>100</v>
      </c>
      <c r="B30" t="s">
        <v>110</v>
      </c>
      <c r="C30" t="s">
        <v>103</v>
      </c>
      <c r="D30" t="s">
        <v>24</v>
      </c>
      <c r="E30" s="2" t="s">
        <v>27</v>
      </c>
      <c r="F30" s="2"/>
      <c r="G30" s="26" t="s">
        <v>234</v>
      </c>
      <c r="H30" s="14">
        <v>442338.10576256004</v>
      </c>
      <c r="I30" s="15">
        <v>356564.65091968002</v>
      </c>
      <c r="J30" s="15">
        <v>627630.76143487997</v>
      </c>
      <c r="K30" s="15">
        <v>530860.70994432003</v>
      </c>
      <c r="L30" s="15">
        <v>546805.77497727994</v>
      </c>
      <c r="M30" s="15">
        <v>530860.70994432003</v>
      </c>
      <c r="N30" s="15">
        <v>463506.55432703998</v>
      </c>
      <c r="O30" s="15">
        <v>463506.55432703998</v>
      </c>
      <c r="P30" s="15">
        <v>618283.65424896008</v>
      </c>
      <c r="Q30" s="15">
        <v>575122.01168127998</v>
      </c>
      <c r="R30" s="15">
        <v>610036.20694016002</v>
      </c>
      <c r="S30" s="16">
        <v>557527.45718656003</v>
      </c>
      <c r="T30" s="22">
        <f t="shared" si="0"/>
        <v>6323043.1516940799</v>
      </c>
    </row>
    <row r="31" spans="1:20" x14ac:dyDescent="0.3">
      <c r="A31" t="s">
        <v>100</v>
      </c>
      <c r="B31" t="s">
        <v>110</v>
      </c>
      <c r="C31" t="s">
        <v>103</v>
      </c>
      <c r="D31" t="s">
        <v>24</v>
      </c>
      <c r="E31" s="2" t="s">
        <v>28</v>
      </c>
      <c r="F31" s="2"/>
      <c r="G31" s="26" t="s">
        <v>234</v>
      </c>
      <c r="H31" s="14">
        <v>1067806.2701824</v>
      </c>
      <c r="I31" s="15">
        <v>861115.14767488011</v>
      </c>
      <c r="J31" s="15">
        <v>1515245.5763827201</v>
      </c>
      <c r="K31" s="15">
        <v>1281837.27728</v>
      </c>
      <c r="L31" s="15">
        <v>1320591.8627059199</v>
      </c>
      <c r="M31" s="15">
        <v>1281543.6815283198</v>
      </c>
      <c r="N31" s="15">
        <v>1119479.0509862402</v>
      </c>
      <c r="O31" s="15">
        <v>1119479.0509862402</v>
      </c>
      <c r="P31" s="15">
        <v>1492345.13960448</v>
      </c>
      <c r="Q31" s="15">
        <v>1388412.3872012799</v>
      </c>
      <c r="R31" s="15">
        <v>1472674.2518476802</v>
      </c>
      <c r="S31" s="16">
        <v>1346428.2527539202</v>
      </c>
      <c r="T31" s="22">
        <f t="shared" si="0"/>
        <v>15266957.949134082</v>
      </c>
    </row>
    <row r="32" spans="1:20" x14ac:dyDescent="0.3">
      <c r="A32" t="s">
        <v>100</v>
      </c>
      <c r="B32" t="s">
        <v>110</v>
      </c>
      <c r="C32" t="s">
        <v>103</v>
      </c>
      <c r="D32" t="s">
        <v>123</v>
      </c>
      <c r="E32" s="5" t="s">
        <v>29</v>
      </c>
      <c r="F32" s="5"/>
      <c r="G32" s="26" t="s">
        <v>234</v>
      </c>
      <c r="H32" s="14">
        <v>2051045.8408832001</v>
      </c>
      <c r="I32" s="15">
        <v>1654087.4587417601</v>
      </c>
      <c r="J32" s="15">
        <v>2911153.7357772798</v>
      </c>
      <c r="K32" s="15">
        <v>2462134.2086297604</v>
      </c>
      <c r="L32" s="15">
        <v>2536740.5297651202</v>
      </c>
      <c r="M32" s="15">
        <v>2462071.4083571201</v>
      </c>
      <c r="N32" s="15">
        <v>2150332.5367999999</v>
      </c>
      <c r="O32" s="15">
        <v>2150332.5367999999</v>
      </c>
      <c r="P32" s="15">
        <v>2867005.3826534403</v>
      </c>
      <c r="Q32" s="15">
        <v>2667301.5922828801</v>
      </c>
      <c r="R32" s="15">
        <v>2828948.6227072002</v>
      </c>
      <c r="S32" s="16">
        <v>2586415.2778598401</v>
      </c>
      <c r="T32" s="22">
        <f t="shared" si="0"/>
        <v>29327569.131257605</v>
      </c>
    </row>
    <row r="33" spans="1:20" x14ac:dyDescent="0.3">
      <c r="A33" t="s">
        <v>100</v>
      </c>
      <c r="B33" t="s">
        <v>110</v>
      </c>
      <c r="C33" t="s">
        <v>103</v>
      </c>
      <c r="D33" t="s">
        <v>123</v>
      </c>
      <c r="E33" s="5" t="s">
        <v>30</v>
      </c>
      <c r="F33" s="5"/>
      <c r="G33" s="26" t="s">
        <v>234</v>
      </c>
      <c r="H33" s="14">
        <v>46467.378531839997</v>
      </c>
      <c r="I33" s="15">
        <v>37462.073125120005</v>
      </c>
      <c r="J33" s="15">
        <v>66279.052125440008</v>
      </c>
      <c r="K33" s="15">
        <v>55832.897344000005</v>
      </c>
      <c r="L33" s="15">
        <v>57633.958000640007</v>
      </c>
      <c r="M33" s="15">
        <v>56193.109333760003</v>
      </c>
      <c r="N33" s="15">
        <v>48988.864583680006</v>
      </c>
      <c r="O33" s="15">
        <v>48988.864583680006</v>
      </c>
      <c r="P33" s="15">
        <v>64838.202750720004</v>
      </c>
      <c r="Q33" s="15">
        <v>60515.65604224</v>
      </c>
      <c r="R33" s="15">
        <v>64477.990760960012</v>
      </c>
      <c r="S33" s="16">
        <v>58714.594677760004</v>
      </c>
      <c r="T33" s="22">
        <f t="shared" si="0"/>
        <v>666392.64185984014</v>
      </c>
    </row>
    <row r="34" spans="1:20" x14ac:dyDescent="0.3">
      <c r="A34" t="s">
        <v>100</v>
      </c>
      <c r="B34" t="s">
        <v>110</v>
      </c>
      <c r="C34" t="s">
        <v>103</v>
      </c>
      <c r="D34" t="s">
        <v>124</v>
      </c>
      <c r="E34" s="4" t="s">
        <v>31</v>
      </c>
      <c r="F34" s="4"/>
      <c r="G34" s="26" t="s">
        <v>234</v>
      </c>
      <c r="H34" s="14">
        <v>1041214.3423360001</v>
      </c>
      <c r="I34" s="15">
        <v>839714.59908224002</v>
      </c>
      <c r="J34" s="15">
        <v>1477807.2980070401</v>
      </c>
      <c r="K34" s="15">
        <v>1249860.3320537601</v>
      </c>
      <c r="L34" s="15">
        <v>1287729.3353164801</v>
      </c>
      <c r="M34" s="15">
        <v>1249921.4108595198</v>
      </c>
      <c r="N34" s="15">
        <v>1231536.6209574402</v>
      </c>
      <c r="O34" s="15">
        <v>1231536.6209574402</v>
      </c>
      <c r="P34" s="15">
        <v>1642048.8281791999</v>
      </c>
      <c r="Q34" s="15">
        <v>1527647.7917926402</v>
      </c>
      <c r="R34" s="15">
        <v>1620243.6117056003</v>
      </c>
      <c r="S34" s="16">
        <v>1481288.80267648</v>
      </c>
      <c r="T34" s="22">
        <f t="shared" si="0"/>
        <v>15880549.593923841</v>
      </c>
    </row>
    <row r="35" spans="1:20" x14ac:dyDescent="0.3">
      <c r="A35" t="s">
        <v>100</v>
      </c>
      <c r="B35" t="s">
        <v>125</v>
      </c>
      <c r="C35" t="s">
        <v>103</v>
      </c>
      <c r="D35" t="s">
        <v>126</v>
      </c>
      <c r="E35" s="4" t="s">
        <v>32</v>
      </c>
      <c r="F35" s="4"/>
      <c r="G35" s="26" t="s">
        <v>234</v>
      </c>
      <c r="H35" s="14">
        <v>0</v>
      </c>
      <c r="I35" s="15">
        <v>0</v>
      </c>
      <c r="J35" s="15">
        <v>0</v>
      </c>
      <c r="K35" s="15">
        <v>1067220.6104448</v>
      </c>
      <c r="L35" s="15">
        <v>1067220.6104448</v>
      </c>
      <c r="M35" s="15">
        <v>1067220.6104448</v>
      </c>
      <c r="N35" s="15">
        <v>1067220.6104448</v>
      </c>
      <c r="O35" s="15">
        <v>1067220.6104448</v>
      </c>
      <c r="P35" s="15">
        <v>1067220.6104448</v>
      </c>
      <c r="Q35" s="15">
        <v>1067220.6104448</v>
      </c>
      <c r="R35" s="15">
        <v>1067220.6104448</v>
      </c>
      <c r="S35" s="16">
        <v>2134441.2208896</v>
      </c>
      <c r="T35" s="22">
        <f t="shared" si="0"/>
        <v>10672206.104448</v>
      </c>
    </row>
    <row r="36" spans="1:20" x14ac:dyDescent="0.3">
      <c r="A36" t="s">
        <v>100</v>
      </c>
      <c r="B36" t="s">
        <v>125</v>
      </c>
      <c r="C36" t="s">
        <v>103</v>
      </c>
      <c r="D36" t="s">
        <v>126</v>
      </c>
      <c r="E36" s="4" t="s">
        <v>33</v>
      </c>
      <c r="F36" s="4"/>
      <c r="G36" s="26" t="s">
        <v>234</v>
      </c>
      <c r="H36" s="14">
        <v>0</v>
      </c>
      <c r="I36" s="15">
        <v>0</v>
      </c>
      <c r="J36" s="15">
        <v>0</v>
      </c>
      <c r="K36" s="15">
        <v>853776.48835583997</v>
      </c>
      <c r="L36" s="15">
        <v>853776.48835583997</v>
      </c>
      <c r="M36" s="15">
        <v>853776.48835583997</v>
      </c>
      <c r="N36" s="15">
        <v>853776.48835583997</v>
      </c>
      <c r="O36" s="15">
        <v>853776.48835583997</v>
      </c>
      <c r="P36" s="15">
        <v>853776.48835583997</v>
      </c>
      <c r="Q36" s="15">
        <v>853776.48835583997</v>
      </c>
      <c r="R36" s="15">
        <v>853776.48835583997</v>
      </c>
      <c r="S36" s="16">
        <v>853776.48835583997</v>
      </c>
      <c r="T36" s="22">
        <f t="shared" si="0"/>
        <v>7683988.3952025585</v>
      </c>
    </row>
    <row r="37" spans="1:20" x14ac:dyDescent="0.3">
      <c r="A37" t="s">
        <v>100</v>
      </c>
      <c r="B37" t="s">
        <v>125</v>
      </c>
      <c r="C37" t="s">
        <v>103</v>
      </c>
      <c r="D37" t="s">
        <v>127</v>
      </c>
      <c r="E37" s="3" t="s">
        <v>34</v>
      </c>
      <c r="F37" s="3"/>
      <c r="G37" s="26" t="s">
        <v>234</v>
      </c>
      <c r="H37" s="14">
        <v>433274.33631103998</v>
      </c>
      <c r="I37" s="15">
        <v>349380.53076863999</v>
      </c>
      <c r="J37" s="15">
        <v>614867.25670272007</v>
      </c>
      <c r="K37" s="15">
        <v>520000.00017280004</v>
      </c>
      <c r="L37" s="15">
        <v>535752.21207423997</v>
      </c>
      <c r="M37" s="15">
        <v>520176.99131775997</v>
      </c>
      <c r="N37" s="15">
        <v>454159.29212415993</v>
      </c>
      <c r="O37" s="15">
        <v>454159.29212415993</v>
      </c>
      <c r="P37" s="15">
        <v>605663.71645695996</v>
      </c>
      <c r="Q37" s="15">
        <v>563362.83139584004</v>
      </c>
      <c r="R37" s="15">
        <v>597522.12378880009</v>
      </c>
      <c r="S37" s="16">
        <v>546371.68147968012</v>
      </c>
      <c r="T37" s="22">
        <f t="shared" si="0"/>
        <v>6194690.2647168012</v>
      </c>
    </row>
    <row r="38" spans="1:20" x14ac:dyDescent="0.3">
      <c r="A38" t="s">
        <v>100</v>
      </c>
      <c r="B38" t="s">
        <v>106</v>
      </c>
      <c r="C38" t="s">
        <v>103</v>
      </c>
      <c r="D38" t="s">
        <v>128</v>
      </c>
      <c r="E38" s="5" t="s">
        <v>35</v>
      </c>
      <c r="F38" s="5"/>
      <c r="G38" s="26" t="s">
        <v>234</v>
      </c>
      <c r="H38" s="14">
        <v>374022.5002752</v>
      </c>
      <c r="I38" s="15">
        <v>301629.89989887999</v>
      </c>
      <c r="J38" s="15">
        <v>530876.0998016001</v>
      </c>
      <c r="K38" s="15">
        <v>448987.20009472006</v>
      </c>
      <c r="L38" s="15">
        <v>462586.39984256</v>
      </c>
      <c r="M38" s="15">
        <v>448987.20009472006</v>
      </c>
      <c r="N38" s="15">
        <v>392125.09985152003</v>
      </c>
      <c r="O38" s="15">
        <v>392125.09985152003</v>
      </c>
      <c r="P38" s="15">
        <v>522821.59976704</v>
      </c>
      <c r="Q38" s="15">
        <v>486393.90031231998</v>
      </c>
      <c r="R38" s="15">
        <v>515879.59982719994</v>
      </c>
      <c r="S38" s="16">
        <v>471659.32449664007</v>
      </c>
      <c r="T38" s="22">
        <f t="shared" si="0"/>
        <v>5348093.92411392</v>
      </c>
    </row>
    <row r="39" spans="1:20" x14ac:dyDescent="0.3">
      <c r="A39" t="s">
        <v>100</v>
      </c>
      <c r="B39" t="s">
        <v>129</v>
      </c>
      <c r="C39" t="s">
        <v>103</v>
      </c>
      <c r="D39" t="s">
        <v>128</v>
      </c>
      <c r="E39" s="5" t="s">
        <v>36</v>
      </c>
      <c r="F39" s="5"/>
      <c r="G39" s="26" t="s">
        <v>234</v>
      </c>
      <c r="H39" s="14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6">
        <v>0</v>
      </c>
      <c r="T39" s="22">
        <f t="shared" si="0"/>
        <v>0</v>
      </c>
    </row>
    <row r="40" spans="1:20" x14ac:dyDescent="0.3">
      <c r="A40" t="s">
        <v>100</v>
      </c>
      <c r="B40" t="s">
        <v>111</v>
      </c>
      <c r="C40" t="s">
        <v>103</v>
      </c>
      <c r="D40" t="s">
        <v>128</v>
      </c>
      <c r="E40" s="5" t="s">
        <v>37</v>
      </c>
      <c r="F40" s="5"/>
      <c r="G40" s="26" t="s">
        <v>234</v>
      </c>
      <c r="H40" s="14">
        <v>446960.00013056002</v>
      </c>
      <c r="I40" s="15">
        <v>455220.00027392001</v>
      </c>
      <c r="J40" s="15">
        <v>694539.99997311994</v>
      </c>
      <c r="K40" s="15">
        <v>577739.99968383997</v>
      </c>
      <c r="L40" s="15">
        <v>595240.00020352006</v>
      </c>
      <c r="M40" s="15">
        <v>577799.99974144006</v>
      </c>
      <c r="N40" s="15">
        <v>505599.99979775999</v>
      </c>
      <c r="O40" s="15">
        <v>505599.99979775999</v>
      </c>
      <c r="P40" s="15">
        <v>674140.00020864001</v>
      </c>
      <c r="Q40" s="15">
        <v>635140.00028416002</v>
      </c>
      <c r="R40" s="15">
        <v>673659.99974784011</v>
      </c>
      <c r="S40" s="16">
        <v>615940.00025600009</v>
      </c>
      <c r="T40" s="22">
        <f t="shared" si="0"/>
        <v>6957580.0000985591</v>
      </c>
    </row>
    <row r="41" spans="1:20" x14ac:dyDescent="0.3">
      <c r="A41" t="s">
        <v>100</v>
      </c>
      <c r="B41" t="s">
        <v>111</v>
      </c>
      <c r="C41" t="s">
        <v>103</v>
      </c>
      <c r="D41" t="s">
        <v>38</v>
      </c>
      <c r="E41" s="6" t="s">
        <v>39</v>
      </c>
      <c r="F41" s="6"/>
      <c r="G41" s="26" t="s">
        <v>234</v>
      </c>
      <c r="H41" s="14">
        <v>8824116.120762879</v>
      </c>
      <c r="I41" s="15">
        <v>11422248.6365568</v>
      </c>
      <c r="J41" s="15">
        <v>15912965.754577922</v>
      </c>
      <c r="K41" s="15">
        <v>12938223.205322241</v>
      </c>
      <c r="L41" s="15">
        <v>13329134.88620672</v>
      </c>
      <c r="M41" s="15">
        <v>12938223.205322241</v>
      </c>
      <c r="N41" s="15">
        <v>11207723.93371008</v>
      </c>
      <c r="O41" s="15">
        <v>11207723.93371008</v>
      </c>
      <c r="P41" s="15">
        <v>14945220.983392</v>
      </c>
      <c r="Q41" s="15">
        <v>13538892.373717761</v>
      </c>
      <c r="R41" s="15">
        <v>14358853.46100352</v>
      </c>
      <c r="S41" s="16">
        <v>13124144.6147392</v>
      </c>
      <c r="T41" s="22">
        <f t="shared" si="0"/>
        <v>153747471.10902146</v>
      </c>
    </row>
    <row r="42" spans="1:20" x14ac:dyDescent="0.3">
      <c r="A42" t="s">
        <v>100</v>
      </c>
      <c r="B42" t="s">
        <v>111</v>
      </c>
      <c r="C42" t="s">
        <v>103</v>
      </c>
      <c r="D42" t="s">
        <v>38</v>
      </c>
      <c r="E42" s="6" t="s">
        <v>40</v>
      </c>
      <c r="F42" s="6"/>
      <c r="G42" s="26" t="s">
        <v>234</v>
      </c>
      <c r="H42" s="14">
        <v>475389.39921536006</v>
      </c>
      <c r="I42" s="15">
        <v>383968.36082304001</v>
      </c>
      <c r="J42" s="15">
        <v>664326.21198720008</v>
      </c>
      <c r="K42" s="15">
        <v>542431.49436671997</v>
      </c>
      <c r="L42" s="15">
        <v>560715.70162048005</v>
      </c>
      <c r="M42" s="15">
        <v>548526.23035392002</v>
      </c>
      <c r="N42" s="15">
        <v>469294.66322816</v>
      </c>
      <c r="O42" s="15">
        <v>469294.66322816</v>
      </c>
      <c r="P42" s="15">
        <v>633852.53275904001</v>
      </c>
      <c r="Q42" s="15">
        <v>566810.43760767998</v>
      </c>
      <c r="R42" s="15">
        <v>603378.85282303998</v>
      </c>
      <c r="S42" s="16">
        <v>554620.96634112007</v>
      </c>
      <c r="T42" s="22">
        <f t="shared" si="0"/>
        <v>6472609.5143539188</v>
      </c>
    </row>
    <row r="43" spans="1:20" x14ac:dyDescent="0.3">
      <c r="A43" t="s">
        <v>100</v>
      </c>
      <c r="B43" t="s">
        <v>111</v>
      </c>
      <c r="C43" t="s">
        <v>103</v>
      </c>
      <c r="D43" t="s">
        <v>38</v>
      </c>
      <c r="E43" s="6" t="s">
        <v>41</v>
      </c>
      <c r="F43" s="6"/>
      <c r="G43" s="26" t="s">
        <v>234</v>
      </c>
      <c r="H43" s="14">
        <v>115747.61138304001</v>
      </c>
      <c r="I43" s="15">
        <v>95321.562398720009</v>
      </c>
      <c r="J43" s="15">
        <v>170217.07581312</v>
      </c>
      <c r="K43" s="15">
        <v>136173.66036735999</v>
      </c>
      <c r="L43" s="15">
        <v>136173.66036735999</v>
      </c>
      <c r="M43" s="15">
        <v>136173.66036735999</v>
      </c>
      <c r="N43" s="15">
        <v>115747.61138304001</v>
      </c>
      <c r="O43" s="15">
        <v>115747.61138304001</v>
      </c>
      <c r="P43" s="15">
        <v>163408.3925824</v>
      </c>
      <c r="Q43" s="15">
        <v>142982.34359808001</v>
      </c>
      <c r="R43" s="15">
        <v>149791.02682880001</v>
      </c>
      <c r="S43" s="16">
        <v>136173.66036735999</v>
      </c>
      <c r="T43" s="22">
        <f t="shared" si="0"/>
        <v>1613657.8768396801</v>
      </c>
    </row>
    <row r="44" spans="1:20" x14ac:dyDescent="0.3">
      <c r="A44" t="s">
        <v>100</v>
      </c>
      <c r="B44" t="s">
        <v>111</v>
      </c>
      <c r="C44" t="s">
        <v>103</v>
      </c>
      <c r="D44" t="s">
        <v>38</v>
      </c>
      <c r="E44" s="6" t="s">
        <v>112</v>
      </c>
      <c r="F44" s="6"/>
      <c r="G44" s="26" t="s">
        <v>234</v>
      </c>
      <c r="H44" s="14">
        <v>3328943.1610982399</v>
      </c>
      <c r="I44" s="15">
        <v>1508323.54814848</v>
      </c>
      <c r="J44" s="15">
        <v>1196027.4833471999</v>
      </c>
      <c r="K44" s="15">
        <v>2159494.0667417599</v>
      </c>
      <c r="L44" s="15">
        <v>2225940.0381568004</v>
      </c>
      <c r="M44" s="15">
        <v>2159494.0667417599</v>
      </c>
      <c r="N44" s="15">
        <v>1867131.7927987203</v>
      </c>
      <c r="O44" s="15">
        <v>1867131.7927987203</v>
      </c>
      <c r="P44" s="15">
        <v>2498368.5205337601</v>
      </c>
      <c r="Q44" s="15">
        <v>2259163.0238643195</v>
      </c>
      <c r="R44" s="15">
        <v>2398699.5634112</v>
      </c>
      <c r="S44" s="16">
        <v>2186072.4550246401</v>
      </c>
      <c r="T44" s="22">
        <f t="shared" si="0"/>
        <v>25654789.512665596</v>
      </c>
    </row>
    <row r="45" spans="1:20" x14ac:dyDescent="0.3">
      <c r="A45" t="s">
        <v>100</v>
      </c>
      <c r="B45" t="s">
        <v>111</v>
      </c>
      <c r="C45" t="s">
        <v>103</v>
      </c>
      <c r="D45" t="s">
        <v>38</v>
      </c>
      <c r="E45" s="6" t="s">
        <v>42</v>
      </c>
      <c r="F45" s="6"/>
      <c r="G45" s="26" t="s">
        <v>234</v>
      </c>
      <c r="H45" s="14">
        <v>13314704.998703361</v>
      </c>
      <c r="I45" s="15">
        <v>24340373.624035843</v>
      </c>
      <c r="J45" s="15">
        <v>29583213.514704641</v>
      </c>
      <c r="K45" s="15">
        <v>24037033.27761792</v>
      </c>
      <c r="L45" s="15">
        <v>24766340.91882496</v>
      </c>
      <c r="M45" s="15">
        <v>24037033.27761792</v>
      </c>
      <c r="N45" s="15">
        <v>21651186.15408</v>
      </c>
      <c r="O45" s="15">
        <v>21651186.15408</v>
      </c>
      <c r="P45" s="15">
        <v>28871116.672536321</v>
      </c>
      <c r="Q45" s="15">
        <v>27958944.28313728</v>
      </c>
      <c r="R45" s="15">
        <v>29654208.063836161</v>
      </c>
      <c r="S45" s="16">
        <v>27113463.742579203</v>
      </c>
      <c r="T45" s="22">
        <f t="shared" si="0"/>
        <v>296978804.68175364</v>
      </c>
    </row>
    <row r="46" spans="1:20" x14ac:dyDescent="0.3">
      <c r="A46" t="s">
        <v>100</v>
      </c>
      <c r="B46" t="s">
        <v>111</v>
      </c>
      <c r="C46" t="s">
        <v>103</v>
      </c>
      <c r="D46" t="s">
        <v>38</v>
      </c>
      <c r="E46" s="6" t="s">
        <v>43</v>
      </c>
      <c r="F46" s="6"/>
      <c r="G46" s="26" t="s">
        <v>234</v>
      </c>
      <c r="H46" s="14">
        <v>3509842.5710028801</v>
      </c>
      <c r="I46" s="15">
        <v>1819519.61543296</v>
      </c>
      <c r="J46" s="15">
        <v>1945127.4783628799</v>
      </c>
      <c r="K46" s="15">
        <v>2598288.3658816</v>
      </c>
      <c r="L46" s="15">
        <v>2677241.8792985599</v>
      </c>
      <c r="M46" s="15">
        <v>2601877.1613990404</v>
      </c>
      <c r="N46" s="15">
        <v>2343483.84379648</v>
      </c>
      <c r="O46" s="15">
        <v>2343483.84379648</v>
      </c>
      <c r="P46" s="15">
        <v>3118663.7980198404</v>
      </c>
      <c r="Q46" s="15">
        <v>3025355.0997017599</v>
      </c>
      <c r="R46" s="15">
        <v>3208383.7001126399</v>
      </c>
      <c r="S46" s="16">
        <v>2932046.4013836803</v>
      </c>
      <c r="T46" s="22">
        <f t="shared" si="0"/>
        <v>32123313.758188799</v>
      </c>
    </row>
    <row r="47" spans="1:20" x14ac:dyDescent="0.3">
      <c r="A47" t="s">
        <v>100</v>
      </c>
      <c r="B47" t="s">
        <v>111</v>
      </c>
      <c r="C47" t="s">
        <v>103</v>
      </c>
      <c r="D47" t="s">
        <v>38</v>
      </c>
      <c r="E47" s="6" t="s">
        <v>44</v>
      </c>
      <c r="F47" s="6"/>
      <c r="G47" s="26" t="s">
        <v>234</v>
      </c>
      <c r="H47" s="14">
        <v>3875982.3434841596</v>
      </c>
      <c r="I47" s="15">
        <v>3126655.4921190399</v>
      </c>
      <c r="J47" s="15">
        <v>5501753.9937651204</v>
      </c>
      <c r="K47" s="15">
        <v>4440207.6212928006</v>
      </c>
      <c r="L47" s="15">
        <v>4575131.0578444805</v>
      </c>
      <c r="M47" s="15">
        <v>4441322.6908467207</v>
      </c>
      <c r="N47" s="15">
        <v>4030977.03483776</v>
      </c>
      <c r="O47" s="15">
        <v>4030977.03483776</v>
      </c>
      <c r="P47" s="15">
        <v>5375751.1157683199</v>
      </c>
      <c r="Q47" s="15">
        <v>5065761.7337689605</v>
      </c>
      <c r="R47" s="15">
        <v>5373520.9759526402</v>
      </c>
      <c r="S47" s="16">
        <v>4912997.1822310397</v>
      </c>
      <c r="T47" s="22">
        <f t="shared" si="0"/>
        <v>54751038.276748799</v>
      </c>
    </row>
    <row r="48" spans="1:20" x14ac:dyDescent="0.3">
      <c r="A48" t="s">
        <v>100</v>
      </c>
      <c r="B48" t="s">
        <v>111</v>
      </c>
      <c r="C48" t="s">
        <v>103</v>
      </c>
      <c r="D48" t="s">
        <v>38</v>
      </c>
      <c r="E48" s="7" t="s">
        <v>113</v>
      </c>
      <c r="F48" s="7"/>
      <c r="G48" s="26" t="s">
        <v>234</v>
      </c>
      <c r="H48" s="14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6">
        <v>0</v>
      </c>
      <c r="T48" s="22">
        <f t="shared" si="0"/>
        <v>0</v>
      </c>
    </row>
    <row r="49" spans="1:20" x14ac:dyDescent="0.3">
      <c r="A49" t="s">
        <v>100</v>
      </c>
      <c r="B49" t="s">
        <v>111</v>
      </c>
      <c r="C49" t="s">
        <v>103</v>
      </c>
      <c r="D49" t="s">
        <v>38</v>
      </c>
      <c r="E49" s="7" t="s">
        <v>45</v>
      </c>
      <c r="F49" s="7"/>
      <c r="G49" s="26" t="s">
        <v>234</v>
      </c>
      <c r="H49" s="14">
        <v>578184.22803455999</v>
      </c>
      <c r="I49" s="15">
        <v>465940.78848128003</v>
      </c>
      <c r="J49" s="15">
        <v>819638.13740928005</v>
      </c>
      <c r="K49" s="15">
        <v>661714.2292992</v>
      </c>
      <c r="L49" s="15">
        <v>682596.72961536003</v>
      </c>
      <c r="M49" s="15">
        <v>661714.2292992</v>
      </c>
      <c r="N49" s="15">
        <v>601677.04053632007</v>
      </c>
      <c r="O49" s="15">
        <v>601677.04053632007</v>
      </c>
      <c r="P49" s="15">
        <v>800060.79353984003</v>
      </c>
      <c r="Q49" s="15">
        <v>754380.32427520002</v>
      </c>
      <c r="R49" s="15">
        <v>801365.94998656004</v>
      </c>
      <c r="S49" s="16">
        <v>732192.66751231998</v>
      </c>
      <c r="T49" s="22">
        <f t="shared" si="0"/>
        <v>8161142.1585254399</v>
      </c>
    </row>
    <row r="50" spans="1:20" x14ac:dyDescent="0.3">
      <c r="A50" t="s">
        <v>100</v>
      </c>
      <c r="B50" t="s">
        <v>111</v>
      </c>
      <c r="C50" t="s">
        <v>103</v>
      </c>
      <c r="D50" t="s">
        <v>38</v>
      </c>
      <c r="E50" s="7" t="s">
        <v>114</v>
      </c>
      <c r="F50" s="7"/>
      <c r="G50" s="26" t="s">
        <v>234</v>
      </c>
      <c r="H50" s="14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6">
        <v>0</v>
      </c>
      <c r="T50" s="22">
        <f t="shared" si="0"/>
        <v>0</v>
      </c>
    </row>
    <row r="51" spans="1:20" x14ac:dyDescent="0.3">
      <c r="A51" t="s">
        <v>100</v>
      </c>
      <c r="B51" t="s">
        <v>111</v>
      </c>
      <c r="C51" t="s">
        <v>103</v>
      </c>
      <c r="D51" t="s">
        <v>38</v>
      </c>
      <c r="E51" s="7" t="s">
        <v>46</v>
      </c>
      <c r="F51" s="7"/>
      <c r="G51" s="26" t="s">
        <v>234</v>
      </c>
      <c r="H51" s="14">
        <v>2654008.31532032</v>
      </c>
      <c r="I51" s="15">
        <v>2140246.8339660801</v>
      </c>
      <c r="J51" s="15">
        <v>3766732.1865779199</v>
      </c>
      <c r="K51" s="15">
        <v>2973511.7237952002</v>
      </c>
      <c r="L51" s="15">
        <v>3063824.6875084802</v>
      </c>
      <c r="M51" s="15">
        <v>2974363.7331071999</v>
      </c>
      <c r="N51" s="15">
        <v>2777549.6337075201</v>
      </c>
      <c r="O51" s="15">
        <v>2777549.6337075201</v>
      </c>
      <c r="P51" s="15">
        <v>3702831.5051660803</v>
      </c>
      <c r="Q51" s="15">
        <v>3506017.40505856</v>
      </c>
      <c r="R51" s="15">
        <v>3719019.6778470404</v>
      </c>
      <c r="S51" s="16">
        <v>3400368.2779763201</v>
      </c>
      <c r="T51" s="22">
        <f t="shared" si="0"/>
        <v>37456023.613738239</v>
      </c>
    </row>
    <row r="52" spans="1:20" x14ac:dyDescent="0.3">
      <c r="A52" t="s">
        <v>100</v>
      </c>
      <c r="B52" t="s">
        <v>111</v>
      </c>
      <c r="C52" t="s">
        <v>103</v>
      </c>
      <c r="D52" t="s">
        <v>38</v>
      </c>
      <c r="E52" s="7" t="s">
        <v>115</v>
      </c>
      <c r="F52" s="7"/>
      <c r="G52" s="26" t="s">
        <v>234</v>
      </c>
      <c r="H52" s="14">
        <v>117625.38632320001</v>
      </c>
      <c r="I52" s="15">
        <v>95391.319322879994</v>
      </c>
      <c r="J52" s="15">
        <v>167114.11618944001</v>
      </c>
      <c r="K52" s="15">
        <v>131969.94583808002</v>
      </c>
      <c r="L52" s="15">
        <v>136273.31362176</v>
      </c>
      <c r="M52" s="15">
        <v>131969.94583808002</v>
      </c>
      <c r="N52" s="15">
        <v>123363.21027072</v>
      </c>
      <c r="O52" s="15">
        <v>123363.21027072</v>
      </c>
      <c r="P52" s="15">
        <v>164962.43194368001</v>
      </c>
      <c r="Q52" s="15">
        <v>155638.46829439999</v>
      </c>
      <c r="R52" s="15">
        <v>164962.43194368001</v>
      </c>
      <c r="S52" s="16">
        <v>151335.10051071999</v>
      </c>
      <c r="T52" s="22">
        <f t="shared" si="0"/>
        <v>1663968.8803673598</v>
      </c>
    </row>
    <row r="53" spans="1:20" x14ac:dyDescent="0.3">
      <c r="A53" t="s">
        <v>100</v>
      </c>
      <c r="B53" t="s">
        <v>111</v>
      </c>
      <c r="C53" t="s">
        <v>103</v>
      </c>
      <c r="D53" t="s">
        <v>38</v>
      </c>
      <c r="E53" s="7" t="s">
        <v>47</v>
      </c>
      <c r="F53" s="7"/>
      <c r="G53" s="26" t="s">
        <v>234</v>
      </c>
      <c r="H53" s="14">
        <v>5020812.80227968</v>
      </c>
      <c r="I53" s="15">
        <v>4049145.3502796805</v>
      </c>
      <c r="J53" s="15">
        <v>7125561.31655424</v>
      </c>
      <c r="K53" s="15">
        <v>6026993.0327667203</v>
      </c>
      <c r="L53" s="15">
        <v>6209645.2753574401</v>
      </c>
      <c r="M53" s="15">
        <v>6026993.0327667203</v>
      </c>
      <c r="N53" s="15">
        <v>5057449.4440691201</v>
      </c>
      <c r="O53" s="15">
        <v>5057449.4440691201</v>
      </c>
      <c r="P53" s="15">
        <v>6742734.9593049604</v>
      </c>
      <c r="Q53" s="15">
        <v>6272830.2080729604</v>
      </c>
      <c r="R53" s="15">
        <v>6653001.73566336</v>
      </c>
      <c r="S53" s="16">
        <v>6083275.4099264005</v>
      </c>
      <c r="T53" s="22">
        <f t="shared" si="0"/>
        <v>70325892.011110395</v>
      </c>
    </row>
    <row r="54" spans="1:20" x14ac:dyDescent="0.3">
      <c r="A54" t="s">
        <v>100</v>
      </c>
      <c r="B54" t="s">
        <v>111</v>
      </c>
      <c r="C54" t="s">
        <v>103</v>
      </c>
      <c r="D54" t="s">
        <v>38</v>
      </c>
      <c r="E54" s="7" t="s">
        <v>48</v>
      </c>
      <c r="F54" s="7"/>
      <c r="G54" s="26" t="s">
        <v>234</v>
      </c>
      <c r="H54" s="14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6">
        <v>0</v>
      </c>
      <c r="T54" s="22">
        <f t="shared" si="0"/>
        <v>0</v>
      </c>
    </row>
    <row r="55" spans="1:20" x14ac:dyDescent="0.3">
      <c r="A55" t="s">
        <v>100</v>
      </c>
      <c r="B55" t="s">
        <v>111</v>
      </c>
      <c r="C55" t="s">
        <v>103</v>
      </c>
      <c r="D55" t="s">
        <v>38</v>
      </c>
      <c r="E55" s="7" t="s">
        <v>49</v>
      </c>
      <c r="F55" s="7"/>
      <c r="G55" s="26" t="s">
        <v>234</v>
      </c>
      <c r="H55" s="14">
        <v>1454275.3985804799</v>
      </c>
      <c r="I55" s="15">
        <v>1173074.8702668799</v>
      </c>
      <c r="J55" s="15">
        <v>2064011.8777510403</v>
      </c>
      <c r="K55" s="15">
        <v>1745786.6131327997</v>
      </c>
      <c r="L55" s="15">
        <v>1798746.0460300799</v>
      </c>
      <c r="M55" s="15">
        <v>1745786.6131327997</v>
      </c>
      <c r="N55" s="15">
        <v>1465054.7520537602</v>
      </c>
      <c r="O55" s="15">
        <v>1465054.7520537602</v>
      </c>
      <c r="P55" s="15">
        <v>1952937.6688371201</v>
      </c>
      <c r="Q55" s="15">
        <v>1817024.0802112003</v>
      </c>
      <c r="R55" s="15">
        <v>1927160.9539481602</v>
      </c>
      <c r="S55" s="16">
        <v>1762189.9769599999</v>
      </c>
      <c r="T55" s="22">
        <f t="shared" si="0"/>
        <v>20371103.602958079</v>
      </c>
    </row>
    <row r="56" spans="1:20" x14ac:dyDescent="0.3">
      <c r="A56" t="s">
        <v>100</v>
      </c>
      <c r="B56" t="s">
        <v>111</v>
      </c>
      <c r="C56" t="s">
        <v>103</v>
      </c>
      <c r="D56" t="s">
        <v>38</v>
      </c>
      <c r="E56" s="6" t="s">
        <v>50</v>
      </c>
      <c r="F56" s="6"/>
      <c r="G56" s="26" t="s">
        <v>234</v>
      </c>
      <c r="H56" s="14">
        <v>454827.05209984002</v>
      </c>
      <c r="I56" s="15">
        <v>366870.67532416002</v>
      </c>
      <c r="J56" s="15">
        <v>645784.97458048002</v>
      </c>
      <c r="K56" s="15">
        <v>546255.39044608001</v>
      </c>
      <c r="L56" s="15">
        <v>562457.88060671999</v>
      </c>
      <c r="M56" s="15">
        <v>546255.39044608001</v>
      </c>
      <c r="N56" s="15">
        <v>458299.01437824004</v>
      </c>
      <c r="O56" s="15">
        <v>458299.01437824004</v>
      </c>
      <c r="P56" s="15">
        <v>611065.35179648001</v>
      </c>
      <c r="Q56" s="15">
        <v>568244.48464000004</v>
      </c>
      <c r="R56" s="15">
        <v>602964.10671615996</v>
      </c>
      <c r="S56" s="16">
        <v>551463.33386368002</v>
      </c>
      <c r="T56" s="22">
        <f t="shared" si="0"/>
        <v>6372786.6692761602</v>
      </c>
    </row>
    <row r="57" spans="1:20" x14ac:dyDescent="0.3">
      <c r="A57" t="s">
        <v>100</v>
      </c>
      <c r="B57" t="s">
        <v>111</v>
      </c>
      <c r="C57" t="s">
        <v>103</v>
      </c>
      <c r="D57" t="s">
        <v>38</v>
      </c>
      <c r="E57" s="7" t="s">
        <v>51</v>
      </c>
      <c r="F57" s="7"/>
      <c r="G57" s="26" t="s">
        <v>234</v>
      </c>
      <c r="H57" s="14">
        <v>436779.24429440004</v>
      </c>
      <c r="I57" s="15">
        <v>352270.02212864003</v>
      </c>
      <c r="J57" s="15">
        <v>620030.8213836801</v>
      </c>
      <c r="K57" s="15">
        <v>503793.57512959995</v>
      </c>
      <c r="L57" s="15">
        <v>518916.27802112</v>
      </c>
      <c r="M57" s="15">
        <v>503793.57512959995</v>
      </c>
      <c r="N57" s="15">
        <v>424918.30068351998</v>
      </c>
      <c r="O57" s="15">
        <v>424918.30068351998</v>
      </c>
      <c r="P57" s="15">
        <v>566656.57584255992</v>
      </c>
      <c r="Q57" s="15">
        <v>520991.94308224</v>
      </c>
      <c r="R57" s="15">
        <v>552423.44379264</v>
      </c>
      <c r="S57" s="16">
        <v>504979.66934912</v>
      </c>
      <c r="T57" s="22">
        <f t="shared" si="0"/>
        <v>5930471.7495206399</v>
      </c>
    </row>
    <row r="58" spans="1:20" x14ac:dyDescent="0.3">
      <c r="A58" t="s">
        <v>100</v>
      </c>
      <c r="B58" t="s">
        <v>111</v>
      </c>
      <c r="C58" t="s">
        <v>103</v>
      </c>
      <c r="D58" t="s">
        <v>38</v>
      </c>
      <c r="E58" s="6" t="s">
        <v>52</v>
      </c>
      <c r="F58" s="6"/>
      <c r="G58" s="26" t="s">
        <v>234</v>
      </c>
      <c r="H58" s="14">
        <v>65018.772734720005</v>
      </c>
      <c r="I58" s="15">
        <v>52368.060890880006</v>
      </c>
      <c r="J58" s="15">
        <v>92379.613016320014</v>
      </c>
      <c r="K58" s="15">
        <v>75021.660412159996</v>
      </c>
      <c r="L58" s="15">
        <v>77081.078421760016</v>
      </c>
      <c r="M58" s="15">
        <v>75021.660412159996</v>
      </c>
      <c r="N58" s="15">
        <v>63253.55709568</v>
      </c>
      <c r="O58" s="15">
        <v>63253.55709568</v>
      </c>
      <c r="P58" s="15">
        <v>84436.143348480022</v>
      </c>
      <c r="Q58" s="15">
        <v>77375.28150016001</v>
      </c>
      <c r="R58" s="15">
        <v>82082.522260480007</v>
      </c>
      <c r="S58" s="16">
        <v>75315.862782720011</v>
      </c>
      <c r="T58" s="22">
        <f t="shared" si="0"/>
        <v>882607.76997119992</v>
      </c>
    </row>
    <row r="59" spans="1:20" x14ac:dyDescent="0.3">
      <c r="A59" t="s">
        <v>100</v>
      </c>
      <c r="B59" t="s">
        <v>111</v>
      </c>
      <c r="C59" t="s">
        <v>103</v>
      </c>
      <c r="D59" t="s">
        <v>38</v>
      </c>
      <c r="E59" s="6" t="s">
        <v>53</v>
      </c>
      <c r="F59" s="6"/>
      <c r="G59" s="26" t="s">
        <v>234</v>
      </c>
      <c r="H59" s="14">
        <v>22218.06981632</v>
      </c>
      <c r="I59" s="15">
        <v>18014.651164160001</v>
      </c>
      <c r="J59" s="15">
        <v>31225.395398400004</v>
      </c>
      <c r="K59" s="15">
        <v>25520.755697919998</v>
      </c>
      <c r="L59" s="15">
        <v>26121.243975679998</v>
      </c>
      <c r="M59" s="15">
        <v>25520.755697919998</v>
      </c>
      <c r="N59" s="15">
        <v>21617.58153856</v>
      </c>
      <c r="O59" s="15">
        <v>21617.58153856</v>
      </c>
      <c r="P59" s="15">
        <v>28523.197794559997</v>
      </c>
      <c r="Q59" s="15">
        <v>26421.488468479998</v>
      </c>
      <c r="R59" s="15">
        <v>27922.709516800001</v>
      </c>
      <c r="S59" s="16">
        <v>25520.755697919998</v>
      </c>
      <c r="T59" s="22">
        <f t="shared" si="0"/>
        <v>300244.18630527996</v>
      </c>
    </row>
    <row r="60" spans="1:20" x14ac:dyDescent="0.3">
      <c r="A60" t="s">
        <v>100</v>
      </c>
      <c r="B60" t="s">
        <v>111</v>
      </c>
      <c r="C60" t="s">
        <v>103</v>
      </c>
      <c r="D60" t="s">
        <v>54</v>
      </c>
      <c r="E60" s="8" t="s">
        <v>55</v>
      </c>
      <c r="F60" s="8"/>
      <c r="G60" s="26" t="s">
        <v>234</v>
      </c>
      <c r="H60" s="14">
        <v>10271.25530368</v>
      </c>
      <c r="I60" s="15">
        <v>8437.1024192000004</v>
      </c>
      <c r="J60" s="15">
        <v>14673.221660159999</v>
      </c>
      <c r="K60" s="15">
        <v>12472.238481920002</v>
      </c>
      <c r="L60" s="15">
        <v>12839.068775680002</v>
      </c>
      <c r="M60" s="15">
        <v>12105.40748032</v>
      </c>
      <c r="N60" s="15">
        <v>10271.25530368</v>
      </c>
      <c r="O60" s="15">
        <v>10271.25530368</v>
      </c>
      <c r="P60" s="15">
        <v>13939.5603648</v>
      </c>
      <c r="Q60" s="15">
        <v>12839.068775680002</v>
      </c>
      <c r="R60" s="15">
        <v>13572.730071040001</v>
      </c>
      <c r="S60" s="16">
        <v>12839.068775680002</v>
      </c>
      <c r="T60" s="22">
        <f t="shared" si="0"/>
        <v>144531.23271551999</v>
      </c>
    </row>
    <row r="61" spans="1:20" x14ac:dyDescent="0.3">
      <c r="A61" t="s">
        <v>100</v>
      </c>
      <c r="B61" t="s">
        <v>110</v>
      </c>
      <c r="C61" t="s">
        <v>56</v>
      </c>
      <c r="D61" t="s">
        <v>130</v>
      </c>
      <c r="E61" s="4" t="s">
        <v>57</v>
      </c>
      <c r="F61" s="4"/>
      <c r="G61" s="26" t="s">
        <v>234</v>
      </c>
      <c r="H61" s="14">
        <v>425780.89645056002</v>
      </c>
      <c r="I61" s="15">
        <v>342411.21032831998</v>
      </c>
      <c r="J61" s="15">
        <v>601452.73453439993</v>
      </c>
      <c r="K61" s="15">
        <v>509150.58186496003</v>
      </c>
      <c r="L61" s="15">
        <v>524038.02634624002</v>
      </c>
      <c r="M61" s="15">
        <v>512128.07118592004</v>
      </c>
      <c r="N61" s="15">
        <v>443645.82883712003</v>
      </c>
      <c r="O61" s="15">
        <v>443645.82883712003</v>
      </c>
      <c r="P61" s="15">
        <v>595497.75660031999</v>
      </c>
      <c r="Q61" s="15">
        <v>553812.91389312001</v>
      </c>
      <c r="R61" s="15">
        <v>586565.29076095996</v>
      </c>
      <c r="S61" s="16">
        <v>534518.78671744</v>
      </c>
      <c r="T61" s="22">
        <f t="shared" si="0"/>
        <v>6072647.9263564805</v>
      </c>
    </row>
    <row r="62" spans="1:20" x14ac:dyDescent="0.3">
      <c r="A62" t="s">
        <v>100</v>
      </c>
      <c r="B62" t="s">
        <v>110</v>
      </c>
      <c r="C62" t="s">
        <v>56</v>
      </c>
      <c r="D62" t="s">
        <v>131</v>
      </c>
      <c r="E62" s="4" t="s">
        <v>58</v>
      </c>
      <c r="F62" s="4"/>
      <c r="G62" s="26" t="s">
        <v>234</v>
      </c>
      <c r="H62" s="14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995575.22154496005</v>
      </c>
      <c r="O62" s="15">
        <v>995575.22154496005</v>
      </c>
      <c r="P62" s="15">
        <v>1659292.0356723203</v>
      </c>
      <c r="Q62" s="15">
        <v>1659292.0356723203</v>
      </c>
      <c r="R62" s="15">
        <v>1659292.0356723203</v>
      </c>
      <c r="S62" s="16">
        <v>1991150.44238208</v>
      </c>
      <c r="T62" s="22">
        <f t="shared" si="0"/>
        <v>8960176.9924889598</v>
      </c>
    </row>
    <row r="63" spans="1:20" x14ac:dyDescent="0.3">
      <c r="A63" t="s">
        <v>100</v>
      </c>
      <c r="B63" t="s">
        <v>101</v>
      </c>
      <c r="C63" t="s">
        <v>132</v>
      </c>
      <c r="D63" t="s">
        <v>59</v>
      </c>
      <c r="E63" s="2" t="s">
        <v>60</v>
      </c>
      <c r="F63" s="2"/>
      <c r="G63" s="26" t="s">
        <v>234</v>
      </c>
      <c r="H63" s="14">
        <v>5298123.8467673603</v>
      </c>
      <c r="I63" s="15">
        <v>4890575.8582822401</v>
      </c>
      <c r="J63" s="15">
        <v>6520767.8115148805</v>
      </c>
      <c r="K63" s="15">
        <v>6928315.7992921602</v>
      </c>
      <c r="L63" s="15">
        <v>6928315.7992921602</v>
      </c>
      <c r="M63" s="15">
        <v>6520767.8115148805</v>
      </c>
      <c r="N63" s="15">
        <v>5705671.83454464</v>
      </c>
      <c r="O63" s="15">
        <v>6113219.8230297603</v>
      </c>
      <c r="P63" s="15">
        <v>7743411.7755545592</v>
      </c>
      <c r="Q63" s="15">
        <v>5705671.83454464</v>
      </c>
      <c r="R63" s="15">
        <v>6520767.8115148805</v>
      </c>
      <c r="S63" s="16">
        <v>4483027.8705049604</v>
      </c>
      <c r="T63" s="22">
        <f t="shared" si="0"/>
        <v>73358637.876357123</v>
      </c>
    </row>
    <row r="64" spans="1:20" x14ac:dyDescent="0.3">
      <c r="A64" t="s">
        <v>100</v>
      </c>
      <c r="B64" t="s">
        <v>101</v>
      </c>
      <c r="C64" t="s">
        <v>132</v>
      </c>
      <c r="D64" t="s">
        <v>133</v>
      </c>
      <c r="E64" s="3" t="s">
        <v>61</v>
      </c>
      <c r="F64" s="3"/>
      <c r="G64" s="26" t="s">
        <v>234</v>
      </c>
      <c r="H64" s="14">
        <v>130000.00022015999</v>
      </c>
      <c r="I64" s="15">
        <v>130000.00022015999</v>
      </c>
      <c r="J64" s="15">
        <v>259999.99973247998</v>
      </c>
      <c r="K64" s="15">
        <v>130000.00022015999</v>
      </c>
      <c r="L64" s="15">
        <v>259999.99973247998</v>
      </c>
      <c r="M64" s="15">
        <v>130000.00022015999</v>
      </c>
      <c r="N64" s="15">
        <v>259999.99973247998</v>
      </c>
      <c r="O64" s="15">
        <v>130000.00022015999</v>
      </c>
      <c r="P64" s="15">
        <v>259999.99973247998</v>
      </c>
      <c r="Q64" s="15">
        <v>130000.00022015999</v>
      </c>
      <c r="R64" s="15">
        <v>259999.99973247998</v>
      </c>
      <c r="S64" s="16">
        <v>130000.00022015999</v>
      </c>
      <c r="T64" s="22">
        <f t="shared" si="0"/>
        <v>2210000.0002035196</v>
      </c>
    </row>
    <row r="65" spans="1:20" x14ac:dyDescent="0.3">
      <c r="A65" t="s">
        <v>100</v>
      </c>
      <c r="B65" t="s">
        <v>101</v>
      </c>
      <c r="C65" t="s">
        <v>132</v>
      </c>
      <c r="D65" t="s">
        <v>59</v>
      </c>
      <c r="E65" s="2" t="s">
        <v>62</v>
      </c>
      <c r="F65" s="2"/>
      <c r="G65" s="26" t="s">
        <v>234</v>
      </c>
      <c r="H65" s="14">
        <v>0</v>
      </c>
      <c r="I65" s="15">
        <v>0</v>
      </c>
      <c r="J65" s="15">
        <v>176991.15062271999</v>
      </c>
      <c r="K65" s="15">
        <v>0</v>
      </c>
      <c r="L65" s="15">
        <v>0</v>
      </c>
      <c r="M65" s="15">
        <v>353982.30124543997</v>
      </c>
      <c r="N65" s="15">
        <v>0</v>
      </c>
      <c r="O65" s="15">
        <v>0</v>
      </c>
      <c r="P65" s="15">
        <v>176991.15062271999</v>
      </c>
      <c r="Q65" s="15">
        <v>0</v>
      </c>
      <c r="R65" s="15">
        <v>0</v>
      </c>
      <c r="S65" s="16">
        <v>176991.15062271999</v>
      </c>
      <c r="T65" s="22">
        <f t="shared" si="0"/>
        <v>884955.75311359996</v>
      </c>
    </row>
    <row r="66" spans="1:20" x14ac:dyDescent="0.3">
      <c r="A66" t="s">
        <v>100</v>
      </c>
      <c r="B66" t="s">
        <v>110</v>
      </c>
      <c r="C66" t="s">
        <v>132</v>
      </c>
      <c r="D66" t="s">
        <v>134</v>
      </c>
      <c r="E66" s="9" t="s">
        <v>63</v>
      </c>
      <c r="F66" s="9"/>
      <c r="G66" s="26" t="s">
        <v>234</v>
      </c>
      <c r="H66" s="14">
        <v>10628248.500047361</v>
      </c>
      <c r="I66" s="15">
        <v>9882406.5000192001</v>
      </c>
      <c r="J66" s="15">
        <v>14170997.999827201</v>
      </c>
      <c r="K66" s="15">
        <v>14170997.999827201</v>
      </c>
      <c r="L66" s="15">
        <v>14170997.999827201</v>
      </c>
      <c r="M66" s="15">
        <v>13984537.500174081</v>
      </c>
      <c r="N66" s="15">
        <v>13984537.500174081</v>
      </c>
      <c r="O66" s="15">
        <v>13984537.500174081</v>
      </c>
      <c r="P66" s="15">
        <v>13984537.500174081</v>
      </c>
      <c r="Q66" s="15">
        <v>13984537.500174081</v>
      </c>
      <c r="R66" s="15">
        <v>13425155.999799039</v>
      </c>
      <c r="S66" s="16">
        <v>11187629.999714559</v>
      </c>
      <c r="T66" s="22">
        <f t="shared" si="0"/>
        <v>157559122.49993214</v>
      </c>
    </row>
    <row r="67" spans="1:20" x14ac:dyDescent="0.3">
      <c r="A67" t="s">
        <v>100</v>
      </c>
      <c r="B67" t="s">
        <v>110</v>
      </c>
      <c r="C67" t="s">
        <v>132</v>
      </c>
      <c r="D67" t="s">
        <v>134</v>
      </c>
      <c r="E67" s="9" t="s">
        <v>64</v>
      </c>
      <c r="F67" s="9"/>
      <c r="G67" s="26" t="s">
        <v>234</v>
      </c>
      <c r="H67" s="14">
        <v>130074.38571008001</v>
      </c>
      <c r="I67" s="15">
        <v>160425.07561472</v>
      </c>
      <c r="J67" s="15">
        <v>186439.95318143998</v>
      </c>
      <c r="K67" s="15">
        <v>164760.88866048001</v>
      </c>
      <c r="L67" s="15">
        <v>164760.88866048001</v>
      </c>
      <c r="M67" s="15">
        <v>169096.70170624001</v>
      </c>
      <c r="N67" s="15">
        <v>173432.51475200002</v>
      </c>
      <c r="O67" s="15">
        <v>173432.51475200002</v>
      </c>
      <c r="P67" s="15">
        <v>177768.32708992</v>
      </c>
      <c r="Q67" s="15">
        <v>143081.82413952</v>
      </c>
      <c r="R67" s="15">
        <v>143081.82413952</v>
      </c>
      <c r="S67" s="16">
        <v>143081.82413952</v>
      </c>
      <c r="T67" s="22">
        <f t="shared" ref="T67:T130" si="1">SUM(H67:S67)</f>
        <v>1929436.7225459204</v>
      </c>
    </row>
    <row r="68" spans="1:20" x14ac:dyDescent="0.3">
      <c r="A68" t="s">
        <v>100</v>
      </c>
      <c r="B68" t="s">
        <v>106</v>
      </c>
      <c r="C68" t="s">
        <v>132</v>
      </c>
      <c r="D68" t="s">
        <v>134</v>
      </c>
      <c r="E68" s="4" t="s">
        <v>65</v>
      </c>
      <c r="F68" s="4"/>
      <c r="G68" s="26" t="s">
        <v>234</v>
      </c>
      <c r="H68" s="14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6">
        <v>0</v>
      </c>
      <c r="T68" s="22">
        <f t="shared" si="1"/>
        <v>0</v>
      </c>
    </row>
    <row r="69" spans="1:20" x14ac:dyDescent="0.3">
      <c r="A69" t="s">
        <v>100</v>
      </c>
      <c r="B69" t="s">
        <v>106</v>
      </c>
      <c r="C69" t="s">
        <v>132</v>
      </c>
      <c r="D69" t="s">
        <v>134</v>
      </c>
      <c r="E69" s="9" t="s">
        <v>66</v>
      </c>
      <c r="F69" s="9"/>
      <c r="G69" s="26" t="s">
        <v>234</v>
      </c>
      <c r="H69" s="14">
        <v>140690.26070399999</v>
      </c>
      <c r="I69" s="15">
        <v>162334.91570687998</v>
      </c>
      <c r="J69" s="15">
        <v>183979.5714176</v>
      </c>
      <c r="K69" s="15">
        <v>162334.91570687998</v>
      </c>
      <c r="L69" s="15">
        <v>173157.24356224001</v>
      </c>
      <c r="M69" s="15">
        <v>173157.24356224001</v>
      </c>
      <c r="N69" s="15">
        <v>173157.24356224001</v>
      </c>
      <c r="O69" s="15">
        <v>183979.5714176</v>
      </c>
      <c r="P69" s="15">
        <v>183979.5714176</v>
      </c>
      <c r="Q69" s="15">
        <v>151512.58785152002</v>
      </c>
      <c r="R69" s="15">
        <v>151512.58785152002</v>
      </c>
      <c r="S69" s="16">
        <v>140690.26070399999</v>
      </c>
      <c r="T69" s="22">
        <f t="shared" si="1"/>
        <v>1980485.9734643197</v>
      </c>
    </row>
    <row r="70" spans="1:20" x14ac:dyDescent="0.3">
      <c r="A70" t="s">
        <v>100</v>
      </c>
      <c r="B70" t="s">
        <v>110</v>
      </c>
      <c r="C70" t="s">
        <v>132</v>
      </c>
      <c r="D70" t="s">
        <v>67</v>
      </c>
      <c r="E70" s="2" t="s">
        <v>68</v>
      </c>
      <c r="F70" s="2"/>
      <c r="G70" s="26" t="s">
        <v>234</v>
      </c>
      <c r="H70" s="14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6">
        <v>0</v>
      </c>
      <c r="T70" s="22">
        <f t="shared" si="1"/>
        <v>0</v>
      </c>
    </row>
    <row r="71" spans="1:20" x14ac:dyDescent="0.3">
      <c r="A71" t="s">
        <v>100</v>
      </c>
      <c r="B71" t="s">
        <v>106</v>
      </c>
      <c r="C71" t="s">
        <v>132</v>
      </c>
      <c r="D71" t="s">
        <v>134</v>
      </c>
      <c r="E71" s="2" t="s">
        <v>69</v>
      </c>
      <c r="F71" s="2"/>
      <c r="G71" s="26" t="s">
        <v>234</v>
      </c>
      <c r="H71" s="14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6">
        <v>0</v>
      </c>
      <c r="T71" s="22">
        <f t="shared" si="1"/>
        <v>0</v>
      </c>
    </row>
    <row r="72" spans="1:20" x14ac:dyDescent="0.3">
      <c r="A72" t="s">
        <v>100</v>
      </c>
      <c r="B72" t="s">
        <v>110</v>
      </c>
      <c r="C72" t="s">
        <v>132</v>
      </c>
      <c r="D72" t="s">
        <v>67</v>
      </c>
      <c r="E72" s="9" t="s">
        <v>70</v>
      </c>
      <c r="F72" s="9"/>
      <c r="G72" s="26" t="s">
        <v>234</v>
      </c>
      <c r="H72" s="14">
        <v>17499.999811840004</v>
      </c>
      <c r="I72" s="15">
        <v>17499.999811840004</v>
      </c>
      <c r="J72" s="15">
        <v>17499.999811840004</v>
      </c>
      <c r="K72" s="15">
        <v>21000.000340480001</v>
      </c>
      <c r="L72" s="15">
        <v>21000.000340480001</v>
      </c>
      <c r="M72" s="15">
        <v>17499.999811840004</v>
      </c>
      <c r="N72" s="15">
        <v>17499.999811840004</v>
      </c>
      <c r="O72" s="15">
        <v>21000.000340480001</v>
      </c>
      <c r="P72" s="15">
        <v>24500.000161280001</v>
      </c>
      <c r="Q72" s="15">
        <v>21000.000340480001</v>
      </c>
      <c r="R72" s="15">
        <v>17499.999811840004</v>
      </c>
      <c r="S72" s="16">
        <v>13999.99999104</v>
      </c>
      <c r="T72" s="22">
        <f t="shared" si="1"/>
        <v>227500.00038528009</v>
      </c>
    </row>
    <row r="73" spans="1:20" x14ac:dyDescent="0.3">
      <c r="A73" t="s">
        <v>100</v>
      </c>
      <c r="B73" t="s">
        <v>110</v>
      </c>
      <c r="C73" t="s">
        <v>132</v>
      </c>
      <c r="D73" t="s">
        <v>67</v>
      </c>
      <c r="E73" s="10" t="s">
        <v>71</v>
      </c>
      <c r="F73" s="10"/>
      <c r="G73" s="26" t="s">
        <v>234</v>
      </c>
      <c r="H73" s="14">
        <v>24819999.999889921</v>
      </c>
      <c r="I73" s="15">
        <v>24819999.999889921</v>
      </c>
      <c r="J73" s="15">
        <v>25329999.999664642</v>
      </c>
      <c r="K73" s="15">
        <v>26180000.000232961</v>
      </c>
      <c r="L73" s="15">
        <v>24139999.999718402</v>
      </c>
      <c r="M73" s="15">
        <v>23800000.00034048</v>
      </c>
      <c r="N73" s="15">
        <v>24479999.999804161</v>
      </c>
      <c r="O73" s="15">
        <v>24990000.000286721</v>
      </c>
      <c r="P73" s="15">
        <v>26180000.000232961</v>
      </c>
      <c r="Q73" s="15">
        <v>23120000.000168957</v>
      </c>
      <c r="R73" s="15">
        <v>23460000.00025472</v>
      </c>
      <c r="S73" s="16">
        <v>22099999.999911681</v>
      </c>
      <c r="T73" s="22">
        <f t="shared" si="1"/>
        <v>293420000.00039554</v>
      </c>
    </row>
    <row r="74" spans="1:20" x14ac:dyDescent="0.3">
      <c r="A74" t="s">
        <v>100</v>
      </c>
      <c r="B74" t="s">
        <v>110</v>
      </c>
      <c r="C74" t="s">
        <v>132</v>
      </c>
      <c r="D74" t="s">
        <v>67</v>
      </c>
      <c r="E74" s="4" t="s">
        <v>72</v>
      </c>
      <c r="F74" s="4"/>
      <c r="G74" s="26" t="s">
        <v>234</v>
      </c>
      <c r="H74" s="14">
        <v>53103000.000243209</v>
      </c>
      <c r="I74" s="15">
        <v>54815999.999703042</v>
      </c>
      <c r="J74" s="15">
        <v>57899400.000287995</v>
      </c>
      <c r="K74" s="15">
        <v>55158600.000161283</v>
      </c>
      <c r="L74" s="15">
        <v>57214200.000079364</v>
      </c>
      <c r="M74" s="15">
        <v>57214200.000079364</v>
      </c>
      <c r="N74" s="15">
        <v>58755900.000017911</v>
      </c>
      <c r="O74" s="15">
        <v>60297599.999956474</v>
      </c>
      <c r="P74" s="15">
        <v>64066200.000042252</v>
      </c>
      <c r="Q74" s="15">
        <v>53445599.9999936</v>
      </c>
      <c r="R74" s="15">
        <v>58242000.000038393</v>
      </c>
      <c r="S74" s="16">
        <v>54815999.999703042</v>
      </c>
      <c r="T74" s="22">
        <f t="shared" si="1"/>
        <v>685028700.00030601</v>
      </c>
    </row>
    <row r="75" spans="1:20" x14ac:dyDescent="0.3">
      <c r="A75" t="s">
        <v>100</v>
      </c>
      <c r="B75" t="s">
        <v>110</v>
      </c>
      <c r="C75" t="s">
        <v>132</v>
      </c>
      <c r="D75" t="s">
        <v>67</v>
      </c>
      <c r="E75" s="2" t="s">
        <v>73</v>
      </c>
      <c r="F75" s="2"/>
      <c r="G75" s="26" t="s">
        <v>234</v>
      </c>
      <c r="H75" s="14">
        <v>778000.00010880001</v>
      </c>
      <c r="I75" s="15">
        <v>778000.00010880001</v>
      </c>
      <c r="J75" s="15">
        <v>778000.00010880001</v>
      </c>
      <c r="K75" s="15">
        <v>778000.00010880001</v>
      </c>
      <c r="L75" s="15">
        <v>778000.00010880001</v>
      </c>
      <c r="M75" s="15">
        <v>388999.99970048002</v>
      </c>
      <c r="N75" s="15">
        <v>778000.00010880001</v>
      </c>
      <c r="O75" s="15">
        <v>778000.00010880001</v>
      </c>
      <c r="P75" s="15">
        <v>1166999.99980928</v>
      </c>
      <c r="Q75" s="15">
        <v>778000.00010880001</v>
      </c>
      <c r="R75" s="15">
        <v>778000.00010880001</v>
      </c>
      <c r="S75" s="16">
        <v>894700.00030207995</v>
      </c>
      <c r="T75" s="22">
        <f t="shared" si="1"/>
        <v>9452700.0007910393</v>
      </c>
    </row>
    <row r="76" spans="1:20" x14ac:dyDescent="0.3">
      <c r="A76" t="s">
        <v>100</v>
      </c>
      <c r="B76" t="s">
        <v>110</v>
      </c>
      <c r="C76" t="s">
        <v>132</v>
      </c>
      <c r="D76" t="s">
        <v>74</v>
      </c>
      <c r="E76" s="3" t="s">
        <v>75</v>
      </c>
      <c r="F76" s="3"/>
      <c r="G76" s="26" t="s">
        <v>234</v>
      </c>
      <c r="H76" s="14">
        <v>5822000.0000153594</v>
      </c>
      <c r="I76" s="15">
        <v>5977800.0002291203</v>
      </c>
      <c r="J76" s="15">
        <v>6232000.0000563208</v>
      </c>
      <c r="K76" s="15">
        <v>6149999.9999065604</v>
      </c>
      <c r="L76" s="15">
        <v>6221339.9997324795</v>
      </c>
      <c r="M76" s="15">
        <v>6293500.0003455998</v>
      </c>
      <c r="N76" s="15">
        <v>6232000.0000563208</v>
      </c>
      <c r="O76" s="15">
        <v>6348440.0000000009</v>
      </c>
      <c r="P76" s="15">
        <v>6465700.00002304</v>
      </c>
      <c r="Q76" s="15">
        <v>6232000.0000563208</v>
      </c>
      <c r="R76" s="15">
        <v>6348440.0000000009</v>
      </c>
      <c r="S76" s="16">
        <v>6464879.9999436792</v>
      </c>
      <c r="T76" s="22">
        <f t="shared" si="1"/>
        <v>74788100.000364795</v>
      </c>
    </row>
    <row r="77" spans="1:20" x14ac:dyDescent="0.3">
      <c r="A77" t="s">
        <v>100</v>
      </c>
      <c r="B77" t="s">
        <v>110</v>
      </c>
      <c r="C77" t="s">
        <v>132</v>
      </c>
      <c r="D77" t="s">
        <v>74</v>
      </c>
      <c r="E77" s="3" t="s">
        <v>76</v>
      </c>
      <c r="F77" s="3"/>
      <c r="G77" s="26" t="s">
        <v>234</v>
      </c>
      <c r="H77" s="14">
        <v>1206934.28341248</v>
      </c>
      <c r="I77" s="15">
        <v>1200094.9889331199</v>
      </c>
      <c r="J77" s="15">
        <v>1233889.1491404802</v>
      </c>
      <c r="K77" s="15">
        <v>1166703.1409152001</v>
      </c>
      <c r="L77" s="15">
        <v>1249176.9833177601</v>
      </c>
      <c r="M77" s="15">
        <v>1332053.1372019199</v>
      </c>
      <c r="N77" s="15">
        <v>1166703.1409152001</v>
      </c>
      <c r="O77" s="15">
        <v>1274924.9146009602</v>
      </c>
      <c r="P77" s="15">
        <v>1382744.3775129602</v>
      </c>
      <c r="Q77" s="15">
        <v>1206934.28341248</v>
      </c>
      <c r="R77" s="15">
        <v>1274924.9146009602</v>
      </c>
      <c r="S77" s="16">
        <v>1342513.23430784</v>
      </c>
      <c r="T77" s="22">
        <f t="shared" si="1"/>
        <v>15037596.548271362</v>
      </c>
    </row>
    <row r="78" spans="1:20" x14ac:dyDescent="0.3">
      <c r="A78" t="s">
        <v>100</v>
      </c>
      <c r="B78" t="s">
        <v>110</v>
      </c>
      <c r="C78" t="s">
        <v>132</v>
      </c>
      <c r="D78" t="s">
        <v>74</v>
      </c>
      <c r="E78" s="3" t="s">
        <v>77</v>
      </c>
      <c r="F78" s="3"/>
      <c r="G78" s="26" t="s">
        <v>234</v>
      </c>
      <c r="H78" s="14">
        <v>3868299.7900108802</v>
      </c>
      <c r="I78" s="15">
        <v>3969735.2071552002</v>
      </c>
      <c r="J78" s="15">
        <v>4298110.8782617599</v>
      </c>
      <c r="K78" s="15">
        <v>4040224.2254528003</v>
      </c>
      <c r="L78" s="15">
        <v>4131773.9866726398</v>
      </c>
      <c r="M78" s="15">
        <v>4222893.9375347197</v>
      </c>
      <c r="N78" s="15">
        <v>4126186.4428198398</v>
      </c>
      <c r="O78" s="15">
        <v>4216016.9604851203</v>
      </c>
      <c r="P78" s="15">
        <v>4212148.6601868803</v>
      </c>
      <c r="Q78" s="15">
        <v>4212148.6601868803</v>
      </c>
      <c r="R78" s="15">
        <v>4216016.9604851203</v>
      </c>
      <c r="S78" s="16">
        <v>4219455.4490099195</v>
      </c>
      <c r="T78" s="22">
        <f t="shared" si="1"/>
        <v>49733011.158261761</v>
      </c>
    </row>
    <row r="79" spans="1:20" x14ac:dyDescent="0.3">
      <c r="A79" t="s">
        <v>100</v>
      </c>
      <c r="B79" t="s">
        <v>110</v>
      </c>
      <c r="C79" t="s">
        <v>132</v>
      </c>
      <c r="D79" t="s">
        <v>74</v>
      </c>
      <c r="E79" s="3" t="s">
        <v>78</v>
      </c>
      <c r="F79" s="3"/>
      <c r="G79" s="26" t="s">
        <v>234</v>
      </c>
      <c r="H79" s="14">
        <v>2053599.4841062401</v>
      </c>
      <c r="I79" s="15">
        <v>2103545.0517849601</v>
      </c>
      <c r="J79" s="15">
        <v>2281777.2044838401</v>
      </c>
      <c r="K79" s="15">
        <v>1952947.7562649602</v>
      </c>
      <c r="L79" s="15">
        <v>2189491.9932569601</v>
      </c>
      <c r="M79" s="15">
        <v>2426036.2302489602</v>
      </c>
      <c r="N79" s="15">
        <v>1774715.6035660801</v>
      </c>
      <c r="O79" s="15">
        <v>2234113.4142566398</v>
      </c>
      <c r="P79" s="15">
        <v>2693764.7555392003</v>
      </c>
      <c r="Q79" s="15">
        <v>1749362.5238387201</v>
      </c>
      <c r="R79" s="15">
        <v>2234113.4142566398</v>
      </c>
      <c r="S79" s="16">
        <v>2718864.3046745602</v>
      </c>
      <c r="T79" s="22">
        <f t="shared" si="1"/>
        <v>26412331.736277759</v>
      </c>
    </row>
    <row r="80" spans="1:20" x14ac:dyDescent="0.3">
      <c r="A80" t="s">
        <v>100</v>
      </c>
      <c r="B80" t="s">
        <v>110</v>
      </c>
      <c r="C80" t="s">
        <v>132</v>
      </c>
      <c r="D80" t="s">
        <v>74</v>
      </c>
      <c r="E80" s="3" t="s">
        <v>79</v>
      </c>
      <c r="F80" s="3"/>
      <c r="G80" s="26" t="s">
        <v>234</v>
      </c>
      <c r="H80" s="14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6">
        <v>0</v>
      </c>
      <c r="T80" s="22">
        <f t="shared" si="1"/>
        <v>0</v>
      </c>
    </row>
    <row r="81" spans="1:20" x14ac:dyDescent="0.3">
      <c r="A81" t="s">
        <v>100</v>
      </c>
      <c r="B81" t="s">
        <v>110</v>
      </c>
      <c r="C81" t="s">
        <v>132</v>
      </c>
      <c r="D81" t="s">
        <v>74</v>
      </c>
      <c r="E81" s="3" t="s">
        <v>80</v>
      </c>
      <c r="F81" s="3"/>
      <c r="G81" s="26" t="s">
        <v>234</v>
      </c>
      <c r="H81" s="14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6">
        <v>0</v>
      </c>
      <c r="T81" s="22">
        <f t="shared" si="1"/>
        <v>0</v>
      </c>
    </row>
    <row r="82" spans="1:20" x14ac:dyDescent="0.3">
      <c r="A82" t="s">
        <v>100</v>
      </c>
      <c r="B82" t="s">
        <v>110</v>
      </c>
      <c r="C82" t="s">
        <v>132</v>
      </c>
      <c r="D82" t="s">
        <v>74</v>
      </c>
      <c r="E82" s="3" t="s">
        <v>81</v>
      </c>
      <c r="F82" s="3"/>
      <c r="G82" s="26" t="s">
        <v>234</v>
      </c>
      <c r="H82" s="14">
        <v>6615944.5682534399</v>
      </c>
      <c r="I82" s="15">
        <v>6615944.5682534399</v>
      </c>
      <c r="J82" s="15">
        <v>7351049.5202816008</v>
      </c>
      <c r="K82" s="15">
        <v>7204028.5297344001</v>
      </c>
      <c r="L82" s="15">
        <v>7173889.2263360005</v>
      </c>
      <c r="M82" s="15">
        <v>7143749.9236454405</v>
      </c>
      <c r="N82" s="15">
        <v>7277539.0246540802</v>
      </c>
      <c r="O82" s="15">
        <v>7320175.1123020807</v>
      </c>
      <c r="P82" s="15">
        <v>8098651.2558515193</v>
      </c>
      <c r="Q82" s="15">
        <v>7277539.0246540802</v>
      </c>
      <c r="R82" s="15">
        <v>8055280.0643302398</v>
      </c>
      <c r="S82" s="16">
        <v>7362811.1992422407</v>
      </c>
      <c r="T82" s="22">
        <f t="shared" si="1"/>
        <v>87496602.017538562</v>
      </c>
    </row>
    <row r="83" spans="1:20" x14ac:dyDescent="0.3">
      <c r="A83" t="s">
        <v>100</v>
      </c>
      <c r="B83" t="s">
        <v>110</v>
      </c>
      <c r="C83" t="s">
        <v>132</v>
      </c>
      <c r="D83" t="s">
        <v>74</v>
      </c>
      <c r="E83" s="3" t="s">
        <v>82</v>
      </c>
      <c r="F83" s="3"/>
      <c r="G83" s="26" t="s">
        <v>234</v>
      </c>
      <c r="H83" s="14">
        <v>135000.00006528001</v>
      </c>
      <c r="I83" s="15">
        <v>126719.99990272001</v>
      </c>
      <c r="J83" s="15">
        <v>180000.00008704001</v>
      </c>
      <c r="K83" s="15">
        <v>144000.00021120001</v>
      </c>
      <c r="L83" s="15">
        <v>150569.99979392</v>
      </c>
      <c r="M83" s="15">
        <v>139230.00023296001</v>
      </c>
      <c r="N83" s="15">
        <v>152999.99964928001</v>
      </c>
      <c r="O83" s="15">
        <v>153720.00034048004</v>
      </c>
      <c r="P83" s="15">
        <v>154349.99988352001</v>
      </c>
      <c r="Q83" s="15">
        <v>161999.99979519998</v>
      </c>
      <c r="R83" s="15">
        <v>153629.99990016001</v>
      </c>
      <c r="S83" s="16">
        <v>145349.99973760004</v>
      </c>
      <c r="T83" s="22">
        <f t="shared" si="1"/>
        <v>1797569.9995993602</v>
      </c>
    </row>
    <row r="84" spans="1:20" x14ac:dyDescent="0.3">
      <c r="A84" t="s">
        <v>100</v>
      </c>
      <c r="B84" t="s">
        <v>110</v>
      </c>
      <c r="C84" t="s">
        <v>132</v>
      </c>
      <c r="D84" t="s">
        <v>74</v>
      </c>
      <c r="E84" s="3" t="s">
        <v>83</v>
      </c>
      <c r="F84" s="3"/>
      <c r="G84" s="26" t="s">
        <v>234</v>
      </c>
      <c r="H84" s="14">
        <v>7664999.9996953607</v>
      </c>
      <c r="I84" s="15">
        <v>7664999.9996953607</v>
      </c>
      <c r="J84" s="15">
        <v>8197350.0000448003</v>
      </c>
      <c r="K84" s="15">
        <v>8189999.9997132812</v>
      </c>
      <c r="L84" s="15">
        <v>8254049.9999731202</v>
      </c>
      <c r="M84" s="15">
        <v>8319150.0001791995</v>
      </c>
      <c r="N84" s="15">
        <v>8295000</v>
      </c>
      <c r="O84" s="15">
        <v>8423099.9998118412</v>
      </c>
      <c r="P84" s="15">
        <v>8816850.0001791995</v>
      </c>
      <c r="Q84" s="15">
        <v>9345000.0000358392</v>
      </c>
      <c r="R84" s="15">
        <v>8423099.9998118412</v>
      </c>
      <c r="S84" s="16">
        <v>7501200.0002956809</v>
      </c>
      <c r="T84" s="22">
        <f t="shared" si="1"/>
        <v>99094799.999435529</v>
      </c>
    </row>
    <row r="85" spans="1:20" x14ac:dyDescent="0.3">
      <c r="A85" t="s">
        <v>100</v>
      </c>
      <c r="B85" t="s">
        <v>125</v>
      </c>
      <c r="C85" t="s">
        <v>132</v>
      </c>
      <c r="D85" t="s">
        <v>84</v>
      </c>
      <c r="E85" s="2" t="s">
        <v>85</v>
      </c>
      <c r="F85" s="2"/>
      <c r="G85" s="26" t="s">
        <v>234</v>
      </c>
      <c r="H85" s="14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6">
        <v>0</v>
      </c>
      <c r="T85" s="22">
        <f t="shared" si="1"/>
        <v>0</v>
      </c>
    </row>
    <row r="86" spans="1:20" x14ac:dyDescent="0.3">
      <c r="A86" t="s">
        <v>100</v>
      </c>
      <c r="B86" t="s">
        <v>110</v>
      </c>
      <c r="C86" t="s">
        <v>132</v>
      </c>
      <c r="D86" t="s">
        <v>84</v>
      </c>
      <c r="E86" s="2" t="s">
        <v>86</v>
      </c>
      <c r="F86" s="2"/>
      <c r="G86" s="26" t="s">
        <v>234</v>
      </c>
      <c r="H86" s="14">
        <v>0</v>
      </c>
      <c r="I86" s="15">
        <v>99904.602013440017</v>
      </c>
      <c r="J86" s="15">
        <v>144861.67295488002</v>
      </c>
      <c r="K86" s="15">
        <v>0</v>
      </c>
      <c r="L86" s="15">
        <v>149856.90337407999</v>
      </c>
      <c r="M86" s="15">
        <v>104899.83243264</v>
      </c>
      <c r="N86" s="15">
        <v>0</v>
      </c>
      <c r="O86" s="15">
        <v>149856.90337407999</v>
      </c>
      <c r="P86" s="15">
        <v>104899.83243264</v>
      </c>
      <c r="Q86" s="15">
        <v>0</v>
      </c>
      <c r="R86" s="15">
        <v>144861.67295488002</v>
      </c>
      <c r="S86" s="16">
        <v>99904.602013440017</v>
      </c>
      <c r="T86" s="22">
        <f t="shared" si="1"/>
        <v>999046.02155008004</v>
      </c>
    </row>
    <row r="87" spans="1:20" x14ac:dyDescent="0.3">
      <c r="A87" t="s">
        <v>100</v>
      </c>
      <c r="B87" t="s">
        <v>110</v>
      </c>
      <c r="C87" t="s">
        <v>132</v>
      </c>
      <c r="D87" t="s">
        <v>84</v>
      </c>
      <c r="E87" s="2" t="s">
        <v>87</v>
      </c>
      <c r="F87" s="2"/>
      <c r="G87" s="26" t="s">
        <v>234</v>
      </c>
      <c r="H87" s="14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6">
        <v>0</v>
      </c>
      <c r="T87" s="22">
        <f t="shared" si="1"/>
        <v>0</v>
      </c>
    </row>
    <row r="88" spans="1:20" x14ac:dyDescent="0.3">
      <c r="A88" t="s">
        <v>100</v>
      </c>
      <c r="B88" t="s">
        <v>101</v>
      </c>
      <c r="C88" t="s">
        <v>135</v>
      </c>
      <c r="D88" t="s">
        <v>136</v>
      </c>
      <c r="E88" s="3" t="s">
        <v>88</v>
      </c>
      <c r="F88" s="3"/>
      <c r="G88" s="26" t="s">
        <v>234</v>
      </c>
      <c r="H88" s="14">
        <v>0</v>
      </c>
      <c r="I88" s="15">
        <v>3400000.0001497599</v>
      </c>
      <c r="J88" s="15">
        <v>3400000.0001497599</v>
      </c>
      <c r="K88" s="15">
        <v>3400000.0001497599</v>
      </c>
      <c r="L88" s="15">
        <v>3400000.0001497599</v>
      </c>
      <c r="M88" s="15">
        <v>3400000.0001497599</v>
      </c>
      <c r="N88" s="15">
        <v>1699999.9997209602</v>
      </c>
      <c r="O88" s="15">
        <v>3400000.0001497599</v>
      </c>
      <c r="P88" s="15">
        <v>3400000.0001497599</v>
      </c>
      <c r="Q88" s="15">
        <v>3400000.0001497599</v>
      </c>
      <c r="R88" s="15">
        <v>3400000.0001497599</v>
      </c>
      <c r="S88" s="16">
        <v>1699999.9997209602</v>
      </c>
      <c r="T88" s="22">
        <f t="shared" si="1"/>
        <v>34000000.000789762</v>
      </c>
    </row>
    <row r="89" spans="1:20" x14ac:dyDescent="0.3">
      <c r="A89" t="s">
        <v>100</v>
      </c>
      <c r="B89" t="s">
        <v>101</v>
      </c>
      <c r="C89" t="s">
        <v>135</v>
      </c>
      <c r="D89" t="s">
        <v>136</v>
      </c>
      <c r="E89" s="3" t="s">
        <v>89</v>
      </c>
      <c r="F89" s="3"/>
      <c r="G89" s="26" t="s">
        <v>234</v>
      </c>
      <c r="H89" s="14">
        <v>0</v>
      </c>
      <c r="I89" s="15">
        <v>6600000.0001241593</v>
      </c>
      <c r="J89" s="15">
        <v>8249999.9999782415</v>
      </c>
      <c r="K89" s="15">
        <v>4950000.0002700798</v>
      </c>
      <c r="L89" s="15">
        <v>4950000.0002700798</v>
      </c>
      <c r="M89" s="15">
        <v>13200000.000248319</v>
      </c>
      <c r="N89" s="15">
        <v>4950000.0002700798</v>
      </c>
      <c r="O89" s="15">
        <v>9899999.999832321</v>
      </c>
      <c r="P89" s="15">
        <v>8249999.9999782415</v>
      </c>
      <c r="Q89" s="15">
        <v>4950000.0002700798</v>
      </c>
      <c r="R89" s="15">
        <v>4950000.0002700798</v>
      </c>
      <c r="S89" s="16">
        <v>4950000.0002700798</v>
      </c>
      <c r="T89" s="22">
        <f t="shared" si="1"/>
        <v>75900000.001781777</v>
      </c>
    </row>
    <row r="90" spans="1:20" x14ac:dyDescent="0.3">
      <c r="A90" t="s">
        <v>100</v>
      </c>
      <c r="B90" t="s">
        <v>101</v>
      </c>
      <c r="C90" t="s">
        <v>135</v>
      </c>
      <c r="D90" t="s">
        <v>136</v>
      </c>
      <c r="E90" s="3" t="s">
        <v>90</v>
      </c>
      <c r="F90" s="3"/>
      <c r="G90" s="26" t="s">
        <v>234</v>
      </c>
      <c r="H90" s="14">
        <v>0</v>
      </c>
      <c r="I90" s="15">
        <v>632000.00010111998</v>
      </c>
      <c r="J90" s="15">
        <v>790000.00030336005</v>
      </c>
      <c r="K90" s="15">
        <v>473999.99989888002</v>
      </c>
      <c r="L90" s="15">
        <v>473999.99989888002</v>
      </c>
      <c r="M90" s="15">
        <v>1264000.00020224</v>
      </c>
      <c r="N90" s="15">
        <v>473999.99989888002</v>
      </c>
      <c r="O90" s="15">
        <v>947999.99979776004</v>
      </c>
      <c r="P90" s="15">
        <v>790000.00030336005</v>
      </c>
      <c r="Q90" s="15">
        <v>473999.99989888002</v>
      </c>
      <c r="R90" s="15">
        <v>473999.99989888002</v>
      </c>
      <c r="S90" s="16">
        <v>473999.99989888002</v>
      </c>
      <c r="T90" s="22">
        <f t="shared" si="1"/>
        <v>7268000.0001011183</v>
      </c>
    </row>
    <row r="91" spans="1:20" x14ac:dyDescent="0.3">
      <c r="A91" t="s">
        <v>100</v>
      </c>
      <c r="B91" t="s">
        <v>101</v>
      </c>
      <c r="C91" t="s">
        <v>135</v>
      </c>
      <c r="D91" t="s">
        <v>136</v>
      </c>
      <c r="E91" s="3" t="s">
        <v>91</v>
      </c>
      <c r="F91" s="3"/>
      <c r="G91" s="26" t="s">
        <v>234</v>
      </c>
      <c r="H91" s="14">
        <v>1270000.0002995201</v>
      </c>
      <c r="I91" s="15">
        <v>2539999.9998912001</v>
      </c>
      <c r="J91" s="15">
        <v>3810000.0001907204</v>
      </c>
      <c r="K91" s="15">
        <v>5079999.9997824002</v>
      </c>
      <c r="L91" s="15">
        <v>5714999.9999321606</v>
      </c>
      <c r="M91" s="15">
        <v>5714999.9999321606</v>
      </c>
      <c r="N91" s="15">
        <v>4445000.0003404804</v>
      </c>
      <c r="O91" s="15">
        <v>3810000.0001907204</v>
      </c>
      <c r="P91" s="15">
        <v>3810000.0001907204</v>
      </c>
      <c r="Q91" s="15">
        <v>3810000.0001907204</v>
      </c>
      <c r="R91" s="15">
        <v>3810000.0001907204</v>
      </c>
      <c r="S91" s="16">
        <v>3810000.0001907204</v>
      </c>
      <c r="T91" s="22">
        <f t="shared" si="1"/>
        <v>47625000.001322247</v>
      </c>
    </row>
    <row r="92" spans="1:20" x14ac:dyDescent="0.3">
      <c r="A92" t="s">
        <v>100</v>
      </c>
      <c r="B92" t="s">
        <v>106</v>
      </c>
      <c r="C92" t="s">
        <v>135</v>
      </c>
      <c r="D92" t="s">
        <v>137</v>
      </c>
      <c r="E92" s="4" t="s">
        <v>92</v>
      </c>
      <c r="F92" s="4"/>
      <c r="G92" s="26" t="s">
        <v>234</v>
      </c>
      <c r="H92" s="14">
        <v>12615049.999659522</v>
      </c>
      <c r="I92" s="15">
        <v>11451299.999784959</v>
      </c>
      <c r="J92" s="15">
        <v>13891850.000116479</v>
      </c>
      <c r="K92" s="15">
        <v>12708149.999847678</v>
      </c>
      <c r="L92" s="15">
        <v>25017300.000304643</v>
      </c>
      <c r="M92" s="15">
        <v>25848550.000215039</v>
      </c>
      <c r="N92" s="15">
        <v>21785400.000143364</v>
      </c>
      <c r="O92" s="15">
        <v>18127899.999829758</v>
      </c>
      <c r="P92" s="15">
        <v>14164500.000313599</v>
      </c>
      <c r="Q92" s="15">
        <v>11457950.000152322</v>
      </c>
      <c r="R92" s="15">
        <v>11610900.000107519</v>
      </c>
      <c r="S92" s="16">
        <v>14364000.000008961</v>
      </c>
      <c r="T92" s="22">
        <f t="shared" si="1"/>
        <v>193042850.00048387</v>
      </c>
    </row>
    <row r="93" spans="1:20" x14ac:dyDescent="0.3">
      <c r="A93" t="s">
        <v>100</v>
      </c>
      <c r="B93" t="s">
        <v>106</v>
      </c>
      <c r="C93" t="s">
        <v>135</v>
      </c>
      <c r="D93" t="s">
        <v>138</v>
      </c>
      <c r="E93" s="4" t="s">
        <v>93</v>
      </c>
      <c r="F93" s="4"/>
      <c r="G93" s="26" t="s">
        <v>234</v>
      </c>
      <c r="H93" s="14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6">
        <v>0</v>
      </c>
      <c r="T93" s="22">
        <f t="shared" si="1"/>
        <v>0</v>
      </c>
    </row>
    <row r="94" spans="1:20" x14ac:dyDescent="0.3">
      <c r="A94" t="s">
        <v>100</v>
      </c>
      <c r="B94" t="s">
        <v>106</v>
      </c>
      <c r="C94" t="s">
        <v>135</v>
      </c>
      <c r="D94" t="s">
        <v>138</v>
      </c>
      <c r="E94" s="4" t="s">
        <v>94</v>
      </c>
      <c r="F94" s="4"/>
      <c r="G94" s="26" t="s">
        <v>234</v>
      </c>
      <c r="H94" s="14">
        <v>3111999.99972736</v>
      </c>
      <c r="I94" s="15">
        <v>1556000.0002176</v>
      </c>
      <c r="J94" s="15">
        <v>2625749.9997478402</v>
      </c>
      <c r="K94" s="15">
        <v>4279000.0002444796</v>
      </c>
      <c r="L94" s="15">
        <v>4279000.0002444796</v>
      </c>
      <c r="M94" s="15">
        <v>4279000.0002444796</v>
      </c>
      <c r="N94" s="15">
        <v>5446000.0000537606</v>
      </c>
      <c r="O94" s="15">
        <v>5446000.0000537606</v>
      </c>
      <c r="P94" s="15">
        <v>5446000.0000537606</v>
      </c>
      <c r="Q94" s="15">
        <v>4279000.0002444796</v>
      </c>
      <c r="R94" s="15">
        <v>4279000.0002444796</v>
      </c>
      <c r="S94" s="16">
        <v>4162300.0000512004</v>
      </c>
      <c r="T94" s="22">
        <f t="shared" si="1"/>
        <v>49189050.00112769</v>
      </c>
    </row>
    <row r="95" spans="1:20" x14ac:dyDescent="0.3">
      <c r="A95" t="s">
        <v>100</v>
      </c>
      <c r="B95" t="s">
        <v>106</v>
      </c>
      <c r="C95" t="s">
        <v>135</v>
      </c>
      <c r="D95" t="s">
        <v>120</v>
      </c>
      <c r="E95" s="18" t="s">
        <v>116</v>
      </c>
      <c r="F95" s="18"/>
      <c r="G95" s="26" t="s">
        <v>234</v>
      </c>
      <c r="H95" s="14">
        <v>2158340.0001587202</v>
      </c>
      <c r="I95" s="15">
        <v>1418160.0002572802</v>
      </c>
      <c r="J95" s="15">
        <v>1909539.9998528003</v>
      </c>
      <c r="K95" s="15">
        <v>2792779.9997708802</v>
      </c>
      <c r="L95" s="15">
        <v>1076060.0002790401</v>
      </c>
      <c r="M95" s="15">
        <v>2910959.9999692799</v>
      </c>
      <c r="N95" s="15">
        <v>2220539.99970432</v>
      </c>
      <c r="O95" s="15">
        <v>1480359.9998028802</v>
      </c>
      <c r="P95" s="15">
        <v>1480359.9998028802</v>
      </c>
      <c r="Q95" s="15">
        <v>1480359.9998028802</v>
      </c>
      <c r="R95" s="15">
        <v>1480359.9998028802</v>
      </c>
      <c r="S95" s="16">
        <v>2183219.99997696</v>
      </c>
      <c r="T95" s="22">
        <f t="shared" si="1"/>
        <v>22591039.999180801</v>
      </c>
    </row>
    <row r="96" spans="1:20" x14ac:dyDescent="0.3">
      <c r="A96" t="s">
        <v>100</v>
      </c>
      <c r="B96" t="s">
        <v>101</v>
      </c>
      <c r="C96" t="s">
        <v>103</v>
      </c>
      <c r="D96" t="s">
        <v>118</v>
      </c>
      <c r="E96" s="3" t="s">
        <v>117</v>
      </c>
      <c r="F96" s="3"/>
      <c r="G96" s="26" t="s">
        <v>234</v>
      </c>
      <c r="H96" s="14">
        <v>0</v>
      </c>
      <c r="I96" s="15">
        <v>943995.38367232017</v>
      </c>
      <c r="J96" s="15">
        <v>2359988.4598886403</v>
      </c>
      <c r="K96" s="15">
        <v>1415993.07621632</v>
      </c>
      <c r="L96" s="15">
        <v>1415993.07621632</v>
      </c>
      <c r="M96" s="15">
        <v>1887990.76805248</v>
      </c>
      <c r="N96" s="15">
        <v>1415993.07621632</v>
      </c>
      <c r="O96" s="15">
        <v>1415993.07621632</v>
      </c>
      <c r="P96" s="15">
        <v>2359988.4598886403</v>
      </c>
      <c r="Q96" s="15">
        <v>1415993.07621632</v>
      </c>
      <c r="R96" s="15">
        <v>1887990.76805248</v>
      </c>
      <c r="S96" s="16">
        <v>2359988.4598886403</v>
      </c>
      <c r="T96" s="22">
        <f t="shared" si="1"/>
        <v>18879907.6805248</v>
      </c>
    </row>
    <row r="97" spans="1:20" x14ac:dyDescent="0.3">
      <c r="A97" t="s">
        <v>100</v>
      </c>
      <c r="B97" t="s">
        <v>101</v>
      </c>
      <c r="C97" t="s">
        <v>132</v>
      </c>
      <c r="D97" t="s">
        <v>59</v>
      </c>
      <c r="E97" s="2" t="s">
        <v>62</v>
      </c>
      <c r="F97" s="2"/>
      <c r="G97" s="26" t="s">
        <v>234</v>
      </c>
      <c r="H97" s="14">
        <v>0</v>
      </c>
      <c r="I97" s="15">
        <v>0</v>
      </c>
      <c r="J97" s="15">
        <v>176991.15062271999</v>
      </c>
      <c r="K97" s="15">
        <v>0</v>
      </c>
      <c r="L97" s="15">
        <v>0</v>
      </c>
      <c r="M97" s="15">
        <v>353982.30124543997</v>
      </c>
      <c r="N97" s="15">
        <v>0</v>
      </c>
      <c r="O97" s="15">
        <v>0</v>
      </c>
      <c r="P97" s="15">
        <v>176991.15062271999</v>
      </c>
      <c r="Q97" s="15">
        <v>0</v>
      </c>
      <c r="R97" s="15">
        <v>0</v>
      </c>
      <c r="S97" s="16">
        <v>176991.15062271999</v>
      </c>
      <c r="T97" s="22">
        <f t="shared" si="1"/>
        <v>884955.75311359996</v>
      </c>
    </row>
    <row r="98" spans="1:20" x14ac:dyDescent="0.3">
      <c r="A98" t="s">
        <v>100</v>
      </c>
      <c r="B98" t="s">
        <v>106</v>
      </c>
      <c r="C98" t="s">
        <v>103</v>
      </c>
      <c r="D98" t="s">
        <v>118</v>
      </c>
      <c r="E98" s="2" t="s">
        <v>119</v>
      </c>
      <c r="F98" s="2"/>
      <c r="G98" s="26" t="s">
        <v>234</v>
      </c>
      <c r="H98" s="14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6">
        <v>0</v>
      </c>
      <c r="T98" s="22">
        <f t="shared" si="1"/>
        <v>0</v>
      </c>
    </row>
    <row r="99" spans="1:20" x14ac:dyDescent="0.3">
      <c r="A99" t="s">
        <v>141</v>
      </c>
      <c r="B99" t="s">
        <v>142</v>
      </c>
      <c r="C99" t="s">
        <v>143</v>
      </c>
      <c r="D99" t="s">
        <v>144</v>
      </c>
      <c r="E99" t="s">
        <v>145</v>
      </c>
      <c r="F99" s="23" t="s">
        <v>146</v>
      </c>
      <c r="G99" s="26" t="s">
        <v>234</v>
      </c>
      <c r="H99" s="24">
        <v>5814922.2529903408</v>
      </c>
      <c r="I99" s="24">
        <v>4504826.1134181824</v>
      </c>
      <c r="J99" s="24">
        <v>6355560.0644469718</v>
      </c>
      <c r="K99" s="24">
        <v>4886555.5352188163</v>
      </c>
      <c r="L99" s="24">
        <v>8241445.8014625581</v>
      </c>
      <c r="M99" s="24">
        <v>7773740.9629335627</v>
      </c>
      <c r="N99" s="24">
        <v>7925707.3374730032</v>
      </c>
      <c r="O99" s="24">
        <v>7365466.1181482049</v>
      </c>
      <c r="P99" s="24">
        <v>8871134.5264239609</v>
      </c>
      <c r="Q99" s="24">
        <v>7173844.8325649519</v>
      </c>
      <c r="R99" s="24">
        <v>8113806.7408902757</v>
      </c>
      <c r="S99" s="24">
        <v>4980110.7603234276</v>
      </c>
      <c r="T99" s="22">
        <f t="shared" si="1"/>
        <v>82007121.046294272</v>
      </c>
    </row>
    <row r="100" spans="1:20" x14ac:dyDescent="0.3">
      <c r="A100" t="s">
        <v>141</v>
      </c>
      <c r="B100" t="s">
        <v>142</v>
      </c>
      <c r="C100" t="s">
        <v>143</v>
      </c>
      <c r="D100" t="s">
        <v>144</v>
      </c>
      <c r="E100" t="s">
        <v>145</v>
      </c>
      <c r="F100" s="23" t="s">
        <v>147</v>
      </c>
      <c r="G100" s="26" t="s">
        <v>234</v>
      </c>
      <c r="H100" s="24">
        <v>291284.50199747074</v>
      </c>
      <c r="I100" s="24">
        <v>277702.32229602279</v>
      </c>
      <c r="J100" s="24">
        <v>469807.83296943683</v>
      </c>
      <c r="K100" s="24">
        <v>422317.89218734717</v>
      </c>
      <c r="L100" s="24">
        <v>537851.68621544447</v>
      </c>
      <c r="M100" s="24">
        <v>438082.98513970524</v>
      </c>
      <c r="N100" s="24">
        <v>528639.55459817254</v>
      </c>
      <c r="O100" s="24">
        <v>518798.82651043951</v>
      </c>
      <c r="P100" s="24">
        <v>538723.90518495324</v>
      </c>
      <c r="Q100" s="24">
        <v>555648.1762430073</v>
      </c>
      <c r="R100" s="24">
        <v>606593.82083064085</v>
      </c>
      <c r="S100" s="24">
        <v>589309.82947420247</v>
      </c>
      <c r="T100" s="22">
        <f t="shared" si="1"/>
        <v>5774761.3336468423</v>
      </c>
    </row>
    <row r="101" spans="1:20" x14ac:dyDescent="0.3">
      <c r="A101" t="s">
        <v>141</v>
      </c>
      <c r="B101" t="s">
        <v>142</v>
      </c>
      <c r="C101" t="s">
        <v>143</v>
      </c>
      <c r="D101" t="s">
        <v>148</v>
      </c>
      <c r="E101" t="s">
        <v>149</v>
      </c>
      <c r="F101" s="23" t="s">
        <v>150</v>
      </c>
      <c r="G101" s="26" t="s">
        <v>234</v>
      </c>
      <c r="H101" s="24">
        <v>2181828.2439039159</v>
      </c>
      <c r="I101" s="24">
        <v>1784676.9467794017</v>
      </c>
      <c r="J101" s="24">
        <v>2542231.599009207</v>
      </c>
      <c r="K101" s="24">
        <v>1830057.4143157597</v>
      </c>
      <c r="L101" s="24">
        <v>3150635.21094188</v>
      </c>
      <c r="M101" s="24">
        <v>2314526.3472518194</v>
      </c>
      <c r="N101" s="24">
        <v>1331061.0818463503</v>
      </c>
      <c r="O101" s="24">
        <v>1769402.6704115034</v>
      </c>
      <c r="P101" s="24">
        <v>4045750.74380349</v>
      </c>
      <c r="Q101" s="24">
        <v>4271111.6582789142</v>
      </c>
      <c r="R101" s="24">
        <v>1664130.0019995514</v>
      </c>
      <c r="S101" s="24">
        <v>3190799.627079336</v>
      </c>
      <c r="T101" s="22">
        <f t="shared" si="1"/>
        <v>30076211.545621134</v>
      </c>
    </row>
    <row r="102" spans="1:20" x14ac:dyDescent="0.3">
      <c r="A102" t="s">
        <v>141</v>
      </c>
      <c r="B102" t="s">
        <v>142</v>
      </c>
      <c r="C102" t="s">
        <v>143</v>
      </c>
      <c r="D102" t="s">
        <v>148</v>
      </c>
      <c r="E102" t="s">
        <v>151</v>
      </c>
      <c r="F102" s="23" t="s">
        <v>152</v>
      </c>
      <c r="G102" s="26" t="s">
        <v>234</v>
      </c>
      <c r="H102" s="24">
        <v>723478.53884386097</v>
      </c>
      <c r="I102" s="24">
        <v>586905.59223205585</v>
      </c>
      <c r="J102" s="24">
        <v>843379.80403878272</v>
      </c>
      <c r="K102" s="24">
        <v>523458.08323573286</v>
      </c>
      <c r="L102" s="24">
        <v>891573.63605873077</v>
      </c>
      <c r="M102" s="24">
        <v>761305.41134476149</v>
      </c>
      <c r="N102" s="24">
        <v>378805.10314300167</v>
      </c>
      <c r="O102" s="24">
        <v>500187.53519589285</v>
      </c>
      <c r="P102" s="24">
        <v>1270776.9538127016</v>
      </c>
      <c r="Q102" s="24">
        <v>1223563.9452469873</v>
      </c>
      <c r="R102" s="24">
        <v>472836.35350725125</v>
      </c>
      <c r="S102" s="24">
        <v>955559.35740770877</v>
      </c>
      <c r="T102" s="22">
        <f t="shared" si="1"/>
        <v>9131830.314067468</v>
      </c>
    </row>
    <row r="103" spans="1:20" x14ac:dyDescent="0.3">
      <c r="A103" t="s">
        <v>141</v>
      </c>
      <c r="B103" t="s">
        <v>142</v>
      </c>
      <c r="C103" t="s">
        <v>143</v>
      </c>
      <c r="D103" t="s">
        <v>148</v>
      </c>
      <c r="E103" t="s">
        <v>151</v>
      </c>
      <c r="F103" s="23" t="s">
        <v>153</v>
      </c>
      <c r="G103" s="26" t="s">
        <v>234</v>
      </c>
      <c r="H103" s="24">
        <v>96046.928450092324</v>
      </c>
      <c r="I103" s="24">
        <v>44821.282502565075</v>
      </c>
      <c r="J103" s="24">
        <v>73045.181582046309</v>
      </c>
      <c r="K103" s="24">
        <v>173980.72384119956</v>
      </c>
      <c r="L103" s="24">
        <v>229307.61484775002</v>
      </c>
      <c r="M103" s="24">
        <v>18578.399107411358</v>
      </c>
      <c r="N103" s="24">
        <v>104171.4107259267</v>
      </c>
      <c r="O103" s="24">
        <v>115435.77560680753</v>
      </c>
      <c r="P103" s="24">
        <v>155992.50372821445</v>
      </c>
      <c r="Q103" s="24">
        <v>138604.16833834653</v>
      </c>
      <c r="R103" s="24">
        <v>111245.24016253749</v>
      </c>
      <c r="S103" s="24">
        <v>105935.45000336999</v>
      </c>
      <c r="T103" s="22">
        <f t="shared" si="1"/>
        <v>1367164.6788962672</v>
      </c>
    </row>
    <row r="104" spans="1:20" x14ac:dyDescent="0.3">
      <c r="A104" t="s">
        <v>141</v>
      </c>
      <c r="B104" t="s">
        <v>142</v>
      </c>
      <c r="C104" t="s">
        <v>143</v>
      </c>
      <c r="D104" t="s">
        <v>148</v>
      </c>
      <c r="E104" t="s">
        <v>151</v>
      </c>
      <c r="F104" s="23" t="s">
        <v>154</v>
      </c>
      <c r="G104" s="26" t="s">
        <v>234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 s="24">
        <v>-1478.691101955573</v>
      </c>
      <c r="N104" s="24">
        <v>0</v>
      </c>
      <c r="O104" s="24">
        <v>0</v>
      </c>
      <c r="P104" s="24">
        <v>-449.94627714583942</v>
      </c>
      <c r="Q104" s="24">
        <v>0</v>
      </c>
      <c r="R104" s="24">
        <v>0</v>
      </c>
      <c r="S104" s="24">
        <v>1928.6373791014123</v>
      </c>
      <c r="T104" s="22">
        <f t="shared" si="1"/>
        <v>0</v>
      </c>
    </row>
    <row r="105" spans="1:20" x14ac:dyDescent="0.3">
      <c r="A105" t="s">
        <v>141</v>
      </c>
      <c r="B105" t="s">
        <v>142</v>
      </c>
      <c r="C105" t="s">
        <v>143</v>
      </c>
      <c r="D105" t="s">
        <v>155</v>
      </c>
      <c r="E105" t="s">
        <v>156</v>
      </c>
      <c r="F105" s="23" t="s">
        <v>157</v>
      </c>
      <c r="G105" s="26" t="s">
        <v>234</v>
      </c>
      <c r="H105" s="24">
        <v>1748727.4726287371</v>
      </c>
      <c r="I105" s="24">
        <v>1715925.3129542223</v>
      </c>
      <c r="J105" s="24">
        <v>2687813.8459084053</v>
      </c>
      <c r="K105" s="24">
        <v>2261580.2180115012</v>
      </c>
      <c r="L105" s="24">
        <v>2545282.5924474238</v>
      </c>
      <c r="M105" s="24">
        <v>2774788.6205250351</v>
      </c>
      <c r="N105" s="24">
        <v>3179330.0615742318</v>
      </c>
      <c r="O105" s="24">
        <v>2567840.696339123</v>
      </c>
      <c r="P105" s="24">
        <v>3266165.9787182533</v>
      </c>
      <c r="Q105" s="24">
        <v>3281644.705730862</v>
      </c>
      <c r="R105" s="24">
        <v>2513786.4903366631</v>
      </c>
      <c r="S105" s="24">
        <v>2008185.5616006479</v>
      </c>
      <c r="T105" s="22">
        <f t="shared" si="1"/>
        <v>30551071.556775108</v>
      </c>
    </row>
    <row r="106" spans="1:20" x14ac:dyDescent="0.3">
      <c r="A106" t="s">
        <v>141</v>
      </c>
      <c r="B106" t="s">
        <v>142</v>
      </c>
      <c r="C106" t="s">
        <v>143</v>
      </c>
      <c r="D106" t="s">
        <v>155</v>
      </c>
      <c r="E106" t="s">
        <v>156</v>
      </c>
      <c r="F106" s="23" t="s">
        <v>158</v>
      </c>
      <c r="G106" s="26" t="s">
        <v>234</v>
      </c>
      <c r="H106" s="24">
        <v>229961.83302918612</v>
      </c>
      <c r="I106" s="24">
        <v>186762.16531187028</v>
      </c>
      <c r="J106" s="24">
        <v>281646.33793356339</v>
      </c>
      <c r="K106" s="24">
        <v>272467.32585183525</v>
      </c>
      <c r="L106" s="24">
        <v>315304.35850662948</v>
      </c>
      <c r="M106" s="24">
        <v>293014.53039972472</v>
      </c>
      <c r="N106" s="24">
        <v>244153.83787601671</v>
      </c>
      <c r="O106" s="24">
        <v>213120.81158775257</v>
      </c>
      <c r="P106" s="24">
        <v>421186.7550095109</v>
      </c>
      <c r="Q106" s="24">
        <v>427112.27394911216</v>
      </c>
      <c r="R106" s="24">
        <v>240866.44424019306</v>
      </c>
      <c r="S106" s="24">
        <v>311991.76946585183</v>
      </c>
      <c r="T106" s="22">
        <f t="shared" si="1"/>
        <v>3437588.4431612464</v>
      </c>
    </row>
    <row r="107" spans="1:20" x14ac:dyDescent="0.3">
      <c r="A107" t="s">
        <v>141</v>
      </c>
      <c r="B107" t="s">
        <v>142</v>
      </c>
      <c r="C107" t="s">
        <v>143</v>
      </c>
      <c r="D107" t="s">
        <v>155</v>
      </c>
      <c r="E107" t="s">
        <v>159</v>
      </c>
      <c r="F107" s="23" t="s">
        <v>160</v>
      </c>
      <c r="G107" s="26" t="s">
        <v>234</v>
      </c>
      <c r="H107" s="24">
        <v>224126.58682008507</v>
      </c>
      <c r="I107" s="24">
        <v>132751.05788005673</v>
      </c>
      <c r="J107" s="24">
        <v>315502.11576011346</v>
      </c>
      <c r="K107" s="24">
        <v>358229.31309247075</v>
      </c>
      <c r="L107" s="24">
        <v>358229.31309247075</v>
      </c>
      <c r="M107" s="24">
        <v>539664.56335579127</v>
      </c>
      <c r="N107" s="24">
        <v>698420.40733619628</v>
      </c>
      <c r="O107" s="24">
        <v>698420.40733619628</v>
      </c>
      <c r="P107" s="24">
        <v>766458.6261849415</v>
      </c>
      <c r="Q107" s="24">
        <v>766458.6261849415</v>
      </c>
      <c r="R107" s="24">
        <v>766458.6261849415</v>
      </c>
      <c r="S107" s="24">
        <v>789138.0324678563</v>
      </c>
      <c r="T107" s="22">
        <f t="shared" si="1"/>
        <v>6413857.675696061</v>
      </c>
    </row>
    <row r="108" spans="1:20" x14ac:dyDescent="0.3">
      <c r="A108" t="s">
        <v>141</v>
      </c>
      <c r="B108" t="s">
        <v>142</v>
      </c>
      <c r="C108" t="s">
        <v>143</v>
      </c>
      <c r="D108" t="s">
        <v>155</v>
      </c>
      <c r="E108" t="s">
        <v>159</v>
      </c>
      <c r="F108" s="23" t="s">
        <v>161</v>
      </c>
      <c r="G108" s="26" t="s">
        <v>234</v>
      </c>
      <c r="H108" s="24">
        <v>0</v>
      </c>
      <c r="I108" s="24">
        <v>0</v>
      </c>
      <c r="J108" s="24">
        <v>0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4">
        <v>0</v>
      </c>
      <c r="S108" s="24">
        <v>0</v>
      </c>
      <c r="T108" s="22">
        <f t="shared" si="1"/>
        <v>0</v>
      </c>
    </row>
    <row r="109" spans="1:20" x14ac:dyDescent="0.3">
      <c r="A109" t="s">
        <v>141</v>
      </c>
      <c r="B109" t="s">
        <v>142</v>
      </c>
      <c r="C109" t="s">
        <v>143</v>
      </c>
      <c r="D109" t="s">
        <v>162</v>
      </c>
      <c r="E109" t="s">
        <v>163</v>
      </c>
      <c r="F109" s="23" t="s">
        <v>164</v>
      </c>
      <c r="G109" s="26" t="s">
        <v>234</v>
      </c>
      <c r="H109" s="24">
        <v>227408.54433556367</v>
      </c>
      <c r="I109" s="24">
        <v>179392.1277315894</v>
      </c>
      <c r="J109" s="24">
        <v>257231.6505387096</v>
      </c>
      <c r="K109" s="24">
        <v>494658.96166489675</v>
      </c>
      <c r="L109" s="24">
        <v>603420.70752262929</v>
      </c>
      <c r="M109" s="24">
        <v>280361.05710353807</v>
      </c>
      <c r="N109" s="24">
        <v>146267.08906255444</v>
      </c>
      <c r="O109" s="24">
        <v>461233.29411071958</v>
      </c>
      <c r="P109" s="24">
        <v>388891.5692692431</v>
      </c>
      <c r="Q109" s="24">
        <v>284391.04725135234</v>
      </c>
      <c r="R109" s="24">
        <v>499232.62016603287</v>
      </c>
      <c r="S109" s="24">
        <v>271088.85032988666</v>
      </c>
      <c r="T109" s="22">
        <f t="shared" si="1"/>
        <v>4093577.5190867158</v>
      </c>
    </row>
    <row r="110" spans="1:20" x14ac:dyDescent="0.3">
      <c r="A110" t="s">
        <v>141</v>
      </c>
      <c r="B110" t="s">
        <v>142</v>
      </c>
      <c r="C110" t="s">
        <v>143</v>
      </c>
      <c r="D110" t="s">
        <v>162</v>
      </c>
      <c r="E110" t="s">
        <v>165</v>
      </c>
      <c r="F110" s="23" t="s">
        <v>166</v>
      </c>
      <c r="G110" s="26" t="s">
        <v>234</v>
      </c>
      <c r="H110" s="24">
        <v>110596.14961516598</v>
      </c>
      <c r="I110" s="24">
        <v>96591.357801674472</v>
      </c>
      <c r="J110" s="24">
        <v>123073.16230162865</v>
      </c>
      <c r="K110" s="24">
        <v>54858.813198184951</v>
      </c>
      <c r="L110" s="24">
        <v>92261.904877665424</v>
      </c>
      <c r="M110" s="24">
        <v>119524.83700543166</v>
      </c>
      <c r="N110" s="24">
        <v>81150.711247289291</v>
      </c>
      <c r="O110" s="24">
        <v>100887.6955192957</v>
      </c>
      <c r="P110" s="24">
        <v>154927.40788038046</v>
      </c>
      <c r="Q110" s="24">
        <v>94865.337857355073</v>
      </c>
      <c r="R110" s="24">
        <v>63105.157996273432</v>
      </c>
      <c r="S110" s="24">
        <v>118534.61318288973</v>
      </c>
      <c r="T110" s="22">
        <f t="shared" si="1"/>
        <v>1210377.1484832349</v>
      </c>
    </row>
    <row r="111" spans="1:20" x14ac:dyDescent="0.3">
      <c r="A111" t="s">
        <v>141</v>
      </c>
      <c r="B111" t="s">
        <v>142</v>
      </c>
      <c r="C111" t="s">
        <v>143</v>
      </c>
      <c r="D111" t="s">
        <v>162</v>
      </c>
      <c r="E111" t="s">
        <v>165</v>
      </c>
      <c r="F111" s="23" t="s">
        <v>167</v>
      </c>
      <c r="G111" s="26" t="s">
        <v>234</v>
      </c>
      <c r="H111" s="24">
        <v>70973.526679137736</v>
      </c>
      <c r="I111" s="24">
        <v>50381.987079445971</v>
      </c>
      <c r="J111" s="24">
        <v>70490.898745438084</v>
      </c>
      <c r="K111" s="24">
        <v>51599.707781200414</v>
      </c>
      <c r="L111" s="24">
        <v>75766.888455112028</v>
      </c>
      <c r="M111" s="24">
        <v>79980.490389710147</v>
      </c>
      <c r="N111" s="24">
        <v>49534.685923203579</v>
      </c>
      <c r="O111" s="24">
        <v>56018.331317528689</v>
      </c>
      <c r="P111" s="24">
        <v>126415.88868064118</v>
      </c>
      <c r="Q111" s="24">
        <v>91745.158189667665</v>
      </c>
      <c r="R111" s="24">
        <v>44603.650985246786</v>
      </c>
      <c r="S111" s="24">
        <v>81628.580408204129</v>
      </c>
      <c r="T111" s="22">
        <f t="shared" si="1"/>
        <v>849139.79463453626</v>
      </c>
    </row>
    <row r="112" spans="1:20" x14ac:dyDescent="0.3">
      <c r="A112" t="s">
        <v>141</v>
      </c>
      <c r="B112" t="s">
        <v>142</v>
      </c>
      <c r="C112" t="s">
        <v>143</v>
      </c>
      <c r="D112" t="s">
        <v>162</v>
      </c>
      <c r="E112" t="s">
        <v>165</v>
      </c>
      <c r="F112" s="23" t="s">
        <v>168</v>
      </c>
      <c r="G112" s="26" t="s">
        <v>234</v>
      </c>
      <c r="H112" s="24">
        <v>18192.714244909192</v>
      </c>
      <c r="I112" s="24">
        <v>12388.636505010705</v>
      </c>
      <c r="J112" s="24">
        <v>19782.827416311884</v>
      </c>
      <c r="K112" s="24">
        <v>15984.171666941009</v>
      </c>
      <c r="L112" s="24">
        <v>21955.907434288805</v>
      </c>
      <c r="M112" s="24">
        <v>23038.781329045087</v>
      </c>
      <c r="N112" s="24">
        <v>19636.16453120748</v>
      </c>
      <c r="O112" s="24">
        <v>20882.427885255333</v>
      </c>
      <c r="P112" s="24">
        <v>32022.773407992951</v>
      </c>
      <c r="Q112" s="24">
        <v>23897.657995382662</v>
      </c>
      <c r="R112" s="24">
        <v>12067.494368729167</v>
      </c>
      <c r="S112" s="24">
        <v>25744.563034541385</v>
      </c>
      <c r="T112" s="22">
        <f t="shared" si="1"/>
        <v>245594.11981961568</v>
      </c>
    </row>
    <row r="113" spans="1:20" x14ac:dyDescent="0.3">
      <c r="A113" t="s">
        <v>141</v>
      </c>
      <c r="B113" t="s">
        <v>142</v>
      </c>
      <c r="C113" t="s">
        <v>143</v>
      </c>
      <c r="D113" t="s">
        <v>162</v>
      </c>
      <c r="E113" t="s">
        <v>169</v>
      </c>
      <c r="F113" s="23" t="s">
        <v>170</v>
      </c>
      <c r="G113" s="26" t="s">
        <v>234</v>
      </c>
      <c r="H113" s="24">
        <v>70538.566756819084</v>
      </c>
      <c r="I113" s="24">
        <v>46866.596910339089</v>
      </c>
      <c r="J113" s="24">
        <v>59775.464728028652</v>
      </c>
      <c r="K113" s="24">
        <v>46685.457283570868</v>
      </c>
      <c r="L113" s="24">
        <v>66836.120848823819</v>
      </c>
      <c r="M113" s="24">
        <v>70007.985588272364</v>
      </c>
      <c r="N113" s="24">
        <v>37544.832375300946</v>
      </c>
      <c r="O113" s="24">
        <v>42173.95608654141</v>
      </c>
      <c r="P113" s="24">
        <v>75209.759420083079</v>
      </c>
      <c r="Q113" s="24">
        <v>58415.218676961551</v>
      </c>
      <c r="R113" s="24">
        <v>30328.765806806994</v>
      </c>
      <c r="S113" s="24">
        <v>48120.052996010869</v>
      </c>
      <c r="T113" s="22">
        <f t="shared" si="1"/>
        <v>652502.7774775587</v>
      </c>
    </row>
    <row r="114" spans="1:20" x14ac:dyDescent="0.3">
      <c r="A114" t="s">
        <v>141</v>
      </c>
      <c r="B114" t="s">
        <v>142</v>
      </c>
      <c r="C114" t="s">
        <v>143</v>
      </c>
      <c r="D114" t="s">
        <v>162</v>
      </c>
      <c r="E114" t="s">
        <v>169</v>
      </c>
      <c r="F114" s="23" t="s">
        <v>171</v>
      </c>
      <c r="G114" s="26" t="s">
        <v>234</v>
      </c>
      <c r="H114" s="24">
        <v>26058.32822727129</v>
      </c>
      <c r="I114" s="24">
        <v>19009.876768512688</v>
      </c>
      <c r="J114" s="24">
        <v>31023.03969490487</v>
      </c>
      <c r="K114" s="24">
        <v>18677.02742535483</v>
      </c>
      <c r="L114" s="24">
        <v>29198.922096453309</v>
      </c>
      <c r="M114" s="24">
        <v>28801.028755640076</v>
      </c>
      <c r="N114" s="24">
        <v>19525.479931524693</v>
      </c>
      <c r="O114" s="24">
        <v>20899.436126515291</v>
      </c>
      <c r="P114" s="24">
        <v>25649.684017562911</v>
      </c>
      <c r="Q114" s="24">
        <v>17575.471692670355</v>
      </c>
      <c r="R114" s="24">
        <v>11321.328037564552</v>
      </c>
      <c r="S114" s="24">
        <v>17509.539307162609</v>
      </c>
      <c r="T114" s="22">
        <f t="shared" si="1"/>
        <v>265249.16208113747</v>
      </c>
    </row>
    <row r="115" spans="1:20" x14ac:dyDescent="0.3">
      <c r="A115" t="s">
        <v>141</v>
      </c>
      <c r="B115" t="s">
        <v>142</v>
      </c>
      <c r="C115" t="s">
        <v>143</v>
      </c>
      <c r="D115" t="s">
        <v>162</v>
      </c>
      <c r="E115" t="s">
        <v>172</v>
      </c>
      <c r="F115" s="23" t="s">
        <v>173</v>
      </c>
      <c r="G115" s="26" t="s">
        <v>234</v>
      </c>
      <c r="H115" s="24">
        <v>23224.228067855962</v>
      </c>
      <c r="I115" s="24">
        <v>20509.007924087622</v>
      </c>
      <c r="J115" s="24">
        <v>26650.830351456148</v>
      </c>
      <c r="K115" s="24">
        <v>18748.79886672557</v>
      </c>
      <c r="L115" s="24">
        <v>27266.427881538344</v>
      </c>
      <c r="M115" s="24">
        <v>29286.223607694155</v>
      </c>
      <c r="N115" s="24">
        <v>20520.327729181896</v>
      </c>
      <c r="O115" s="24">
        <v>20784.050979234336</v>
      </c>
      <c r="P115" s="24">
        <v>31771.902301809376</v>
      </c>
      <c r="Q115" s="24">
        <v>24948.593787134465</v>
      </c>
      <c r="R115" s="24">
        <v>17956.42728433169</v>
      </c>
      <c r="S115" s="24">
        <v>20801.360003049547</v>
      </c>
      <c r="T115" s="22">
        <f t="shared" si="1"/>
        <v>282468.17878409912</v>
      </c>
    </row>
    <row r="116" spans="1:20" x14ac:dyDescent="0.3">
      <c r="A116" t="s">
        <v>141</v>
      </c>
      <c r="B116" t="s">
        <v>142</v>
      </c>
      <c r="C116" t="s">
        <v>143</v>
      </c>
      <c r="D116" t="s">
        <v>162</v>
      </c>
      <c r="E116" t="s">
        <v>172</v>
      </c>
      <c r="F116" s="23" t="s">
        <v>174</v>
      </c>
      <c r="G116" s="26" t="s">
        <v>234</v>
      </c>
      <c r="H116" s="24">
        <v>27720.518836711792</v>
      </c>
      <c r="I116" s="24">
        <v>15280.059405143353</v>
      </c>
      <c r="J116" s="24">
        <v>27978.518444041423</v>
      </c>
      <c r="K116" s="24">
        <v>17083.91193976238</v>
      </c>
      <c r="L116" s="24">
        <v>27124.749971724756</v>
      </c>
      <c r="M116" s="24">
        <v>26609.892204603071</v>
      </c>
      <c r="N116" s="24">
        <v>21332.355665960698</v>
      </c>
      <c r="O116" s="24">
        <v>21821.320830693927</v>
      </c>
      <c r="P116" s="24">
        <v>27234.702882720194</v>
      </c>
      <c r="Q116" s="24">
        <v>19778.302203382162</v>
      </c>
      <c r="R116" s="24">
        <v>12278.196226609449</v>
      </c>
      <c r="S116" s="24">
        <v>17861.337550292552</v>
      </c>
      <c r="T116" s="22">
        <f t="shared" si="1"/>
        <v>262103.86616164574</v>
      </c>
    </row>
    <row r="117" spans="1:20" x14ac:dyDescent="0.3">
      <c r="A117" t="s">
        <v>141</v>
      </c>
      <c r="B117" t="s">
        <v>142</v>
      </c>
      <c r="C117" t="s">
        <v>143</v>
      </c>
      <c r="D117" t="s">
        <v>162</v>
      </c>
      <c r="E117" t="s">
        <v>172</v>
      </c>
      <c r="F117" s="23" t="s">
        <v>175</v>
      </c>
      <c r="G117" s="26" t="s">
        <v>234</v>
      </c>
      <c r="H117" s="24">
        <v>8567.4193476968449</v>
      </c>
      <c r="I117" s="24">
        <v>6160.1735864584271</v>
      </c>
      <c r="J117" s="24">
        <v>9388.0346988742695</v>
      </c>
      <c r="K117" s="24">
        <v>6115.9824966143624</v>
      </c>
      <c r="L117" s="24">
        <v>9231.0073556160696</v>
      </c>
      <c r="M117" s="24">
        <v>10814.938442589237</v>
      </c>
      <c r="N117" s="24">
        <v>7424.6049183948971</v>
      </c>
      <c r="O117" s="24">
        <v>8525.0792298550859</v>
      </c>
      <c r="P117" s="24">
        <v>9884.7782697106777</v>
      </c>
      <c r="Q117" s="24">
        <v>8272.7188656833496</v>
      </c>
      <c r="R117" s="24">
        <v>4301.8814933964049</v>
      </c>
      <c r="S117" s="24">
        <v>6652.1518009594683</v>
      </c>
      <c r="T117" s="22">
        <f t="shared" si="1"/>
        <v>95338.770505849097</v>
      </c>
    </row>
    <row r="118" spans="1:20" x14ac:dyDescent="0.3">
      <c r="A118" t="s">
        <v>141</v>
      </c>
      <c r="B118" t="s">
        <v>142</v>
      </c>
      <c r="C118" t="s">
        <v>143</v>
      </c>
      <c r="D118" t="s">
        <v>162</v>
      </c>
      <c r="E118" t="s">
        <v>172</v>
      </c>
      <c r="F118" s="23" t="s">
        <v>176</v>
      </c>
      <c r="G118" s="26" t="s">
        <v>234</v>
      </c>
      <c r="H118" s="24">
        <v>7702.4808939384238</v>
      </c>
      <c r="I118" s="24">
        <v>5415.0049590894196</v>
      </c>
      <c r="J118" s="24">
        <v>7836.5198831973985</v>
      </c>
      <c r="K118" s="24">
        <v>5538.6020852972333</v>
      </c>
      <c r="L118" s="24">
        <v>8020.8252744347928</v>
      </c>
      <c r="M118" s="24">
        <v>11419.431499463813</v>
      </c>
      <c r="N118" s="24">
        <v>4905.1477823865625</v>
      </c>
      <c r="O118" s="24">
        <v>5005.4678287703155</v>
      </c>
      <c r="P118" s="24">
        <v>8441.6334276255511</v>
      </c>
      <c r="Q118" s="24">
        <v>6398.6818206943954</v>
      </c>
      <c r="R118" s="24">
        <v>3664.7216371401132</v>
      </c>
      <c r="S118" s="24">
        <v>6299.2801260418983</v>
      </c>
      <c r="T118" s="22">
        <f t="shared" si="1"/>
        <v>80647.797218079912</v>
      </c>
    </row>
    <row r="119" spans="1:20" x14ac:dyDescent="0.3">
      <c r="A119" t="s">
        <v>141</v>
      </c>
      <c r="B119" t="s">
        <v>142</v>
      </c>
      <c r="C119" t="s">
        <v>143</v>
      </c>
      <c r="D119" t="s">
        <v>162</v>
      </c>
      <c r="E119" t="s">
        <v>169</v>
      </c>
      <c r="F119" s="23" t="s">
        <v>177</v>
      </c>
      <c r="G119" s="26" t="s">
        <v>234</v>
      </c>
      <c r="H119" s="24">
        <v>14259.875178800497</v>
      </c>
      <c r="I119" s="24">
        <v>11019.956196605748</v>
      </c>
      <c r="J119" s="24">
        <v>13704.657066109945</v>
      </c>
      <c r="K119" s="24">
        <v>9952.517353270754</v>
      </c>
      <c r="L119" s="24">
        <v>13334.356800937772</v>
      </c>
      <c r="M119" s="24">
        <v>17555.967659163995</v>
      </c>
      <c r="N119" s="24">
        <v>7580.7206174278108</v>
      </c>
      <c r="O119" s="24">
        <v>9062.0380899665943</v>
      </c>
      <c r="P119" s="24">
        <v>14582.84631971749</v>
      </c>
      <c r="Q119" s="24">
        <v>10544.9721955614</v>
      </c>
      <c r="R119" s="24">
        <v>7055.0505566387328</v>
      </c>
      <c r="S119" s="24">
        <v>10682.512090438719</v>
      </c>
      <c r="T119" s="22">
        <f t="shared" si="1"/>
        <v>139335.47012463945</v>
      </c>
    </row>
    <row r="120" spans="1:20" x14ac:dyDescent="0.3">
      <c r="A120" t="s">
        <v>141</v>
      </c>
      <c r="B120" t="s">
        <v>142</v>
      </c>
      <c r="C120" t="s">
        <v>143</v>
      </c>
      <c r="D120" t="s">
        <v>162</v>
      </c>
      <c r="E120" t="s">
        <v>169</v>
      </c>
      <c r="F120" s="23" t="s">
        <v>178</v>
      </c>
      <c r="G120" s="26" t="s">
        <v>234</v>
      </c>
      <c r="H120" s="24">
        <v>36172.800475374301</v>
      </c>
      <c r="I120" s="24">
        <v>23595.286201668467</v>
      </c>
      <c r="J120" s="24">
        <v>33901.738215326361</v>
      </c>
      <c r="K120" s="24">
        <v>27870.53460148118</v>
      </c>
      <c r="L120" s="24">
        <v>33571.400165574043</v>
      </c>
      <c r="M120" s="24">
        <v>35911.833840601001</v>
      </c>
      <c r="N120" s="24">
        <v>19552.300402862587</v>
      </c>
      <c r="O120" s="24">
        <v>19300.932020878106</v>
      </c>
      <c r="P120" s="24">
        <v>41307.70042978345</v>
      </c>
      <c r="Q120" s="24">
        <v>31366.73116291338</v>
      </c>
      <c r="R120" s="24">
        <v>12764.304725615635</v>
      </c>
      <c r="S120" s="24">
        <v>27553.17783250253</v>
      </c>
      <c r="T120" s="22">
        <f t="shared" si="1"/>
        <v>342868.74007458106</v>
      </c>
    </row>
    <row r="121" spans="1:20" x14ac:dyDescent="0.3">
      <c r="A121" t="s">
        <v>141</v>
      </c>
      <c r="B121" t="s">
        <v>142</v>
      </c>
      <c r="C121" t="s">
        <v>143</v>
      </c>
      <c r="D121" t="s">
        <v>162</v>
      </c>
      <c r="E121" t="s">
        <v>169</v>
      </c>
      <c r="F121" s="23" t="s">
        <v>179</v>
      </c>
      <c r="G121" s="26" t="s">
        <v>234</v>
      </c>
      <c r="H121" s="24">
        <v>105.57213010456024</v>
      </c>
      <c r="I121" s="24">
        <v>106.70161359257847</v>
      </c>
      <c r="J121" s="24">
        <v>50.21254490391334</v>
      </c>
      <c r="K121" s="24">
        <v>0</v>
      </c>
      <c r="L121" s="24">
        <v>78.08046654360686</v>
      </c>
      <c r="M121" s="24">
        <v>145.3338497676896</v>
      </c>
      <c r="N121" s="24">
        <v>56.332146728398868</v>
      </c>
      <c r="O121" s="24">
        <v>0</v>
      </c>
      <c r="P121" s="24">
        <v>0</v>
      </c>
      <c r="Q121" s="24">
        <v>0</v>
      </c>
      <c r="R121" s="24">
        <v>0</v>
      </c>
      <c r="S121" s="24">
        <v>0</v>
      </c>
      <c r="T121" s="22">
        <f t="shared" si="1"/>
        <v>542.23275164074744</v>
      </c>
    </row>
    <row r="122" spans="1:20" x14ac:dyDescent="0.3">
      <c r="A122" t="s">
        <v>141</v>
      </c>
      <c r="B122" t="s">
        <v>142</v>
      </c>
      <c r="C122" t="s">
        <v>143</v>
      </c>
      <c r="D122" t="s">
        <v>162</v>
      </c>
      <c r="E122" t="s">
        <v>169</v>
      </c>
      <c r="F122" s="23" t="s">
        <v>180</v>
      </c>
      <c r="G122" s="26" t="s">
        <v>234</v>
      </c>
      <c r="H122" s="24">
        <v>700.59892588031289</v>
      </c>
      <c r="I122" s="24">
        <v>332.67349188679083</v>
      </c>
      <c r="J122" s="24">
        <v>145.93015321670137</v>
      </c>
      <c r="K122" s="24">
        <v>324.34137907902561</v>
      </c>
      <c r="L122" s="24">
        <v>187.8261888524014</v>
      </c>
      <c r="M122" s="24">
        <v>225.6426081470774</v>
      </c>
      <c r="N122" s="24">
        <v>500.30479967414567</v>
      </c>
      <c r="O122" s="24">
        <v>225.32858691359547</v>
      </c>
      <c r="P122" s="24">
        <v>62.608670513150656</v>
      </c>
      <c r="Q122" s="24">
        <v>0</v>
      </c>
      <c r="R122" s="24">
        <v>0</v>
      </c>
      <c r="S122" s="24">
        <v>0</v>
      </c>
      <c r="T122" s="22">
        <f t="shared" si="1"/>
        <v>2705.2548041632012</v>
      </c>
    </row>
    <row r="123" spans="1:20" x14ac:dyDescent="0.3">
      <c r="A123" t="s">
        <v>141</v>
      </c>
      <c r="B123" t="s">
        <v>142</v>
      </c>
      <c r="C123" t="s">
        <v>143</v>
      </c>
      <c r="D123" t="s">
        <v>162</v>
      </c>
      <c r="E123" t="s">
        <v>172</v>
      </c>
      <c r="F123" s="23" t="s">
        <v>181</v>
      </c>
      <c r="G123" s="26" t="s">
        <v>234</v>
      </c>
      <c r="H123" s="24">
        <v>0</v>
      </c>
      <c r="I123" s="24">
        <v>417.14653085504131</v>
      </c>
      <c r="J123" s="24">
        <v>583.27863136261203</v>
      </c>
      <c r="K123" s="24">
        <v>189.04444086242222</v>
      </c>
      <c r="L123" s="24">
        <v>757.56867030436069</v>
      </c>
      <c r="M123" s="24">
        <v>960.05604173157667</v>
      </c>
      <c r="N123" s="24">
        <v>801.69360592342969</v>
      </c>
      <c r="O123" s="24">
        <v>172.57493050189743</v>
      </c>
      <c r="P123" s="24">
        <v>61.644914982299824</v>
      </c>
      <c r="Q123" s="24">
        <v>61.644914982299824</v>
      </c>
      <c r="R123" s="24">
        <v>0</v>
      </c>
      <c r="S123" s="24">
        <v>0</v>
      </c>
      <c r="T123" s="22">
        <f t="shared" si="1"/>
        <v>4004.6526815059392</v>
      </c>
    </row>
    <row r="124" spans="1:20" x14ac:dyDescent="0.3">
      <c r="A124" t="s">
        <v>141</v>
      </c>
      <c r="B124" t="s">
        <v>142</v>
      </c>
      <c r="C124" t="s">
        <v>143</v>
      </c>
      <c r="D124" t="s">
        <v>162</v>
      </c>
      <c r="E124" t="s">
        <v>172</v>
      </c>
      <c r="F124" s="23" t="s">
        <v>182</v>
      </c>
      <c r="G124" s="26" t="s">
        <v>234</v>
      </c>
      <c r="H124" s="24">
        <v>60.073627274815266</v>
      </c>
      <c r="I124" s="24">
        <v>602.55036153401045</v>
      </c>
      <c r="J124" s="24">
        <v>453.48159179903416</v>
      </c>
      <c r="K124" s="24">
        <v>0</v>
      </c>
      <c r="L124" s="24">
        <v>360.43165681077278</v>
      </c>
      <c r="M124" s="24">
        <v>1311.4418594343606</v>
      </c>
      <c r="N124" s="24">
        <v>671.27827924574774</v>
      </c>
      <c r="O124" s="24">
        <v>56.332146728398868</v>
      </c>
      <c r="P124" s="24">
        <v>0</v>
      </c>
      <c r="Q124" s="24">
        <v>0</v>
      </c>
      <c r="R124" s="24">
        <v>0</v>
      </c>
      <c r="S124" s="24">
        <v>0</v>
      </c>
      <c r="T124" s="22">
        <f t="shared" si="1"/>
        <v>3515.5895228271402</v>
      </c>
    </row>
    <row r="125" spans="1:20" x14ac:dyDescent="0.3">
      <c r="A125" t="s">
        <v>141</v>
      </c>
      <c r="B125" t="s">
        <v>142</v>
      </c>
      <c r="C125" t="s">
        <v>143</v>
      </c>
      <c r="D125" t="s">
        <v>162</v>
      </c>
      <c r="E125" t="s">
        <v>172</v>
      </c>
      <c r="F125" s="23" t="s">
        <v>183</v>
      </c>
      <c r="G125" s="26" t="s">
        <v>234</v>
      </c>
      <c r="H125" s="24">
        <v>0</v>
      </c>
      <c r="I125" s="24">
        <v>693.56048835176011</v>
      </c>
      <c r="J125" s="24">
        <v>325.15701864651135</v>
      </c>
      <c r="K125" s="24">
        <v>100.42508980782668</v>
      </c>
      <c r="L125" s="24">
        <v>440.77162226926441</v>
      </c>
      <c r="M125" s="24">
        <v>818.05687492558377</v>
      </c>
      <c r="N125" s="24">
        <v>1060.8958248495014</v>
      </c>
      <c r="O125" s="24">
        <v>56.332146728398868</v>
      </c>
      <c r="P125" s="24">
        <v>68.885194297902459</v>
      </c>
      <c r="Q125" s="24">
        <v>0</v>
      </c>
      <c r="R125" s="24">
        <v>0</v>
      </c>
      <c r="S125" s="24">
        <v>0</v>
      </c>
      <c r="T125" s="22">
        <f t="shared" si="1"/>
        <v>3564.0842598767495</v>
      </c>
    </row>
    <row r="126" spans="1:20" x14ac:dyDescent="0.3">
      <c r="A126" t="s">
        <v>141</v>
      </c>
      <c r="B126" t="s">
        <v>142</v>
      </c>
      <c r="C126" t="s">
        <v>143</v>
      </c>
      <c r="D126" t="s">
        <v>162</v>
      </c>
      <c r="E126" t="s">
        <v>172</v>
      </c>
      <c r="F126" s="23" t="s">
        <v>184</v>
      </c>
      <c r="G126" s="26" t="s">
        <v>234</v>
      </c>
      <c r="H126" s="24">
        <v>0</v>
      </c>
      <c r="I126" s="24">
        <v>243.21698113215223</v>
      </c>
      <c r="J126" s="24">
        <v>50.21254490391334</v>
      </c>
      <c r="K126" s="24">
        <v>0</v>
      </c>
      <c r="L126" s="24">
        <v>36.404121652279585</v>
      </c>
      <c r="M126" s="24">
        <v>71.662624338140674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2">
        <f t="shared" si="1"/>
        <v>401.49627202648583</v>
      </c>
    </row>
    <row r="127" spans="1:20" x14ac:dyDescent="0.3">
      <c r="A127" t="s">
        <v>141</v>
      </c>
      <c r="B127" t="s">
        <v>142</v>
      </c>
      <c r="C127" t="s">
        <v>143</v>
      </c>
      <c r="D127" t="s">
        <v>162</v>
      </c>
      <c r="E127" t="s">
        <v>169</v>
      </c>
      <c r="F127" s="23" t="s">
        <v>185</v>
      </c>
      <c r="G127" s="26" t="s">
        <v>234</v>
      </c>
      <c r="H127" s="24">
        <v>6718.5988198874111</v>
      </c>
      <c r="I127" s="24">
        <v>4336.6150803659793</v>
      </c>
      <c r="J127" s="24">
        <v>3513.2532961468614</v>
      </c>
      <c r="K127" s="24">
        <v>3317.3496469213151</v>
      </c>
      <c r="L127" s="24">
        <v>1228.1784655331435</v>
      </c>
      <c r="M127" s="24">
        <v>2398.6288227577988</v>
      </c>
      <c r="N127" s="24">
        <v>2453.8524121606033</v>
      </c>
      <c r="O127" s="24">
        <v>1123.9256329072164</v>
      </c>
      <c r="P127" s="24">
        <v>743.23062251974716</v>
      </c>
      <c r="Q127" s="24">
        <v>62.457667352216944</v>
      </c>
      <c r="R127" s="24">
        <v>0</v>
      </c>
      <c r="S127" s="24">
        <v>0</v>
      </c>
      <c r="T127" s="22">
        <f t="shared" si="1"/>
        <v>25896.09046655229</v>
      </c>
    </row>
    <row r="128" spans="1:20" x14ac:dyDescent="0.3">
      <c r="A128" t="s">
        <v>141</v>
      </c>
      <c r="B128" t="s">
        <v>142</v>
      </c>
      <c r="C128" t="s">
        <v>143</v>
      </c>
      <c r="D128" t="s">
        <v>162</v>
      </c>
      <c r="E128" t="s">
        <v>169</v>
      </c>
      <c r="F128" s="23" t="s">
        <v>186</v>
      </c>
      <c r="G128" s="26" t="s">
        <v>234</v>
      </c>
      <c r="H128" s="24">
        <v>6552.2986150366905</v>
      </c>
      <c r="I128" s="24">
        <v>5171.6832504486156</v>
      </c>
      <c r="J128" s="24">
        <v>5348.9321899272727</v>
      </c>
      <c r="K128" s="24">
        <v>3634.2384829538878</v>
      </c>
      <c r="L128" s="24">
        <v>2523.9634840629051</v>
      </c>
      <c r="M128" s="24">
        <v>2842.8925626728142</v>
      </c>
      <c r="N128" s="24">
        <v>4022.491250785698</v>
      </c>
      <c r="O128" s="24">
        <v>1340.9875162017822</v>
      </c>
      <c r="P128" s="24">
        <v>1151.9055970413513</v>
      </c>
      <c r="Q128" s="24">
        <v>0</v>
      </c>
      <c r="R128" s="24">
        <v>0</v>
      </c>
      <c r="S128" s="24">
        <v>0</v>
      </c>
      <c r="T128" s="22">
        <f t="shared" si="1"/>
        <v>32589.392949131008</v>
      </c>
    </row>
    <row r="129" spans="1:20" x14ac:dyDescent="0.3">
      <c r="A129" t="s">
        <v>141</v>
      </c>
      <c r="B129" t="s">
        <v>142</v>
      </c>
      <c r="C129" t="s">
        <v>143</v>
      </c>
      <c r="D129" t="s">
        <v>187</v>
      </c>
      <c r="E129" t="s">
        <v>188</v>
      </c>
      <c r="F129" s="23" t="s">
        <v>189</v>
      </c>
      <c r="G129" s="26" t="s">
        <v>234</v>
      </c>
      <c r="H129" s="24">
        <v>376815.18909719924</v>
      </c>
      <c r="I129" s="24">
        <v>298743.36523802357</v>
      </c>
      <c r="J129" s="24">
        <v>1038015.4421374331</v>
      </c>
      <c r="K129" s="24">
        <v>658079.17284922593</v>
      </c>
      <c r="L129" s="24">
        <v>1176611.5161335273</v>
      </c>
      <c r="M129" s="24">
        <v>1339501.4379363118</v>
      </c>
      <c r="N129" s="24">
        <v>1898053.394578401</v>
      </c>
      <c r="O129" s="24">
        <v>1193278.5951706539</v>
      </c>
      <c r="P129" s="24">
        <v>790187.64161510579</v>
      </c>
      <c r="Q129" s="24">
        <v>413479.20739159861</v>
      </c>
      <c r="R129" s="24">
        <v>496733.78134473797</v>
      </c>
      <c r="S129" s="24">
        <v>648510.34534979798</v>
      </c>
      <c r="T129" s="22">
        <f t="shared" si="1"/>
        <v>10328009.088842016</v>
      </c>
    </row>
    <row r="130" spans="1:20" x14ac:dyDescent="0.3">
      <c r="A130" t="s">
        <v>141</v>
      </c>
      <c r="B130" t="s">
        <v>142</v>
      </c>
      <c r="C130" t="s">
        <v>143</v>
      </c>
      <c r="D130" t="s">
        <v>187</v>
      </c>
      <c r="E130" t="s">
        <v>188</v>
      </c>
      <c r="F130" s="23" t="s">
        <v>190</v>
      </c>
      <c r="G130" s="26" t="s">
        <v>234</v>
      </c>
      <c r="H130" s="24">
        <v>1079484.9743265824</v>
      </c>
      <c r="I130" s="24">
        <v>838117.54534955649</v>
      </c>
      <c r="J130" s="24">
        <v>1332859.3317078145</v>
      </c>
      <c r="K130" s="24">
        <v>839852.00739260553</v>
      </c>
      <c r="L130" s="24">
        <v>1488526.1651503548</v>
      </c>
      <c r="M130" s="24">
        <v>1475270.0795056969</v>
      </c>
      <c r="N130" s="24">
        <v>802853.05848163483</v>
      </c>
      <c r="O130" s="24">
        <v>878258.60190052865</v>
      </c>
      <c r="P130" s="24">
        <v>2230864.6719082105</v>
      </c>
      <c r="Q130" s="24">
        <v>1968532.4286287173</v>
      </c>
      <c r="R130" s="24">
        <v>698493.67249123205</v>
      </c>
      <c r="S130" s="24">
        <v>1605622.2826367035</v>
      </c>
      <c r="T130" s="22">
        <f t="shared" si="1"/>
        <v>15238734.819479637</v>
      </c>
    </row>
    <row r="131" spans="1:20" x14ac:dyDescent="0.3">
      <c r="A131" t="s">
        <v>141</v>
      </c>
      <c r="B131" t="s">
        <v>142</v>
      </c>
      <c r="C131" t="s">
        <v>143</v>
      </c>
      <c r="D131" t="s">
        <v>187</v>
      </c>
      <c r="E131" t="s">
        <v>188</v>
      </c>
      <c r="F131" s="23" t="s">
        <v>191</v>
      </c>
      <c r="G131" s="26" t="s">
        <v>234</v>
      </c>
      <c r="H131" s="24">
        <v>0</v>
      </c>
      <c r="I131" s="24">
        <v>0</v>
      </c>
      <c r="J131" s="24">
        <v>0</v>
      </c>
      <c r="K131" s="24">
        <v>0</v>
      </c>
      <c r="L131" s="24">
        <v>0</v>
      </c>
      <c r="M131" s="24">
        <v>0</v>
      </c>
      <c r="N131" s="24">
        <v>0</v>
      </c>
      <c r="O131" s="24">
        <v>0</v>
      </c>
      <c r="P131" s="24">
        <v>0</v>
      </c>
      <c r="Q131" s="24">
        <v>0</v>
      </c>
      <c r="R131" s="24">
        <v>0</v>
      </c>
      <c r="S131" s="24">
        <v>0</v>
      </c>
      <c r="T131" s="22">
        <f t="shared" ref="T131:T156" si="2">SUM(H131:S131)</f>
        <v>0</v>
      </c>
    </row>
    <row r="132" spans="1:20" x14ac:dyDescent="0.3">
      <c r="A132" t="s">
        <v>141</v>
      </c>
      <c r="B132" t="s">
        <v>142</v>
      </c>
      <c r="C132" t="s">
        <v>143</v>
      </c>
      <c r="D132" t="s">
        <v>187</v>
      </c>
      <c r="E132" t="s">
        <v>192</v>
      </c>
      <c r="F132" s="23" t="s">
        <v>193</v>
      </c>
      <c r="G132" s="26" t="s">
        <v>234</v>
      </c>
      <c r="H132" s="24">
        <v>24316.832003913907</v>
      </c>
      <c r="I132" s="24">
        <v>26410.256943023884</v>
      </c>
      <c r="J132" s="24">
        <v>53534.546679537969</v>
      </c>
      <c r="K132" s="24">
        <v>9770.5160873356945</v>
      </c>
      <c r="L132" s="24">
        <v>10691.718232378058</v>
      </c>
      <c r="M132" s="24">
        <v>10798.059323448429</v>
      </c>
      <c r="N132" s="24">
        <v>8741.381524681783</v>
      </c>
      <c r="O132" s="24">
        <v>9598.2749541763842</v>
      </c>
      <c r="P132" s="24">
        <v>19496.485748741288</v>
      </c>
      <c r="Q132" s="24">
        <v>9598.2749541763842</v>
      </c>
      <c r="R132" s="24">
        <v>9598.2749541763842</v>
      </c>
      <c r="S132" s="24">
        <v>4661.5561818561191</v>
      </c>
      <c r="T132" s="22">
        <f t="shared" si="2"/>
        <v>197216.17758744629</v>
      </c>
    </row>
    <row r="133" spans="1:20" x14ac:dyDescent="0.3">
      <c r="A133" t="s">
        <v>141</v>
      </c>
      <c r="B133" t="s">
        <v>142</v>
      </c>
      <c r="C133" t="s">
        <v>143</v>
      </c>
      <c r="D133" t="s">
        <v>187</v>
      </c>
      <c r="E133" t="s">
        <v>192</v>
      </c>
      <c r="F133" s="23" t="s">
        <v>194</v>
      </c>
      <c r="G133" s="26" t="s">
        <v>234</v>
      </c>
      <c r="H133" s="24">
        <v>164381.65608267082</v>
      </c>
      <c r="I133" s="24">
        <v>132511.47619001739</v>
      </c>
      <c r="J133" s="24">
        <v>197311.36066170927</v>
      </c>
      <c r="K133" s="24">
        <v>169999.63421204596</v>
      </c>
      <c r="L133" s="24">
        <v>209686.4791507526</v>
      </c>
      <c r="M133" s="24">
        <v>218613.19206449087</v>
      </c>
      <c r="N133" s="24">
        <v>189540.19253157522</v>
      </c>
      <c r="O133" s="24">
        <v>201981.91464783257</v>
      </c>
      <c r="P133" s="24">
        <v>247924.14961793</v>
      </c>
      <c r="Q133" s="24">
        <v>198427.57262535574</v>
      </c>
      <c r="R133" s="24">
        <v>162729.56315044494</v>
      </c>
      <c r="S133" s="24">
        <v>170975.51841995917</v>
      </c>
      <c r="T133" s="22">
        <f t="shared" si="2"/>
        <v>2264082.7093547848</v>
      </c>
    </row>
    <row r="134" spans="1:20" x14ac:dyDescent="0.3">
      <c r="A134" t="s">
        <v>141</v>
      </c>
      <c r="B134" t="s">
        <v>142</v>
      </c>
      <c r="C134" t="s">
        <v>143</v>
      </c>
      <c r="D134" t="s">
        <v>187</v>
      </c>
      <c r="E134" t="s">
        <v>192</v>
      </c>
      <c r="F134" s="23" t="s">
        <v>195</v>
      </c>
      <c r="G134" s="26" t="s">
        <v>234</v>
      </c>
      <c r="H134" s="24">
        <v>204791.99012321414</v>
      </c>
      <c r="I134" s="24">
        <v>117647.11563125093</v>
      </c>
      <c r="J134" s="24">
        <v>121417.9754732367</v>
      </c>
      <c r="K134" s="24">
        <v>146077.85322212064</v>
      </c>
      <c r="L134" s="24">
        <v>200194.08183592538</v>
      </c>
      <c r="M134" s="24">
        <v>225735.28197636837</v>
      </c>
      <c r="N134" s="24">
        <v>430731.67836997623</v>
      </c>
      <c r="O134" s="24">
        <v>315444.64134460606</v>
      </c>
      <c r="P134" s="24">
        <v>204726.46487618689</v>
      </c>
      <c r="Q134" s="24">
        <v>121562.73762933086</v>
      </c>
      <c r="R134" s="24">
        <v>152529.60451985581</v>
      </c>
      <c r="S134" s="24">
        <v>124974.3914175962</v>
      </c>
      <c r="T134" s="22">
        <f t="shared" si="2"/>
        <v>2365833.816419668</v>
      </c>
    </row>
    <row r="135" spans="1:20" x14ac:dyDescent="0.3">
      <c r="A135" t="s">
        <v>141</v>
      </c>
      <c r="B135" t="s">
        <v>142</v>
      </c>
      <c r="C135" t="s">
        <v>143</v>
      </c>
      <c r="D135" t="s">
        <v>187</v>
      </c>
      <c r="E135" t="s">
        <v>196</v>
      </c>
      <c r="F135" s="23" t="s">
        <v>197</v>
      </c>
      <c r="G135" s="26" t="s">
        <v>234</v>
      </c>
      <c r="H135" s="24">
        <v>43623.724010472943</v>
      </c>
      <c r="I135" s="24">
        <v>44819.889085187635</v>
      </c>
      <c r="J135" s="24">
        <v>56204.610317725841</v>
      </c>
      <c r="K135" s="24">
        <v>63332.143600259194</v>
      </c>
      <c r="L135" s="24">
        <v>69870.365904435705</v>
      </c>
      <c r="M135" s="24">
        <v>63124.500769077364</v>
      </c>
      <c r="N135" s="24">
        <v>69868.554705718809</v>
      </c>
      <c r="O135" s="24">
        <v>75472.763641835176</v>
      </c>
      <c r="P135" s="24">
        <v>70373.492092126486</v>
      </c>
      <c r="Q135" s="24">
        <v>93908.201475425696</v>
      </c>
      <c r="R135" s="24">
        <v>43602.111854088624</v>
      </c>
      <c r="S135" s="24">
        <v>169332.89239682708</v>
      </c>
      <c r="T135" s="22">
        <f t="shared" si="2"/>
        <v>863533.2498531806</v>
      </c>
    </row>
    <row r="136" spans="1:20" x14ac:dyDescent="0.3">
      <c r="A136" t="s">
        <v>141</v>
      </c>
      <c r="B136" t="s">
        <v>142</v>
      </c>
      <c r="C136" t="s">
        <v>143</v>
      </c>
      <c r="D136" t="s">
        <v>187</v>
      </c>
      <c r="E136" t="s">
        <v>196</v>
      </c>
      <c r="F136" s="23" t="s">
        <v>198</v>
      </c>
      <c r="G136" s="26" t="s">
        <v>234</v>
      </c>
      <c r="H136" s="24">
        <v>1006330.0805721033</v>
      </c>
      <c r="I136" s="24">
        <v>855010.84400986461</v>
      </c>
      <c r="J136" s="24">
        <v>1306475.9562618786</v>
      </c>
      <c r="K136" s="24">
        <v>1048971.0488906251</v>
      </c>
      <c r="L136" s="24">
        <v>1408536.1727816781</v>
      </c>
      <c r="M136" s="24">
        <v>1208255.3776810381</v>
      </c>
      <c r="N136" s="24">
        <v>890400.68031413539</v>
      </c>
      <c r="O136" s="24">
        <v>909407.63475561887</v>
      </c>
      <c r="P136" s="24">
        <v>1467870.811979414</v>
      </c>
      <c r="Q136" s="24">
        <v>1572769.1186234979</v>
      </c>
      <c r="R136" s="24">
        <v>913792.4619165659</v>
      </c>
      <c r="S136" s="24">
        <v>1199070.4791497237</v>
      </c>
      <c r="T136" s="22">
        <f t="shared" si="2"/>
        <v>13786890.666936142</v>
      </c>
    </row>
    <row r="137" spans="1:20" x14ac:dyDescent="0.3">
      <c r="A137" t="s">
        <v>141</v>
      </c>
      <c r="B137" t="s">
        <v>142</v>
      </c>
      <c r="C137" t="s">
        <v>143</v>
      </c>
      <c r="D137" t="s">
        <v>187</v>
      </c>
      <c r="E137" t="s">
        <v>196</v>
      </c>
      <c r="F137" s="23" t="s">
        <v>199</v>
      </c>
      <c r="G137" s="26" t="s">
        <v>234</v>
      </c>
      <c r="H137" s="24">
        <v>3685996.4573258031</v>
      </c>
      <c r="I137" s="24">
        <v>3191447.7675478607</v>
      </c>
      <c r="J137" s="24">
        <v>4614256.6137437709</v>
      </c>
      <c r="K137" s="24">
        <v>3338412.0069176583</v>
      </c>
      <c r="L137" s="24">
        <v>5361854.0593121219</v>
      </c>
      <c r="M137" s="24">
        <v>4500196.7419128083</v>
      </c>
      <c r="N137" s="24">
        <v>3344033.1852415414</v>
      </c>
      <c r="O137" s="24">
        <v>3563415.0165462177</v>
      </c>
      <c r="P137" s="24">
        <v>6471863.6072065793</v>
      </c>
      <c r="Q137" s="24">
        <v>6734789.3563646004</v>
      </c>
      <c r="R137" s="24">
        <v>3231033.1101441979</v>
      </c>
      <c r="S137" s="24">
        <v>4478104.2743643671</v>
      </c>
      <c r="T137" s="22">
        <f t="shared" si="2"/>
        <v>52515402.19662752</v>
      </c>
    </row>
    <row r="138" spans="1:20" x14ac:dyDescent="0.3">
      <c r="A138" t="s">
        <v>141</v>
      </c>
      <c r="B138" t="s">
        <v>142</v>
      </c>
      <c r="C138" t="s">
        <v>143</v>
      </c>
      <c r="D138" t="s">
        <v>187</v>
      </c>
      <c r="E138" t="s">
        <v>200</v>
      </c>
      <c r="F138" s="23" t="s">
        <v>201</v>
      </c>
      <c r="G138" s="26" t="s">
        <v>234</v>
      </c>
      <c r="H138" s="24">
        <v>118220.01644752323</v>
      </c>
      <c r="I138" s="24">
        <v>118220.01644752323</v>
      </c>
      <c r="J138" s="24">
        <v>140763.50137317914</v>
      </c>
      <c r="K138" s="24">
        <v>92580.154853139902</v>
      </c>
      <c r="L138" s="24">
        <v>92580.154853139902</v>
      </c>
      <c r="M138" s="24">
        <v>92580.154853139902</v>
      </c>
      <c r="N138" s="24">
        <v>104152.67420978242</v>
      </c>
      <c r="O138" s="24">
        <v>104152.67420978242</v>
      </c>
      <c r="P138" s="24">
        <v>104152.67420978242</v>
      </c>
      <c r="Q138" s="24">
        <v>115272.81173648531</v>
      </c>
      <c r="R138" s="24">
        <v>103700.29237984284</v>
      </c>
      <c r="S138" s="24">
        <v>99993.57987094202</v>
      </c>
      <c r="T138" s="22">
        <f t="shared" si="2"/>
        <v>1286368.7054442626</v>
      </c>
    </row>
    <row r="139" spans="1:20" x14ac:dyDescent="0.3">
      <c r="A139" t="s">
        <v>141</v>
      </c>
      <c r="B139" t="s">
        <v>142</v>
      </c>
      <c r="C139" t="s">
        <v>143</v>
      </c>
      <c r="D139" t="s">
        <v>187</v>
      </c>
      <c r="E139" t="s">
        <v>200</v>
      </c>
      <c r="F139" s="23" t="s">
        <v>202</v>
      </c>
      <c r="G139" s="26" t="s">
        <v>234</v>
      </c>
      <c r="H139" s="24">
        <v>408698.45212333259</v>
      </c>
      <c r="I139" s="24">
        <v>408698.45212333259</v>
      </c>
      <c r="J139" s="24">
        <v>490332.46622244018</v>
      </c>
      <c r="K139" s="24">
        <v>322491.66303449881</v>
      </c>
      <c r="L139" s="24">
        <v>322491.66303449881</v>
      </c>
      <c r="M139" s="24">
        <v>322491.66303449881</v>
      </c>
      <c r="N139" s="24">
        <v>362803.12091381114</v>
      </c>
      <c r="O139" s="24">
        <v>362803.12091381114</v>
      </c>
      <c r="P139" s="24">
        <v>362803.12091381114</v>
      </c>
      <c r="Q139" s="24">
        <v>403071.13921854849</v>
      </c>
      <c r="R139" s="24">
        <v>362759.68133923609</v>
      </c>
      <c r="S139" s="24">
        <v>349337.00857099093</v>
      </c>
      <c r="T139" s="22">
        <f t="shared" si="2"/>
        <v>4478781.5514428094</v>
      </c>
    </row>
    <row r="140" spans="1:20" x14ac:dyDescent="0.3">
      <c r="A140" t="s">
        <v>141</v>
      </c>
      <c r="B140" t="s">
        <v>142</v>
      </c>
      <c r="C140" t="s">
        <v>143</v>
      </c>
      <c r="D140" t="s">
        <v>187</v>
      </c>
      <c r="E140" t="s">
        <v>203</v>
      </c>
      <c r="F140" s="23" t="s">
        <v>204</v>
      </c>
      <c r="G140" s="26" t="s">
        <v>234</v>
      </c>
      <c r="H140" s="24">
        <v>664167.6265317417</v>
      </c>
      <c r="I140" s="24">
        <v>540171.67110528215</v>
      </c>
      <c r="J140" s="24">
        <v>699599.02612562221</v>
      </c>
      <c r="K140" s="24">
        <v>638793.24981554446</v>
      </c>
      <c r="L140" s="24">
        <v>813116.76973563852</v>
      </c>
      <c r="M140" s="24">
        <v>861921.56428370718</v>
      </c>
      <c r="N140" s="24">
        <v>824620.39700205158</v>
      </c>
      <c r="O140" s="24">
        <v>836730.57256119431</v>
      </c>
      <c r="P140" s="24">
        <v>644601.16300541419</v>
      </c>
      <c r="Q140" s="24">
        <v>932098.4636970982</v>
      </c>
      <c r="R140" s="24">
        <v>815400.31147069344</v>
      </c>
      <c r="S140" s="24">
        <v>554153.05776053807</v>
      </c>
      <c r="T140" s="22">
        <f t="shared" si="2"/>
        <v>8825373.8730945271</v>
      </c>
    </row>
    <row r="141" spans="1:20" x14ac:dyDescent="0.3">
      <c r="A141" t="s">
        <v>141</v>
      </c>
      <c r="B141" t="s">
        <v>205</v>
      </c>
      <c r="C141" t="s">
        <v>206</v>
      </c>
      <c r="D141" t="s">
        <v>207</v>
      </c>
      <c r="E141" t="s">
        <v>208</v>
      </c>
      <c r="F141" s="23" t="s">
        <v>209</v>
      </c>
      <c r="G141" s="26" t="s">
        <v>234</v>
      </c>
      <c r="H141" s="24">
        <v>987610.61946902657</v>
      </c>
      <c r="I141" s="24">
        <v>-75575.22123893816</v>
      </c>
      <c r="J141" s="24">
        <v>1316814.1592920355</v>
      </c>
      <c r="K141" s="24">
        <v>658407.07964601775</v>
      </c>
      <c r="L141" s="24">
        <v>987610.61946902657</v>
      </c>
      <c r="M141" s="24">
        <v>1975221.2389380531</v>
      </c>
      <c r="N141" s="24">
        <v>1646017.6991150447</v>
      </c>
      <c r="O141" s="24">
        <v>1646017.6991150447</v>
      </c>
      <c r="P141" s="24">
        <v>1316814.1592920355</v>
      </c>
      <c r="Q141" s="24">
        <v>1053451.3274336283</v>
      </c>
      <c r="R141" s="24">
        <v>1316814.1592920355</v>
      </c>
      <c r="S141" s="24">
        <v>1646017.6991150447</v>
      </c>
      <c r="T141" s="22">
        <f t="shared" si="2"/>
        <v>14475221.238938054</v>
      </c>
    </row>
    <row r="142" spans="1:20" x14ac:dyDescent="0.3">
      <c r="A142" t="s">
        <v>141</v>
      </c>
      <c r="B142" t="s">
        <v>205</v>
      </c>
      <c r="C142" t="s">
        <v>206</v>
      </c>
      <c r="D142" t="s">
        <v>207</v>
      </c>
      <c r="E142" t="s">
        <v>208</v>
      </c>
      <c r="F142" s="23" t="s">
        <v>210</v>
      </c>
      <c r="G142" s="26" t="s">
        <v>234</v>
      </c>
      <c r="H142" s="24">
        <v>0</v>
      </c>
      <c r="I142" s="24">
        <v>0</v>
      </c>
      <c r="J142" s="24">
        <v>0</v>
      </c>
      <c r="K142" s="24">
        <v>0</v>
      </c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2">
        <f t="shared" si="2"/>
        <v>0</v>
      </c>
    </row>
    <row r="143" spans="1:20" x14ac:dyDescent="0.3">
      <c r="A143" t="s">
        <v>141</v>
      </c>
      <c r="B143" t="s">
        <v>205</v>
      </c>
      <c r="C143" t="s">
        <v>206</v>
      </c>
      <c r="D143" t="s">
        <v>207</v>
      </c>
      <c r="E143" t="s">
        <v>208</v>
      </c>
      <c r="F143" s="23" t="s">
        <v>211</v>
      </c>
      <c r="G143" s="26" t="s">
        <v>234</v>
      </c>
      <c r="H143" s="24">
        <v>8911566.6432636194</v>
      </c>
      <c r="I143" s="24">
        <v>-993115.04424778814</v>
      </c>
      <c r="J143" s="24">
        <v>8103409.1930765174</v>
      </c>
      <c r="K143" s="24">
        <v>1051140.0272327252</v>
      </c>
      <c r="L143" s="24">
        <v>4470444.0005426705</v>
      </c>
      <c r="M143" s="24">
        <v>3910886.5334007428</v>
      </c>
      <c r="N143" s="24">
        <v>3335459.2795461128</v>
      </c>
      <c r="O143" s="24">
        <v>3132408.8209988745</v>
      </c>
      <c r="P143" s="24">
        <v>2660683.3581499266</v>
      </c>
      <c r="Q143" s="24">
        <v>2269453.9945464665</v>
      </c>
      <c r="R143" s="24">
        <v>1498507.4446044837</v>
      </c>
      <c r="S143" s="24">
        <v>1249815.0091393278</v>
      </c>
      <c r="T143" s="22">
        <f t="shared" si="2"/>
        <v>39600659.260253683</v>
      </c>
    </row>
    <row r="144" spans="1:20" x14ac:dyDescent="0.3">
      <c r="A144" t="s">
        <v>141</v>
      </c>
      <c r="B144" t="s">
        <v>205</v>
      </c>
      <c r="C144" t="s">
        <v>206</v>
      </c>
      <c r="D144" t="s">
        <v>207</v>
      </c>
      <c r="E144" t="s">
        <v>212</v>
      </c>
      <c r="F144" s="23" t="s">
        <v>213</v>
      </c>
      <c r="G144" s="26" t="s">
        <v>234</v>
      </c>
      <c r="H144" s="24">
        <v>0</v>
      </c>
      <c r="I144" s="24">
        <v>0</v>
      </c>
      <c r="J144" s="24">
        <v>0</v>
      </c>
      <c r="K144" s="24">
        <v>3156021.5467487499</v>
      </c>
      <c r="L144" s="24">
        <v>1893612.9280492498</v>
      </c>
      <c r="M144" s="24">
        <v>1893612.9280492498</v>
      </c>
      <c r="N144" s="24">
        <v>2524817.2373989997</v>
      </c>
      <c r="O144" s="24">
        <v>2524817.2373989997</v>
      </c>
      <c r="P144" s="24">
        <v>2524817.2373989997</v>
      </c>
      <c r="Q144" s="24">
        <v>2690265.4867256638</v>
      </c>
      <c r="R144" s="24">
        <v>4707964.6017699121</v>
      </c>
      <c r="S144" s="24">
        <v>6053097.3451327439</v>
      </c>
      <c r="T144" s="22">
        <f t="shared" si="2"/>
        <v>27969026.548672572</v>
      </c>
    </row>
    <row r="145" spans="1:20" x14ac:dyDescent="0.3">
      <c r="A145" t="s">
        <v>141</v>
      </c>
      <c r="B145" t="s">
        <v>214</v>
      </c>
      <c r="C145" t="s">
        <v>206</v>
      </c>
      <c r="D145" t="s">
        <v>215</v>
      </c>
      <c r="E145" t="s">
        <v>216</v>
      </c>
      <c r="F145" s="23" t="s">
        <v>217</v>
      </c>
      <c r="G145" s="26" t="s">
        <v>234</v>
      </c>
      <c r="H145" s="24">
        <v>364855.63101086416</v>
      </c>
      <c r="I145" s="24">
        <v>143617.64122891673</v>
      </c>
      <c r="J145" s="24">
        <v>243767.27848256554</v>
      </c>
      <c r="K145" s="24">
        <v>220619.38241816152</v>
      </c>
      <c r="L145" s="24">
        <v>243750.07472718536</v>
      </c>
      <c r="M145" s="24">
        <v>244784.85672723068</v>
      </c>
      <c r="N145" s="24">
        <v>228253.20156427665</v>
      </c>
      <c r="O145" s="24">
        <v>271710.43912440026</v>
      </c>
      <c r="P145" s="24">
        <v>353062.2842448178</v>
      </c>
      <c r="Q145" s="24">
        <v>287371.89176839381</v>
      </c>
      <c r="R145" s="24">
        <v>194108.5114125837</v>
      </c>
      <c r="S145" s="24">
        <v>239816.81868865466</v>
      </c>
      <c r="T145" s="22">
        <f t="shared" si="2"/>
        <v>3035718.0113980509</v>
      </c>
    </row>
    <row r="146" spans="1:20" x14ac:dyDescent="0.3">
      <c r="A146" t="s">
        <v>141</v>
      </c>
      <c r="B146" t="s">
        <v>205</v>
      </c>
      <c r="C146" t="s">
        <v>206</v>
      </c>
      <c r="D146" t="s">
        <v>207</v>
      </c>
      <c r="E146" t="s">
        <v>218</v>
      </c>
      <c r="F146" s="23" t="s">
        <v>219</v>
      </c>
      <c r="G146" s="26" t="s">
        <v>234</v>
      </c>
      <c r="H146" s="24">
        <v>3644713.5100363018</v>
      </c>
      <c r="I146" s="24">
        <v>1336114.2231147052</v>
      </c>
      <c r="J146" s="24">
        <v>4538407.8791414406</v>
      </c>
      <c r="K146" s="24">
        <v>3484937.7866932093</v>
      </c>
      <c r="L146" s="24">
        <v>3464844.3325505238</v>
      </c>
      <c r="M146" s="24">
        <v>3373677.7358510061</v>
      </c>
      <c r="N146" s="24">
        <v>3714429.3698967253</v>
      </c>
      <c r="O146" s="24">
        <v>3500128.6534061958</v>
      </c>
      <c r="P146" s="24">
        <v>5431280.6525015458</v>
      </c>
      <c r="Q146" s="24">
        <v>4263138.6609380301</v>
      </c>
      <c r="R146" s="24">
        <v>2590583.4353513541</v>
      </c>
      <c r="S146" s="24">
        <v>4061962.8513790197</v>
      </c>
      <c r="T146" s="22">
        <f t="shared" si="2"/>
        <v>43404219.090860061</v>
      </c>
    </row>
    <row r="147" spans="1:20" x14ac:dyDescent="0.3">
      <c r="A147" t="s">
        <v>141</v>
      </c>
      <c r="B147" t="s">
        <v>205</v>
      </c>
      <c r="C147" t="s">
        <v>206</v>
      </c>
      <c r="D147" t="s">
        <v>207</v>
      </c>
      <c r="E147" t="s">
        <v>218</v>
      </c>
      <c r="F147" s="23" t="s">
        <v>220</v>
      </c>
      <c r="G147" s="26" t="s">
        <v>234</v>
      </c>
      <c r="H147" s="24">
        <v>7067655.5610492313</v>
      </c>
      <c r="I147" s="24">
        <v>2500045.4771193881</v>
      </c>
      <c r="J147" s="24">
        <v>8726104.5377883129</v>
      </c>
      <c r="K147" s="24">
        <v>6583474.6739789685</v>
      </c>
      <c r="L147" s="24">
        <v>6455032.2954676365</v>
      </c>
      <c r="M147" s="24">
        <v>7447880.1337519223</v>
      </c>
      <c r="N147" s="24">
        <v>7004129.8057801891</v>
      </c>
      <c r="O147" s="24">
        <v>6614528.5636698166</v>
      </c>
      <c r="P147" s="24">
        <v>10838068.714352179</v>
      </c>
      <c r="Q147" s="24">
        <v>8246495.8955309261</v>
      </c>
      <c r="R147" s="24">
        <v>4990516.5005577821</v>
      </c>
      <c r="S147" s="24">
        <v>6193590.6305801272</v>
      </c>
      <c r="T147" s="22">
        <f t="shared" si="2"/>
        <v>82667522.789626479</v>
      </c>
    </row>
    <row r="148" spans="1:20" x14ac:dyDescent="0.3">
      <c r="A148" t="s">
        <v>141</v>
      </c>
      <c r="B148" t="s">
        <v>205</v>
      </c>
      <c r="C148" t="s">
        <v>206</v>
      </c>
      <c r="D148" t="s">
        <v>207</v>
      </c>
      <c r="E148" t="s">
        <v>218</v>
      </c>
      <c r="F148" s="23" t="s">
        <v>221</v>
      </c>
      <c r="G148" s="26" t="s">
        <v>234</v>
      </c>
      <c r="H148" s="24">
        <v>3680593.4890727382</v>
      </c>
      <c r="I148" s="24">
        <v>1187541.7706483377</v>
      </c>
      <c r="J148" s="24">
        <v>4547173.916612369</v>
      </c>
      <c r="K148" s="24">
        <v>3615052.7854581401</v>
      </c>
      <c r="L148" s="24">
        <v>3313156.7389033167</v>
      </c>
      <c r="M148" s="24">
        <v>3472682.9383640969</v>
      </c>
      <c r="N148" s="24">
        <v>3908441.7487186026</v>
      </c>
      <c r="O148" s="24">
        <v>3555965.2011117223</v>
      </c>
      <c r="P148" s="24">
        <v>5232903.9725179207</v>
      </c>
      <c r="Q148" s="24">
        <v>4027988.8096826891</v>
      </c>
      <c r="R148" s="24">
        <v>2761278.7720297743</v>
      </c>
      <c r="S148" s="24">
        <v>3274398.3138498953</v>
      </c>
      <c r="T148" s="22">
        <f t="shared" si="2"/>
        <v>42577178.456969604</v>
      </c>
    </row>
    <row r="149" spans="1:20" x14ac:dyDescent="0.3">
      <c r="A149" t="s">
        <v>141</v>
      </c>
      <c r="B149" t="s">
        <v>205</v>
      </c>
      <c r="C149" t="s">
        <v>206</v>
      </c>
      <c r="D149" t="s">
        <v>207</v>
      </c>
      <c r="E149" t="s">
        <v>222</v>
      </c>
      <c r="F149" s="23" t="s">
        <v>223</v>
      </c>
      <c r="G149" s="26" t="s">
        <v>234</v>
      </c>
      <c r="H149" s="24">
        <v>572830.1885386369</v>
      </c>
      <c r="I149" s="24">
        <v>467025.79038730549</v>
      </c>
      <c r="J149" s="24">
        <v>618344.24562035222</v>
      </c>
      <c r="K149" s="24">
        <v>295365.20662757597</v>
      </c>
      <c r="L149" s="24">
        <v>656249.91779650794</v>
      </c>
      <c r="M149" s="24">
        <v>645718.88670172123</v>
      </c>
      <c r="N149" s="24">
        <v>648566.15186094551</v>
      </c>
      <c r="O149" s="24">
        <v>340696.0120010447</v>
      </c>
      <c r="P149" s="24">
        <v>223835.52052061248</v>
      </c>
      <c r="Q149" s="24">
        <v>292267.33372831863</v>
      </c>
      <c r="R149" s="24">
        <v>280483.22876430966</v>
      </c>
      <c r="S149" s="24">
        <v>381967.19760299637</v>
      </c>
      <c r="T149" s="22">
        <f t="shared" si="2"/>
        <v>5423349.6801503282</v>
      </c>
    </row>
    <row r="150" spans="1:20" x14ac:dyDescent="0.3">
      <c r="A150" t="s">
        <v>141</v>
      </c>
      <c r="B150" t="s">
        <v>205</v>
      </c>
      <c r="C150" t="s">
        <v>206</v>
      </c>
      <c r="D150" t="s">
        <v>207</v>
      </c>
      <c r="E150" t="s">
        <v>222</v>
      </c>
      <c r="F150" s="23" t="s">
        <v>224</v>
      </c>
      <c r="G150" s="26" t="s">
        <v>234</v>
      </c>
      <c r="H150" s="24">
        <v>369065.10109337769</v>
      </c>
      <c r="I150" s="24">
        <v>262344.84929411858</v>
      </c>
      <c r="J150" s="24">
        <v>412751.91559782613</v>
      </c>
      <c r="K150" s="24">
        <v>320581.11197712284</v>
      </c>
      <c r="L150" s="24">
        <v>352533.1595642388</v>
      </c>
      <c r="M150" s="24">
        <v>256577.65873637534</v>
      </c>
      <c r="N150" s="24">
        <v>204968.6276574567</v>
      </c>
      <c r="O150" s="24">
        <v>302934.11089849862</v>
      </c>
      <c r="P150" s="24">
        <v>446545.00655848422</v>
      </c>
      <c r="Q150" s="24">
        <v>410724.90364024998</v>
      </c>
      <c r="R150" s="24">
        <v>179011.01073374116</v>
      </c>
      <c r="S150" s="24">
        <v>549511.84744020225</v>
      </c>
      <c r="T150" s="22">
        <f t="shared" si="2"/>
        <v>4067549.3031916921</v>
      </c>
    </row>
    <row r="151" spans="1:20" x14ac:dyDescent="0.3">
      <c r="A151" t="s">
        <v>141</v>
      </c>
      <c r="B151" t="s">
        <v>205</v>
      </c>
      <c r="C151" t="s">
        <v>206</v>
      </c>
      <c r="D151" t="s">
        <v>207</v>
      </c>
      <c r="E151" t="s">
        <v>222</v>
      </c>
      <c r="F151" s="23" t="s">
        <v>225</v>
      </c>
      <c r="G151" s="26" t="s">
        <v>234</v>
      </c>
      <c r="H151" s="24">
        <v>208969.67584082045</v>
      </c>
      <c r="I151" s="24">
        <v>156494.62245784598</v>
      </c>
      <c r="J151" s="24">
        <v>232498.17616594708</v>
      </c>
      <c r="K151" s="24">
        <v>155876.99280806197</v>
      </c>
      <c r="L151" s="24">
        <v>216645.44146011278</v>
      </c>
      <c r="M151" s="24">
        <v>199720.32574759287</v>
      </c>
      <c r="N151" s="24">
        <v>219159.33623356908</v>
      </c>
      <c r="O151" s="24">
        <v>169177.61825312351</v>
      </c>
      <c r="P151" s="24">
        <v>157304.80098837742</v>
      </c>
      <c r="Q151" s="24">
        <v>193254.51377003573</v>
      </c>
      <c r="R151" s="24">
        <v>169951.40750661033</v>
      </c>
      <c r="S151" s="24">
        <v>225295.37368984951</v>
      </c>
      <c r="T151" s="22">
        <f t="shared" si="2"/>
        <v>2304348.2849219469</v>
      </c>
    </row>
    <row r="152" spans="1:20" x14ac:dyDescent="0.3">
      <c r="A152" t="s">
        <v>141</v>
      </c>
      <c r="B152" t="s">
        <v>205</v>
      </c>
      <c r="C152" t="s">
        <v>206</v>
      </c>
      <c r="D152" t="s">
        <v>207</v>
      </c>
      <c r="E152" t="s">
        <v>222</v>
      </c>
      <c r="F152" s="23" t="s">
        <v>226</v>
      </c>
      <c r="G152" s="26" t="s">
        <v>234</v>
      </c>
      <c r="H152" s="24">
        <v>186051.37984717725</v>
      </c>
      <c r="I152" s="24">
        <v>167025.63876699988</v>
      </c>
      <c r="J152" s="24">
        <v>439120.37221104954</v>
      </c>
      <c r="K152" s="24">
        <v>328778.71949625813</v>
      </c>
      <c r="L152" s="24">
        <v>504194.02895802277</v>
      </c>
      <c r="M152" s="24">
        <v>185519.29009303698</v>
      </c>
      <c r="N152" s="24">
        <v>243625.99914841491</v>
      </c>
      <c r="O152" s="24">
        <v>317583.07787229802</v>
      </c>
      <c r="P152" s="24">
        <v>354241.09857587458</v>
      </c>
      <c r="Q152" s="24">
        <v>242609.66986177396</v>
      </c>
      <c r="R152" s="24">
        <v>153952.78128899596</v>
      </c>
      <c r="S152" s="24">
        <v>280584.34951321187</v>
      </c>
      <c r="T152" s="22">
        <f t="shared" si="2"/>
        <v>3403286.4056331138</v>
      </c>
    </row>
    <row r="153" spans="1:20" x14ac:dyDescent="0.3">
      <c r="A153" t="s">
        <v>141</v>
      </c>
      <c r="B153" t="s">
        <v>205</v>
      </c>
      <c r="C153" t="s">
        <v>206</v>
      </c>
      <c r="D153" t="s">
        <v>207</v>
      </c>
      <c r="E153" t="s">
        <v>227</v>
      </c>
      <c r="F153" s="23" t="s">
        <v>228</v>
      </c>
      <c r="G153" s="26" t="s">
        <v>234</v>
      </c>
      <c r="H153" s="24">
        <v>3041958.1264001997</v>
      </c>
      <c r="I153" s="24">
        <v>2084835.5254466357</v>
      </c>
      <c r="J153" s="24">
        <v>5305382.7603223678</v>
      </c>
      <c r="K153" s="24">
        <v>2406123.452036967</v>
      </c>
      <c r="L153" s="24">
        <v>4495359.6834477782</v>
      </c>
      <c r="M153" s="24">
        <v>4559018.626753414</v>
      </c>
      <c r="N153" s="24">
        <v>4617123.0776293352</v>
      </c>
      <c r="O153" s="24">
        <v>4356580.5174863962</v>
      </c>
      <c r="P153" s="24">
        <v>4667769.1280584075</v>
      </c>
      <c r="Q153" s="24">
        <v>4327725.4062375389</v>
      </c>
      <c r="R153" s="24">
        <v>2870354.2093761871</v>
      </c>
      <c r="S153" s="24">
        <v>5114205.0533699505</v>
      </c>
      <c r="T153" s="22">
        <f t="shared" si="2"/>
        <v>47846435.566565186</v>
      </c>
    </row>
    <row r="154" spans="1:20" x14ac:dyDescent="0.3">
      <c r="A154" t="s">
        <v>141</v>
      </c>
      <c r="B154" t="s">
        <v>205</v>
      </c>
      <c r="C154" t="s">
        <v>206</v>
      </c>
      <c r="D154" t="s">
        <v>207</v>
      </c>
      <c r="E154" t="s">
        <v>227</v>
      </c>
      <c r="F154" s="23" t="s">
        <v>229</v>
      </c>
      <c r="G154" s="26" t="s">
        <v>234</v>
      </c>
      <c r="H154" s="24">
        <v>3265123.5655841897</v>
      </c>
      <c r="I154" s="24">
        <v>1785013.6220733463</v>
      </c>
      <c r="J154" s="24">
        <v>5051871.4213976497</v>
      </c>
      <c r="K154" s="24">
        <v>3328733.4502009642</v>
      </c>
      <c r="L154" s="24">
        <v>4158937.5888866833</v>
      </c>
      <c r="M154" s="24">
        <v>4642862.2304864563</v>
      </c>
      <c r="N154" s="24">
        <v>4134525.1268114718</v>
      </c>
      <c r="O154" s="24">
        <v>4705052.8730785437</v>
      </c>
      <c r="P154" s="24">
        <v>5014398.0995703684</v>
      </c>
      <c r="Q154" s="24">
        <v>3742011.8771597105</v>
      </c>
      <c r="R154" s="24">
        <v>2728972.5377962561</v>
      </c>
      <c r="S154" s="24">
        <v>3360531.1606991328</v>
      </c>
      <c r="T154" s="22">
        <f t="shared" si="2"/>
        <v>45918033.553744778</v>
      </c>
    </row>
    <row r="155" spans="1:20" x14ac:dyDescent="0.3">
      <c r="A155" t="s">
        <v>141</v>
      </c>
      <c r="B155" t="s">
        <v>205</v>
      </c>
      <c r="C155" t="s">
        <v>206</v>
      </c>
      <c r="D155" t="s">
        <v>207</v>
      </c>
      <c r="E155" t="s">
        <v>227</v>
      </c>
      <c r="F155" s="23" t="s">
        <v>230</v>
      </c>
      <c r="G155" s="26" t="s">
        <v>234</v>
      </c>
      <c r="H155" s="24">
        <v>858495.53811365692</v>
      </c>
      <c r="I155" s="24">
        <v>517958.72240358498</v>
      </c>
      <c r="J155" s="24">
        <v>1433671.9689613767</v>
      </c>
      <c r="K155" s="24">
        <v>716550.29911783116</v>
      </c>
      <c r="L155" s="24">
        <v>943173.16420845524</v>
      </c>
      <c r="M155" s="24">
        <v>1027194.1760027235</v>
      </c>
      <c r="N155" s="24">
        <v>1452011.3650360717</v>
      </c>
      <c r="O155" s="24">
        <v>1319192.6729683944</v>
      </c>
      <c r="P155" s="24">
        <v>1123697.9895489616</v>
      </c>
      <c r="Q155" s="24">
        <v>892473.78740202344</v>
      </c>
      <c r="R155" s="24">
        <v>820263.0111886838</v>
      </c>
      <c r="S155" s="24">
        <v>867941.4390564831</v>
      </c>
      <c r="T155" s="22">
        <f t="shared" si="2"/>
        <v>11972624.134008244</v>
      </c>
    </row>
    <row r="156" spans="1:20" x14ac:dyDescent="0.3">
      <c r="A156" t="s">
        <v>141</v>
      </c>
      <c r="B156" t="s">
        <v>205</v>
      </c>
      <c r="C156" t="s">
        <v>206</v>
      </c>
      <c r="D156" t="s">
        <v>207</v>
      </c>
      <c r="E156" t="s">
        <v>227</v>
      </c>
      <c r="F156" s="23" t="s">
        <v>231</v>
      </c>
      <c r="G156" s="26" t="s">
        <v>234</v>
      </c>
      <c r="H156" s="24">
        <v>1158615.1081068045</v>
      </c>
      <c r="I156" s="24">
        <v>651115.48825232219</v>
      </c>
      <c r="J156" s="24">
        <v>1806953.0532201554</v>
      </c>
      <c r="K156" s="24">
        <v>1116362.6481182335</v>
      </c>
      <c r="L156" s="24">
        <v>1557385.2805723329</v>
      </c>
      <c r="M156" s="24">
        <v>1421633.5440736904</v>
      </c>
      <c r="N156" s="24">
        <v>1589109.9671176127</v>
      </c>
      <c r="O156" s="24">
        <v>1791477.2082642098</v>
      </c>
      <c r="P156" s="24">
        <v>1551510.5776141661</v>
      </c>
      <c r="Q156" s="24">
        <v>1363117.4106432241</v>
      </c>
      <c r="R156" s="24">
        <v>1025373.16165526</v>
      </c>
      <c r="S156" s="24">
        <v>1809426.1505659926</v>
      </c>
      <c r="T156" s="22">
        <f t="shared" si="2"/>
        <v>16842079.598204002</v>
      </c>
    </row>
    <row r="157" spans="1:20" x14ac:dyDescent="0.3">
      <c r="A157" t="s">
        <v>100</v>
      </c>
      <c r="B157" t="s">
        <v>101</v>
      </c>
      <c r="C157" s="1" t="s">
        <v>103</v>
      </c>
      <c r="D157" s="1" t="s">
        <v>102</v>
      </c>
      <c r="E157" s="2" t="s">
        <v>0</v>
      </c>
      <c r="F157" s="2"/>
      <c r="G157" s="27" t="s">
        <v>233</v>
      </c>
      <c r="H157" s="19">
        <v>0</v>
      </c>
      <c r="I157" s="20">
        <v>0</v>
      </c>
      <c r="J157" s="20">
        <v>1</v>
      </c>
      <c r="K157" s="20">
        <v>1</v>
      </c>
      <c r="L157" s="20">
        <v>0</v>
      </c>
      <c r="M157" s="20">
        <v>1</v>
      </c>
      <c r="N157" s="20">
        <v>1</v>
      </c>
      <c r="O157" s="20">
        <v>0</v>
      </c>
      <c r="P157" s="20">
        <v>1</v>
      </c>
      <c r="Q157" s="20">
        <v>1</v>
      </c>
      <c r="R157" s="20">
        <v>0</v>
      </c>
      <c r="S157" s="21">
        <v>1</v>
      </c>
      <c r="T157" s="22">
        <f>SUM(H157:S157)</f>
        <v>7</v>
      </c>
    </row>
    <row r="158" spans="1:20" x14ac:dyDescent="0.3">
      <c r="A158" t="s">
        <v>100</v>
      </c>
      <c r="B158" t="s">
        <v>101</v>
      </c>
      <c r="C158" t="s">
        <v>103</v>
      </c>
      <c r="D158" t="s">
        <v>102</v>
      </c>
      <c r="E158" s="2" t="s">
        <v>1</v>
      </c>
      <c r="F158" s="2"/>
      <c r="G158" s="27" t="s">
        <v>233</v>
      </c>
      <c r="H158" s="19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1">
        <v>0</v>
      </c>
      <c r="T158" s="22">
        <f t="shared" ref="T158:T221" si="3">SUM(H158:S158)</f>
        <v>0</v>
      </c>
    </row>
    <row r="159" spans="1:20" x14ac:dyDescent="0.3">
      <c r="A159" t="s">
        <v>100</v>
      </c>
      <c r="B159" t="s">
        <v>101</v>
      </c>
      <c r="C159" t="s">
        <v>103</v>
      </c>
      <c r="D159" t="s">
        <v>102</v>
      </c>
      <c r="E159" s="2" t="s">
        <v>2</v>
      </c>
      <c r="F159" s="2"/>
      <c r="G159" s="27" t="s">
        <v>233</v>
      </c>
      <c r="H159" s="19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1">
        <v>0</v>
      </c>
      <c r="T159" s="22">
        <f t="shared" si="3"/>
        <v>0</v>
      </c>
    </row>
    <row r="160" spans="1:20" x14ac:dyDescent="0.3">
      <c r="A160" t="s">
        <v>100</v>
      </c>
      <c r="B160" t="s">
        <v>101</v>
      </c>
      <c r="C160" t="s">
        <v>103</v>
      </c>
      <c r="D160" t="s">
        <v>102</v>
      </c>
      <c r="E160" s="2" t="s">
        <v>3</v>
      </c>
      <c r="F160" s="2"/>
      <c r="G160" s="27" t="s">
        <v>233</v>
      </c>
      <c r="H160" s="19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1">
        <v>0</v>
      </c>
      <c r="T160" s="22">
        <f t="shared" si="3"/>
        <v>0</v>
      </c>
    </row>
    <row r="161" spans="1:20" x14ac:dyDescent="0.3">
      <c r="A161" t="s">
        <v>100</v>
      </c>
      <c r="B161" t="s">
        <v>101</v>
      </c>
      <c r="C161" t="s">
        <v>103</v>
      </c>
      <c r="D161" t="s">
        <v>121</v>
      </c>
      <c r="E161" s="2" t="s">
        <v>4</v>
      </c>
      <c r="F161" s="2"/>
      <c r="G161" s="27" t="s">
        <v>233</v>
      </c>
      <c r="H161" s="19">
        <v>1</v>
      </c>
      <c r="I161" s="20">
        <v>1</v>
      </c>
      <c r="J161" s="20">
        <v>3</v>
      </c>
      <c r="K161" s="20">
        <v>2</v>
      </c>
      <c r="L161" s="20">
        <v>2</v>
      </c>
      <c r="M161" s="20">
        <v>3</v>
      </c>
      <c r="N161" s="20">
        <v>2</v>
      </c>
      <c r="O161" s="20">
        <v>2</v>
      </c>
      <c r="P161" s="20">
        <v>2</v>
      </c>
      <c r="Q161" s="20">
        <v>2</v>
      </c>
      <c r="R161" s="20">
        <v>2</v>
      </c>
      <c r="S161" s="21">
        <v>2</v>
      </c>
      <c r="T161" s="22">
        <f t="shared" si="3"/>
        <v>24</v>
      </c>
    </row>
    <row r="162" spans="1:20" x14ac:dyDescent="0.3">
      <c r="A162" t="s">
        <v>100</v>
      </c>
      <c r="B162" t="s">
        <v>101</v>
      </c>
      <c r="C162" t="s">
        <v>103</v>
      </c>
      <c r="D162" t="s">
        <v>121</v>
      </c>
      <c r="E162" s="2" t="s">
        <v>5</v>
      </c>
      <c r="F162" s="2"/>
      <c r="G162" s="27" t="s">
        <v>233</v>
      </c>
      <c r="H162" s="19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1">
        <v>0</v>
      </c>
      <c r="T162" s="22">
        <f t="shared" si="3"/>
        <v>0</v>
      </c>
    </row>
    <row r="163" spans="1:20" x14ac:dyDescent="0.3">
      <c r="A163" t="s">
        <v>100</v>
      </c>
      <c r="B163" t="s">
        <v>101</v>
      </c>
      <c r="C163" t="s">
        <v>103</v>
      </c>
      <c r="D163" t="s">
        <v>6</v>
      </c>
      <c r="E163" s="3" t="s">
        <v>104</v>
      </c>
      <c r="F163" s="3"/>
      <c r="G163" s="27" t="s">
        <v>233</v>
      </c>
      <c r="H163" s="19">
        <v>9</v>
      </c>
      <c r="I163" s="20">
        <v>5</v>
      </c>
      <c r="J163" s="20">
        <v>8</v>
      </c>
      <c r="K163" s="20">
        <v>8</v>
      </c>
      <c r="L163" s="20">
        <v>12</v>
      </c>
      <c r="M163" s="20">
        <v>12</v>
      </c>
      <c r="N163" s="20">
        <v>8</v>
      </c>
      <c r="O163" s="20">
        <v>10</v>
      </c>
      <c r="P163" s="20">
        <v>12</v>
      </c>
      <c r="Q163" s="20">
        <v>6</v>
      </c>
      <c r="R163" s="20">
        <v>12</v>
      </c>
      <c r="S163" s="21">
        <v>13</v>
      </c>
      <c r="T163" s="22">
        <f t="shared" si="3"/>
        <v>115</v>
      </c>
    </row>
    <row r="164" spans="1:20" x14ac:dyDescent="0.3">
      <c r="A164" t="s">
        <v>100</v>
      </c>
      <c r="B164" t="s">
        <v>101</v>
      </c>
      <c r="C164" t="s">
        <v>103</v>
      </c>
      <c r="D164" t="s">
        <v>6</v>
      </c>
      <c r="E164" s="3" t="s">
        <v>7</v>
      </c>
      <c r="F164" s="3"/>
      <c r="G164" s="27" t="s">
        <v>233</v>
      </c>
      <c r="H164" s="19">
        <v>0</v>
      </c>
      <c r="I164" s="20">
        <v>3</v>
      </c>
      <c r="J164" s="20">
        <v>4</v>
      </c>
      <c r="K164" s="20">
        <v>2</v>
      </c>
      <c r="L164" s="20">
        <v>3</v>
      </c>
      <c r="M164" s="20">
        <v>2</v>
      </c>
      <c r="N164" s="20">
        <v>2</v>
      </c>
      <c r="O164" s="20">
        <v>3</v>
      </c>
      <c r="P164" s="20">
        <v>2</v>
      </c>
      <c r="Q164" s="20">
        <v>2</v>
      </c>
      <c r="R164" s="20">
        <v>3</v>
      </c>
      <c r="S164" s="21">
        <v>2</v>
      </c>
      <c r="T164" s="22">
        <f t="shared" si="3"/>
        <v>28</v>
      </c>
    </row>
    <row r="165" spans="1:20" x14ac:dyDescent="0.3">
      <c r="A165" t="s">
        <v>100</v>
      </c>
      <c r="B165" t="s">
        <v>101</v>
      </c>
      <c r="C165" t="s">
        <v>103</v>
      </c>
      <c r="D165" t="s">
        <v>6</v>
      </c>
      <c r="E165" s="3" t="s">
        <v>8</v>
      </c>
      <c r="F165" s="3"/>
      <c r="G165" s="27" t="s">
        <v>233</v>
      </c>
      <c r="H165" s="19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1">
        <v>0</v>
      </c>
      <c r="T165" s="22">
        <f t="shared" si="3"/>
        <v>0</v>
      </c>
    </row>
    <row r="166" spans="1:20" x14ac:dyDescent="0.3">
      <c r="A166" t="s">
        <v>100</v>
      </c>
      <c r="B166" t="s">
        <v>101</v>
      </c>
      <c r="C166" t="s">
        <v>103</v>
      </c>
      <c r="D166" t="s">
        <v>6</v>
      </c>
      <c r="E166" s="3" t="s">
        <v>9</v>
      </c>
      <c r="F166" s="3"/>
      <c r="G166" s="27" t="s">
        <v>233</v>
      </c>
      <c r="H166" s="19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1">
        <v>0</v>
      </c>
      <c r="T166" s="22">
        <f t="shared" si="3"/>
        <v>0</v>
      </c>
    </row>
    <row r="167" spans="1:20" x14ac:dyDescent="0.3">
      <c r="A167" t="s">
        <v>100</v>
      </c>
      <c r="B167" t="s">
        <v>101</v>
      </c>
      <c r="C167" t="s">
        <v>103</v>
      </c>
      <c r="D167" t="s">
        <v>6</v>
      </c>
      <c r="E167" s="3" t="s">
        <v>10</v>
      </c>
      <c r="F167" s="3"/>
      <c r="G167" s="27" t="s">
        <v>233</v>
      </c>
      <c r="H167" s="19">
        <v>3</v>
      </c>
      <c r="I167" s="20">
        <v>8</v>
      </c>
      <c r="J167" s="20">
        <v>11</v>
      </c>
      <c r="K167" s="20">
        <v>8</v>
      </c>
      <c r="L167" s="20">
        <v>8</v>
      </c>
      <c r="M167" s="20">
        <v>8</v>
      </c>
      <c r="N167" s="20">
        <v>9</v>
      </c>
      <c r="O167" s="20">
        <v>8</v>
      </c>
      <c r="P167" s="20">
        <v>9</v>
      </c>
      <c r="Q167" s="20">
        <v>10</v>
      </c>
      <c r="R167" s="20">
        <v>10</v>
      </c>
      <c r="S167" s="21">
        <v>10</v>
      </c>
      <c r="T167" s="22">
        <f t="shared" si="3"/>
        <v>102</v>
      </c>
    </row>
    <row r="168" spans="1:20" x14ac:dyDescent="0.3">
      <c r="A168" t="s">
        <v>100</v>
      </c>
      <c r="B168" t="s">
        <v>101</v>
      </c>
      <c r="C168" t="s">
        <v>103</v>
      </c>
      <c r="D168" t="s">
        <v>6</v>
      </c>
      <c r="E168" s="3" t="s">
        <v>11</v>
      </c>
      <c r="F168" s="3"/>
      <c r="G168" s="27" t="s">
        <v>233</v>
      </c>
      <c r="H168" s="19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1">
        <v>0</v>
      </c>
      <c r="T168" s="22">
        <f t="shared" si="3"/>
        <v>0</v>
      </c>
    </row>
    <row r="169" spans="1:20" x14ac:dyDescent="0.3">
      <c r="A169" t="s">
        <v>100</v>
      </c>
      <c r="B169" t="s">
        <v>101</v>
      </c>
      <c r="C169" t="s">
        <v>103</v>
      </c>
      <c r="D169" t="s">
        <v>118</v>
      </c>
      <c r="E169" s="3" t="s">
        <v>12</v>
      </c>
      <c r="F169" s="3"/>
      <c r="G169" s="27" t="s">
        <v>233</v>
      </c>
      <c r="H169" s="19">
        <v>0</v>
      </c>
      <c r="I169" s="20">
        <v>2</v>
      </c>
      <c r="J169" s="20">
        <v>5</v>
      </c>
      <c r="K169" s="20">
        <v>3</v>
      </c>
      <c r="L169" s="20">
        <v>3</v>
      </c>
      <c r="M169" s="20">
        <v>4</v>
      </c>
      <c r="N169" s="20">
        <v>3</v>
      </c>
      <c r="O169" s="20">
        <v>3</v>
      </c>
      <c r="P169" s="20">
        <v>5</v>
      </c>
      <c r="Q169" s="20">
        <v>3</v>
      </c>
      <c r="R169" s="20">
        <v>4</v>
      </c>
      <c r="S169" s="21">
        <v>5</v>
      </c>
      <c r="T169" s="22">
        <f t="shared" si="3"/>
        <v>40</v>
      </c>
    </row>
    <row r="170" spans="1:20" x14ac:dyDescent="0.3">
      <c r="A170" t="s">
        <v>100</v>
      </c>
      <c r="B170" t="s">
        <v>110</v>
      </c>
      <c r="C170" t="s">
        <v>103</v>
      </c>
      <c r="D170" t="s">
        <v>105</v>
      </c>
      <c r="E170" s="2" t="s">
        <v>107</v>
      </c>
      <c r="F170" s="2"/>
      <c r="G170" s="27" t="s">
        <v>233</v>
      </c>
      <c r="H170" s="19">
        <v>363</v>
      </c>
      <c r="I170" s="20">
        <v>293</v>
      </c>
      <c r="J170" s="20">
        <v>516</v>
      </c>
      <c r="K170" s="20">
        <v>473</v>
      </c>
      <c r="L170" s="20">
        <v>487</v>
      </c>
      <c r="M170" s="20">
        <v>472</v>
      </c>
      <c r="N170" s="20">
        <v>398</v>
      </c>
      <c r="O170" s="20">
        <v>398</v>
      </c>
      <c r="P170" s="20">
        <v>529</v>
      </c>
      <c r="Q170" s="20">
        <v>493</v>
      </c>
      <c r="R170" s="20">
        <v>523</v>
      </c>
      <c r="S170" s="21">
        <v>479</v>
      </c>
      <c r="T170" s="22">
        <f t="shared" si="3"/>
        <v>5424</v>
      </c>
    </row>
    <row r="171" spans="1:20" x14ac:dyDescent="0.3">
      <c r="A171" t="s">
        <v>100</v>
      </c>
      <c r="B171" t="s">
        <v>106</v>
      </c>
      <c r="C171" t="s">
        <v>103</v>
      </c>
      <c r="D171" t="s">
        <v>105</v>
      </c>
      <c r="E171" s="2" t="s">
        <v>13</v>
      </c>
      <c r="F171" s="2"/>
      <c r="G171" s="27" t="s">
        <v>233</v>
      </c>
      <c r="H171" s="19">
        <v>159</v>
      </c>
      <c r="I171" s="20">
        <v>128</v>
      </c>
      <c r="J171" s="20">
        <v>225</v>
      </c>
      <c r="K171" s="20">
        <v>207</v>
      </c>
      <c r="L171" s="20">
        <v>213</v>
      </c>
      <c r="M171" s="20">
        <v>206</v>
      </c>
      <c r="N171" s="20">
        <v>174</v>
      </c>
      <c r="O171" s="20">
        <v>174</v>
      </c>
      <c r="P171" s="20">
        <v>231</v>
      </c>
      <c r="Q171" s="20">
        <v>215</v>
      </c>
      <c r="R171" s="20">
        <v>229</v>
      </c>
      <c r="S171" s="21">
        <v>209</v>
      </c>
      <c r="T171" s="22">
        <f t="shared" si="3"/>
        <v>2370</v>
      </c>
    </row>
    <row r="172" spans="1:20" x14ac:dyDescent="0.3">
      <c r="A172" t="s">
        <v>100</v>
      </c>
      <c r="B172" t="s">
        <v>106</v>
      </c>
      <c r="C172" t="s">
        <v>103</v>
      </c>
      <c r="D172" t="s">
        <v>105</v>
      </c>
      <c r="E172" s="2" t="s">
        <v>14</v>
      </c>
      <c r="F172" s="2"/>
      <c r="G172" s="27" t="s">
        <v>233</v>
      </c>
      <c r="H172" s="19">
        <v>5</v>
      </c>
      <c r="I172" s="20">
        <v>4</v>
      </c>
      <c r="J172" s="20">
        <v>7</v>
      </c>
      <c r="K172" s="20">
        <v>6</v>
      </c>
      <c r="L172" s="20">
        <v>6</v>
      </c>
      <c r="M172" s="20">
        <v>5</v>
      </c>
      <c r="N172" s="20">
        <v>5</v>
      </c>
      <c r="O172" s="20">
        <v>5</v>
      </c>
      <c r="P172" s="20">
        <v>6</v>
      </c>
      <c r="Q172" s="20">
        <v>6</v>
      </c>
      <c r="R172" s="20">
        <v>7</v>
      </c>
      <c r="S172" s="21">
        <v>6</v>
      </c>
      <c r="T172" s="22">
        <f t="shared" si="3"/>
        <v>68</v>
      </c>
    </row>
    <row r="173" spans="1:20" x14ac:dyDescent="0.3">
      <c r="A173" t="s">
        <v>100</v>
      </c>
      <c r="B173" t="s">
        <v>106</v>
      </c>
      <c r="C173" t="s">
        <v>103</v>
      </c>
      <c r="D173" t="s">
        <v>105</v>
      </c>
      <c r="E173" s="2" t="s">
        <v>15</v>
      </c>
      <c r="F173" s="2"/>
      <c r="G173" s="27" t="s">
        <v>233</v>
      </c>
      <c r="H173" s="19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1">
        <v>0</v>
      </c>
      <c r="T173" s="22">
        <f t="shared" si="3"/>
        <v>0</v>
      </c>
    </row>
    <row r="174" spans="1:20" x14ac:dyDescent="0.3">
      <c r="A174" t="s">
        <v>100</v>
      </c>
      <c r="B174" t="s">
        <v>110</v>
      </c>
      <c r="C174" t="s">
        <v>103</v>
      </c>
      <c r="D174" t="s">
        <v>122</v>
      </c>
      <c r="E174" s="2" t="s">
        <v>16</v>
      </c>
      <c r="F174" s="2"/>
      <c r="G174" s="27" t="s">
        <v>233</v>
      </c>
      <c r="H174" s="19">
        <v>6315</v>
      </c>
      <c r="I174" s="20">
        <v>4287</v>
      </c>
      <c r="J174" s="20">
        <v>6544</v>
      </c>
      <c r="K174" s="20">
        <v>6380</v>
      </c>
      <c r="L174" s="20">
        <v>6574</v>
      </c>
      <c r="M174" s="20">
        <v>6380</v>
      </c>
      <c r="N174" s="20">
        <v>5572</v>
      </c>
      <c r="O174" s="20">
        <v>5572</v>
      </c>
      <c r="P174" s="20">
        <v>7430</v>
      </c>
      <c r="Q174" s="20">
        <v>6912</v>
      </c>
      <c r="R174" s="20">
        <v>7331</v>
      </c>
      <c r="S174" s="21">
        <v>6703</v>
      </c>
      <c r="T174" s="22">
        <f t="shared" si="3"/>
        <v>76000</v>
      </c>
    </row>
    <row r="175" spans="1:20" x14ac:dyDescent="0.3">
      <c r="A175" t="s">
        <v>100</v>
      </c>
      <c r="B175" t="s">
        <v>110</v>
      </c>
      <c r="C175" t="s">
        <v>103</v>
      </c>
      <c r="D175" t="s">
        <v>122</v>
      </c>
      <c r="E175" s="2" t="s">
        <v>17</v>
      </c>
      <c r="F175" s="2"/>
      <c r="G175" s="27" t="s">
        <v>233</v>
      </c>
      <c r="H175" s="19">
        <v>420</v>
      </c>
      <c r="I175" s="20">
        <v>339</v>
      </c>
      <c r="J175" s="20">
        <v>595</v>
      </c>
      <c r="K175" s="20">
        <v>504</v>
      </c>
      <c r="L175" s="20">
        <v>519</v>
      </c>
      <c r="M175" s="20">
        <v>503</v>
      </c>
      <c r="N175" s="20">
        <v>440</v>
      </c>
      <c r="O175" s="20">
        <v>440</v>
      </c>
      <c r="P175" s="20">
        <v>586</v>
      </c>
      <c r="Q175" s="20">
        <v>546</v>
      </c>
      <c r="R175" s="20">
        <v>579</v>
      </c>
      <c r="S175" s="21">
        <v>529</v>
      </c>
      <c r="T175" s="22">
        <f t="shared" si="3"/>
        <v>6000</v>
      </c>
    </row>
    <row r="176" spans="1:20" x14ac:dyDescent="0.3">
      <c r="A176" t="s">
        <v>100</v>
      </c>
      <c r="B176" t="s">
        <v>110</v>
      </c>
      <c r="C176" t="s">
        <v>103</v>
      </c>
      <c r="D176" t="s">
        <v>18</v>
      </c>
      <c r="E176" s="2" t="s">
        <v>19</v>
      </c>
      <c r="F176" s="2"/>
      <c r="G176" s="27" t="s">
        <v>233</v>
      </c>
      <c r="H176" s="19">
        <v>34548</v>
      </c>
      <c r="I176" s="20">
        <v>27862</v>
      </c>
      <c r="J176" s="20">
        <v>49036</v>
      </c>
      <c r="K176" s="20">
        <v>41472</v>
      </c>
      <c r="L176" s="20">
        <v>42729</v>
      </c>
      <c r="M176" s="20">
        <v>41473</v>
      </c>
      <c r="N176" s="20">
        <v>36220</v>
      </c>
      <c r="O176" s="20">
        <v>36220</v>
      </c>
      <c r="P176" s="20">
        <v>48294</v>
      </c>
      <c r="Q176" s="20">
        <v>44928</v>
      </c>
      <c r="R176" s="20">
        <v>47651</v>
      </c>
      <c r="S176" s="21">
        <v>43567</v>
      </c>
      <c r="T176" s="22">
        <f t="shared" si="3"/>
        <v>494000</v>
      </c>
    </row>
    <row r="177" spans="1:20" x14ac:dyDescent="0.3">
      <c r="A177" t="s">
        <v>100</v>
      </c>
      <c r="B177" t="s">
        <v>110</v>
      </c>
      <c r="C177" t="s">
        <v>103</v>
      </c>
      <c r="D177" t="s">
        <v>18</v>
      </c>
      <c r="E177" s="2" t="s">
        <v>20</v>
      </c>
      <c r="F177" s="2"/>
      <c r="G177" s="27" t="s">
        <v>233</v>
      </c>
      <c r="H177" s="19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1">
        <v>0</v>
      </c>
      <c r="T177" s="22">
        <f t="shared" si="3"/>
        <v>0</v>
      </c>
    </row>
    <row r="178" spans="1:20" x14ac:dyDescent="0.3">
      <c r="A178" t="s">
        <v>100</v>
      </c>
      <c r="B178" t="s">
        <v>110</v>
      </c>
      <c r="C178" t="s">
        <v>103</v>
      </c>
      <c r="D178" t="s">
        <v>18</v>
      </c>
      <c r="E178" s="2" t="s">
        <v>21</v>
      </c>
      <c r="F178" s="2"/>
      <c r="G178" s="27" t="s">
        <v>233</v>
      </c>
      <c r="H178" s="19">
        <v>6819</v>
      </c>
      <c r="I178" s="20">
        <v>5499</v>
      </c>
      <c r="J178" s="20">
        <v>9678</v>
      </c>
      <c r="K178" s="20">
        <v>8185</v>
      </c>
      <c r="L178" s="20">
        <v>8433</v>
      </c>
      <c r="M178" s="20">
        <v>8186</v>
      </c>
      <c r="N178" s="20">
        <v>6091</v>
      </c>
      <c r="O178" s="20">
        <v>6091</v>
      </c>
      <c r="P178" s="20">
        <v>8122</v>
      </c>
      <c r="Q178" s="20">
        <v>7556</v>
      </c>
      <c r="R178" s="20">
        <v>8014</v>
      </c>
      <c r="S178" s="21">
        <v>7326</v>
      </c>
      <c r="T178" s="22">
        <f t="shared" si="3"/>
        <v>90000</v>
      </c>
    </row>
    <row r="179" spans="1:20" x14ac:dyDescent="0.3">
      <c r="A179" t="s">
        <v>100</v>
      </c>
      <c r="B179" t="s">
        <v>110</v>
      </c>
      <c r="C179" t="s">
        <v>103</v>
      </c>
      <c r="D179" t="s">
        <v>18</v>
      </c>
      <c r="E179" s="2" t="s">
        <v>22</v>
      </c>
      <c r="F179" s="2"/>
      <c r="G179" s="27" t="s">
        <v>233</v>
      </c>
      <c r="H179" s="19">
        <v>2743</v>
      </c>
      <c r="I179" s="20">
        <v>2212</v>
      </c>
      <c r="J179" s="20">
        <v>3893</v>
      </c>
      <c r="K179" s="20">
        <v>3293</v>
      </c>
      <c r="L179" s="20">
        <v>3393</v>
      </c>
      <c r="M179" s="20">
        <v>3292</v>
      </c>
      <c r="N179" s="20">
        <v>2876</v>
      </c>
      <c r="O179" s="20">
        <v>2876</v>
      </c>
      <c r="P179" s="20">
        <v>3834</v>
      </c>
      <c r="Q179" s="20">
        <v>3567</v>
      </c>
      <c r="R179" s="20">
        <v>3783</v>
      </c>
      <c r="S179" s="21">
        <v>3459.8407000000002</v>
      </c>
      <c r="T179" s="22">
        <f t="shared" si="3"/>
        <v>39221.840700000001</v>
      </c>
    </row>
    <row r="180" spans="1:20" x14ac:dyDescent="0.3">
      <c r="A180" t="s">
        <v>100</v>
      </c>
      <c r="B180" t="s">
        <v>110</v>
      </c>
      <c r="C180" t="s">
        <v>103</v>
      </c>
      <c r="D180" t="s">
        <v>18</v>
      </c>
      <c r="E180" s="2" t="s">
        <v>23</v>
      </c>
      <c r="F180" s="2"/>
      <c r="G180" s="27" t="s">
        <v>233</v>
      </c>
      <c r="H180" s="19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1">
        <v>0</v>
      </c>
      <c r="T180" s="22">
        <f t="shared" si="3"/>
        <v>0</v>
      </c>
    </row>
    <row r="181" spans="1:20" x14ac:dyDescent="0.3">
      <c r="A181" t="s">
        <v>100</v>
      </c>
      <c r="B181" t="s">
        <v>110</v>
      </c>
      <c r="C181" t="s">
        <v>103</v>
      </c>
      <c r="D181" t="s">
        <v>18</v>
      </c>
      <c r="E181" s="2" t="s">
        <v>108</v>
      </c>
      <c r="F181" s="2"/>
      <c r="G181" s="27" t="s">
        <v>233</v>
      </c>
      <c r="H181" s="19">
        <v>1023</v>
      </c>
      <c r="I181" s="20">
        <v>825</v>
      </c>
      <c r="J181" s="20">
        <v>1451</v>
      </c>
      <c r="K181" s="20">
        <v>1228</v>
      </c>
      <c r="L181" s="20">
        <v>1265</v>
      </c>
      <c r="M181" s="20">
        <v>1227</v>
      </c>
      <c r="N181" s="20">
        <v>1072</v>
      </c>
      <c r="O181" s="20">
        <v>1072</v>
      </c>
      <c r="P181" s="20">
        <v>1430</v>
      </c>
      <c r="Q181" s="20">
        <v>1330</v>
      </c>
      <c r="R181" s="20">
        <v>1411</v>
      </c>
      <c r="S181" s="21">
        <v>1289</v>
      </c>
      <c r="T181" s="22">
        <f t="shared" si="3"/>
        <v>14623</v>
      </c>
    </row>
    <row r="182" spans="1:20" x14ac:dyDescent="0.3">
      <c r="A182" t="s">
        <v>100</v>
      </c>
      <c r="B182" t="s">
        <v>110</v>
      </c>
      <c r="C182" t="s">
        <v>103</v>
      </c>
      <c r="D182" t="s">
        <v>24</v>
      </c>
      <c r="E182" s="2" t="s">
        <v>25</v>
      </c>
      <c r="F182" s="2"/>
      <c r="G182" s="27" t="s">
        <v>233</v>
      </c>
      <c r="H182" s="19">
        <v>718</v>
      </c>
      <c r="I182" s="20">
        <v>579</v>
      </c>
      <c r="J182" s="20">
        <v>1020</v>
      </c>
      <c r="K182" s="20">
        <v>862</v>
      </c>
      <c r="L182" s="20">
        <v>888</v>
      </c>
      <c r="M182" s="20">
        <v>863</v>
      </c>
      <c r="N182" s="20">
        <v>753</v>
      </c>
      <c r="O182" s="20">
        <v>753</v>
      </c>
      <c r="P182" s="20">
        <v>1004</v>
      </c>
      <c r="Q182" s="20">
        <v>934</v>
      </c>
      <c r="R182" s="20">
        <v>991</v>
      </c>
      <c r="S182" s="21">
        <v>905.8</v>
      </c>
      <c r="T182" s="22">
        <f t="shared" si="3"/>
        <v>10270.799999999999</v>
      </c>
    </row>
    <row r="183" spans="1:20" x14ac:dyDescent="0.3">
      <c r="A183" t="s">
        <v>100</v>
      </c>
      <c r="B183" t="s">
        <v>110</v>
      </c>
      <c r="C183" t="s">
        <v>103</v>
      </c>
      <c r="D183" t="s">
        <v>24</v>
      </c>
      <c r="E183" s="2" t="s">
        <v>109</v>
      </c>
      <c r="F183" s="2"/>
      <c r="G183" s="27" t="s">
        <v>233</v>
      </c>
      <c r="H183" s="19">
        <v>10</v>
      </c>
      <c r="I183" s="20">
        <v>8</v>
      </c>
      <c r="J183" s="20">
        <v>13</v>
      </c>
      <c r="K183" s="20">
        <v>11</v>
      </c>
      <c r="L183" s="20">
        <v>12</v>
      </c>
      <c r="M183" s="20">
        <v>11</v>
      </c>
      <c r="N183" s="20">
        <v>10</v>
      </c>
      <c r="O183" s="20">
        <v>10</v>
      </c>
      <c r="P183" s="20">
        <v>13</v>
      </c>
      <c r="Q183" s="20">
        <v>12</v>
      </c>
      <c r="R183" s="20">
        <v>13</v>
      </c>
      <c r="S183" s="21">
        <v>12</v>
      </c>
      <c r="T183" s="22">
        <f t="shared" si="3"/>
        <v>135</v>
      </c>
    </row>
    <row r="184" spans="1:20" x14ac:dyDescent="0.3">
      <c r="A184" t="s">
        <v>100</v>
      </c>
      <c r="B184" t="s">
        <v>110</v>
      </c>
      <c r="C184" t="s">
        <v>103</v>
      </c>
      <c r="D184" t="s">
        <v>24</v>
      </c>
      <c r="E184" s="4" t="s">
        <v>26</v>
      </c>
      <c r="F184" s="4"/>
      <c r="G184" s="27" t="s">
        <v>233</v>
      </c>
      <c r="H184" s="19">
        <v>196</v>
      </c>
      <c r="I184" s="20">
        <v>158</v>
      </c>
      <c r="J184" s="20">
        <v>278</v>
      </c>
      <c r="K184" s="20">
        <v>235</v>
      </c>
      <c r="L184" s="20">
        <v>242</v>
      </c>
      <c r="M184" s="20">
        <v>235</v>
      </c>
      <c r="N184" s="20">
        <v>205</v>
      </c>
      <c r="O184" s="20">
        <v>205</v>
      </c>
      <c r="P184" s="20">
        <v>274</v>
      </c>
      <c r="Q184" s="20">
        <v>255</v>
      </c>
      <c r="R184" s="20">
        <v>270</v>
      </c>
      <c r="S184" s="21">
        <v>247</v>
      </c>
      <c r="T184" s="22">
        <f t="shared" si="3"/>
        <v>2800</v>
      </c>
    </row>
    <row r="185" spans="1:20" x14ac:dyDescent="0.3">
      <c r="A185" t="s">
        <v>100</v>
      </c>
      <c r="B185" t="s">
        <v>110</v>
      </c>
      <c r="C185" t="s">
        <v>103</v>
      </c>
      <c r="D185" t="s">
        <v>24</v>
      </c>
      <c r="E185" s="2" t="s">
        <v>27</v>
      </c>
      <c r="F185" s="2"/>
      <c r="G185" s="27" t="s">
        <v>233</v>
      </c>
      <c r="H185" s="19">
        <v>1609</v>
      </c>
      <c r="I185" s="20">
        <v>1297</v>
      </c>
      <c r="J185" s="20">
        <v>2283</v>
      </c>
      <c r="K185" s="20">
        <v>1931</v>
      </c>
      <c r="L185" s="20">
        <v>1989</v>
      </c>
      <c r="M185" s="20">
        <v>1931</v>
      </c>
      <c r="N185" s="20">
        <v>1686</v>
      </c>
      <c r="O185" s="20">
        <v>1686</v>
      </c>
      <c r="P185" s="20">
        <v>2249</v>
      </c>
      <c r="Q185" s="20">
        <v>2092</v>
      </c>
      <c r="R185" s="20">
        <v>2219</v>
      </c>
      <c r="S185" s="21">
        <v>2028</v>
      </c>
      <c r="T185" s="22">
        <f t="shared" si="3"/>
        <v>23000</v>
      </c>
    </row>
    <row r="186" spans="1:20" x14ac:dyDescent="0.3">
      <c r="A186" t="s">
        <v>100</v>
      </c>
      <c r="B186" t="s">
        <v>110</v>
      </c>
      <c r="C186" t="s">
        <v>103</v>
      </c>
      <c r="D186" t="s">
        <v>24</v>
      </c>
      <c r="E186" s="2" t="s">
        <v>28</v>
      </c>
      <c r="F186" s="2"/>
      <c r="G186" s="27" t="s">
        <v>233</v>
      </c>
      <c r="H186" s="19">
        <v>3637</v>
      </c>
      <c r="I186" s="20">
        <v>2933</v>
      </c>
      <c r="J186" s="20">
        <v>5161</v>
      </c>
      <c r="K186" s="20">
        <v>4366</v>
      </c>
      <c r="L186" s="20">
        <v>4498</v>
      </c>
      <c r="M186" s="20">
        <v>4365</v>
      </c>
      <c r="N186" s="20">
        <v>3813</v>
      </c>
      <c r="O186" s="20">
        <v>3813</v>
      </c>
      <c r="P186" s="20">
        <v>5083</v>
      </c>
      <c r="Q186" s="20">
        <v>4729</v>
      </c>
      <c r="R186" s="20">
        <v>5016</v>
      </c>
      <c r="S186" s="21">
        <v>4586</v>
      </c>
      <c r="T186" s="22">
        <f t="shared" si="3"/>
        <v>52000</v>
      </c>
    </row>
    <row r="187" spans="1:20" x14ac:dyDescent="0.3">
      <c r="A187" t="s">
        <v>100</v>
      </c>
      <c r="B187" t="s">
        <v>110</v>
      </c>
      <c r="C187" t="s">
        <v>103</v>
      </c>
      <c r="D187" t="s">
        <v>123</v>
      </c>
      <c r="E187" s="5" t="s">
        <v>29</v>
      </c>
      <c r="F187" s="5"/>
      <c r="G187" s="27" t="s">
        <v>233</v>
      </c>
      <c r="H187" s="19">
        <v>32660</v>
      </c>
      <c r="I187" s="20">
        <v>26339</v>
      </c>
      <c r="J187" s="20">
        <v>46356</v>
      </c>
      <c r="K187" s="20">
        <v>39206</v>
      </c>
      <c r="L187" s="20">
        <v>40394</v>
      </c>
      <c r="M187" s="20">
        <v>39205</v>
      </c>
      <c r="N187" s="20">
        <v>34241</v>
      </c>
      <c r="O187" s="20">
        <v>34241</v>
      </c>
      <c r="P187" s="20">
        <v>45653</v>
      </c>
      <c r="Q187" s="20">
        <v>42473</v>
      </c>
      <c r="R187" s="20">
        <v>45047</v>
      </c>
      <c r="S187" s="21">
        <v>41185</v>
      </c>
      <c r="T187" s="22">
        <f t="shared" si="3"/>
        <v>467000</v>
      </c>
    </row>
    <row r="188" spans="1:20" x14ac:dyDescent="0.3">
      <c r="A188" t="s">
        <v>100</v>
      </c>
      <c r="B188" t="s">
        <v>110</v>
      </c>
      <c r="C188" t="s">
        <v>103</v>
      </c>
      <c r="D188" t="s">
        <v>123</v>
      </c>
      <c r="E188" s="5" t="s">
        <v>30</v>
      </c>
      <c r="F188" s="5"/>
      <c r="G188" s="27" t="s">
        <v>233</v>
      </c>
      <c r="H188" s="19">
        <v>129</v>
      </c>
      <c r="I188" s="20">
        <v>104</v>
      </c>
      <c r="J188" s="20">
        <v>184</v>
      </c>
      <c r="K188" s="20">
        <v>155</v>
      </c>
      <c r="L188" s="20">
        <v>160</v>
      </c>
      <c r="M188" s="20">
        <v>156</v>
      </c>
      <c r="N188" s="20">
        <v>136</v>
      </c>
      <c r="O188" s="20">
        <v>136</v>
      </c>
      <c r="P188" s="20">
        <v>180</v>
      </c>
      <c r="Q188" s="20">
        <v>168</v>
      </c>
      <c r="R188" s="20">
        <v>179</v>
      </c>
      <c r="S188" s="21">
        <v>163</v>
      </c>
      <c r="T188" s="22">
        <f t="shared" si="3"/>
        <v>1850</v>
      </c>
    </row>
    <row r="189" spans="1:20" x14ac:dyDescent="0.3">
      <c r="A189" t="s">
        <v>100</v>
      </c>
      <c r="B189" t="s">
        <v>110</v>
      </c>
      <c r="C189" t="s">
        <v>103</v>
      </c>
      <c r="D189" t="s">
        <v>124</v>
      </c>
      <c r="E189" s="4" t="s">
        <v>31</v>
      </c>
      <c r="F189" s="4"/>
      <c r="G189" s="27" t="s">
        <v>233</v>
      </c>
      <c r="H189" s="19">
        <v>17047</v>
      </c>
      <c r="I189" s="20">
        <v>13748</v>
      </c>
      <c r="J189" s="20">
        <v>24195</v>
      </c>
      <c r="K189" s="20">
        <v>20463</v>
      </c>
      <c r="L189" s="20">
        <v>21083</v>
      </c>
      <c r="M189" s="20">
        <v>20464</v>
      </c>
      <c r="N189" s="20">
        <v>20163</v>
      </c>
      <c r="O189" s="20">
        <v>20163</v>
      </c>
      <c r="P189" s="20">
        <v>26884</v>
      </c>
      <c r="Q189" s="20">
        <v>25011</v>
      </c>
      <c r="R189" s="20">
        <v>26527</v>
      </c>
      <c r="S189" s="21">
        <v>24252</v>
      </c>
      <c r="T189" s="22">
        <f t="shared" si="3"/>
        <v>260000</v>
      </c>
    </row>
    <row r="190" spans="1:20" x14ac:dyDescent="0.3">
      <c r="A190" t="s">
        <v>100</v>
      </c>
      <c r="B190" t="s">
        <v>125</v>
      </c>
      <c r="C190" t="s">
        <v>103</v>
      </c>
      <c r="D190" t="s">
        <v>126</v>
      </c>
      <c r="E190" s="4" t="s">
        <v>32</v>
      </c>
      <c r="F190" s="4"/>
      <c r="G190" s="27" t="s">
        <v>233</v>
      </c>
      <c r="H190" s="19">
        <v>0</v>
      </c>
      <c r="I190" s="20">
        <v>0</v>
      </c>
      <c r="J190" s="20">
        <v>0</v>
      </c>
      <c r="K190" s="20">
        <v>10000</v>
      </c>
      <c r="L190" s="20">
        <v>10000</v>
      </c>
      <c r="M190" s="20">
        <v>10000</v>
      </c>
      <c r="N190" s="20">
        <v>10000</v>
      </c>
      <c r="O190" s="20">
        <v>10000</v>
      </c>
      <c r="P190" s="20">
        <v>10000</v>
      </c>
      <c r="Q190" s="20">
        <v>10000</v>
      </c>
      <c r="R190" s="20">
        <v>10000</v>
      </c>
      <c r="S190" s="21">
        <v>20000</v>
      </c>
      <c r="T190" s="22">
        <f t="shared" si="3"/>
        <v>100000</v>
      </c>
    </row>
    <row r="191" spans="1:20" x14ac:dyDescent="0.3">
      <c r="A191" t="s">
        <v>100</v>
      </c>
      <c r="B191" t="s">
        <v>125</v>
      </c>
      <c r="C191" t="s">
        <v>103</v>
      </c>
      <c r="D191" t="s">
        <v>126</v>
      </c>
      <c r="E191" s="4" t="s">
        <v>33</v>
      </c>
      <c r="F191" s="4"/>
      <c r="G191" s="27" t="s">
        <v>233</v>
      </c>
      <c r="H191" s="19">
        <v>0</v>
      </c>
      <c r="I191" s="20">
        <v>0</v>
      </c>
      <c r="J191" s="20">
        <v>0</v>
      </c>
      <c r="K191" s="20">
        <v>8000</v>
      </c>
      <c r="L191" s="20">
        <v>8000</v>
      </c>
      <c r="M191" s="20">
        <v>8000</v>
      </c>
      <c r="N191" s="20">
        <v>8000</v>
      </c>
      <c r="O191" s="20">
        <v>8000</v>
      </c>
      <c r="P191" s="20">
        <v>8000</v>
      </c>
      <c r="Q191" s="20">
        <v>8000</v>
      </c>
      <c r="R191" s="20">
        <v>8000</v>
      </c>
      <c r="S191" s="21">
        <v>8000</v>
      </c>
      <c r="T191" s="22">
        <f t="shared" si="3"/>
        <v>72000</v>
      </c>
    </row>
    <row r="192" spans="1:20" x14ac:dyDescent="0.3">
      <c r="A192" t="s">
        <v>100</v>
      </c>
      <c r="B192" t="s">
        <v>125</v>
      </c>
      <c r="C192" t="s">
        <v>103</v>
      </c>
      <c r="D192" t="s">
        <v>127</v>
      </c>
      <c r="E192" s="3" t="s">
        <v>34</v>
      </c>
      <c r="F192" s="3"/>
      <c r="G192" s="27" t="s">
        <v>233</v>
      </c>
      <c r="H192" s="19">
        <v>2448</v>
      </c>
      <c r="I192" s="20">
        <v>1974</v>
      </c>
      <c r="J192" s="20">
        <v>3474</v>
      </c>
      <c r="K192" s="20">
        <v>2938</v>
      </c>
      <c r="L192" s="20">
        <v>3027</v>
      </c>
      <c r="M192" s="20">
        <v>2939</v>
      </c>
      <c r="N192" s="20">
        <v>2566</v>
      </c>
      <c r="O192" s="20">
        <v>2566</v>
      </c>
      <c r="P192" s="20">
        <v>3422</v>
      </c>
      <c r="Q192" s="20">
        <v>3183</v>
      </c>
      <c r="R192" s="20">
        <v>3376</v>
      </c>
      <c r="S192" s="21">
        <v>3087</v>
      </c>
      <c r="T192" s="22">
        <f t="shared" si="3"/>
        <v>35000</v>
      </c>
    </row>
    <row r="193" spans="1:20" x14ac:dyDescent="0.3">
      <c r="A193" t="s">
        <v>100</v>
      </c>
      <c r="B193" t="s">
        <v>106</v>
      </c>
      <c r="C193" t="s">
        <v>103</v>
      </c>
      <c r="D193" t="s">
        <v>128</v>
      </c>
      <c r="E193" s="5" t="s">
        <v>35</v>
      </c>
      <c r="F193" s="5"/>
      <c r="G193" s="27" t="s">
        <v>233</v>
      </c>
      <c r="H193" s="19">
        <v>42025</v>
      </c>
      <c r="I193" s="20">
        <v>33891</v>
      </c>
      <c r="J193" s="20">
        <v>59649</v>
      </c>
      <c r="K193" s="20">
        <v>50448</v>
      </c>
      <c r="L193" s="20">
        <v>51976</v>
      </c>
      <c r="M193" s="20">
        <v>50448</v>
      </c>
      <c r="N193" s="20">
        <v>44059</v>
      </c>
      <c r="O193" s="20">
        <v>44059</v>
      </c>
      <c r="P193" s="20">
        <v>58744</v>
      </c>
      <c r="Q193" s="20">
        <v>54651</v>
      </c>
      <c r="R193" s="20">
        <v>57964</v>
      </c>
      <c r="S193" s="21">
        <v>52995.429732600001</v>
      </c>
      <c r="T193" s="22">
        <f t="shared" si="3"/>
        <v>600909.42973259999</v>
      </c>
    </row>
    <row r="194" spans="1:20" x14ac:dyDescent="0.3">
      <c r="A194" t="s">
        <v>100</v>
      </c>
      <c r="B194" t="s">
        <v>129</v>
      </c>
      <c r="C194" t="s">
        <v>103</v>
      </c>
      <c r="D194" t="s">
        <v>128</v>
      </c>
      <c r="E194" s="5" t="s">
        <v>36</v>
      </c>
      <c r="F194" s="5"/>
      <c r="G194" s="27" t="s">
        <v>233</v>
      </c>
      <c r="H194" s="19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1">
        <v>0</v>
      </c>
      <c r="T194" s="22">
        <f t="shared" si="3"/>
        <v>0</v>
      </c>
    </row>
    <row r="195" spans="1:20" x14ac:dyDescent="0.3">
      <c r="A195" t="s">
        <v>100</v>
      </c>
      <c r="B195" t="s">
        <v>111</v>
      </c>
      <c r="C195" t="s">
        <v>103</v>
      </c>
      <c r="D195" t="s">
        <v>128</v>
      </c>
      <c r="E195" s="5" t="s">
        <v>37</v>
      </c>
      <c r="F195" s="5"/>
      <c r="G195" s="27" t="s">
        <v>233</v>
      </c>
      <c r="H195" s="19">
        <v>22348</v>
      </c>
      <c r="I195" s="20">
        <v>22761</v>
      </c>
      <c r="J195" s="20">
        <v>34727</v>
      </c>
      <c r="K195" s="20">
        <v>28887</v>
      </c>
      <c r="L195" s="20">
        <v>29762</v>
      </c>
      <c r="M195" s="20">
        <v>28890</v>
      </c>
      <c r="N195" s="20">
        <v>25280</v>
      </c>
      <c r="O195" s="20">
        <v>25280</v>
      </c>
      <c r="P195" s="20">
        <v>33707</v>
      </c>
      <c r="Q195" s="20">
        <v>31757</v>
      </c>
      <c r="R195" s="20">
        <v>33683</v>
      </c>
      <c r="S195" s="21">
        <v>30797</v>
      </c>
      <c r="T195" s="22">
        <f t="shared" si="3"/>
        <v>347879</v>
      </c>
    </row>
    <row r="196" spans="1:20" x14ac:dyDescent="0.3">
      <c r="A196" t="s">
        <v>100</v>
      </c>
      <c r="B196" t="s">
        <v>111</v>
      </c>
      <c r="C196" t="s">
        <v>103</v>
      </c>
      <c r="D196" t="s">
        <v>38</v>
      </c>
      <c r="E196" s="6" t="s">
        <v>39</v>
      </c>
      <c r="F196" s="6"/>
      <c r="G196" s="27" t="s">
        <v>233</v>
      </c>
      <c r="H196" s="19">
        <v>1851</v>
      </c>
      <c r="I196" s="20">
        <v>2396</v>
      </c>
      <c r="J196" s="20">
        <v>3338</v>
      </c>
      <c r="K196" s="20">
        <v>2714</v>
      </c>
      <c r="L196" s="20">
        <v>2796</v>
      </c>
      <c r="M196" s="20">
        <v>2714</v>
      </c>
      <c r="N196" s="20">
        <v>2351</v>
      </c>
      <c r="O196" s="20">
        <v>2351</v>
      </c>
      <c r="P196" s="20">
        <v>3135</v>
      </c>
      <c r="Q196" s="20">
        <v>2840</v>
      </c>
      <c r="R196" s="20">
        <v>3012</v>
      </c>
      <c r="S196" s="21">
        <v>2753</v>
      </c>
      <c r="T196" s="22">
        <f t="shared" si="3"/>
        <v>32251</v>
      </c>
    </row>
    <row r="197" spans="1:20" x14ac:dyDescent="0.3">
      <c r="A197" t="s">
        <v>100</v>
      </c>
      <c r="B197" t="s">
        <v>111</v>
      </c>
      <c r="C197" t="s">
        <v>103</v>
      </c>
      <c r="D197" t="s">
        <v>38</v>
      </c>
      <c r="E197" s="6" t="s">
        <v>40</v>
      </c>
      <c r="F197" s="6"/>
      <c r="G197" s="27" t="s">
        <v>233</v>
      </c>
      <c r="H197" s="19">
        <v>78</v>
      </c>
      <c r="I197" s="20">
        <v>63</v>
      </c>
      <c r="J197" s="20">
        <v>109</v>
      </c>
      <c r="K197" s="20">
        <v>89</v>
      </c>
      <c r="L197" s="20">
        <v>92</v>
      </c>
      <c r="M197" s="20">
        <v>90</v>
      </c>
      <c r="N197" s="20">
        <v>77</v>
      </c>
      <c r="O197" s="20">
        <v>77</v>
      </c>
      <c r="P197" s="20">
        <v>104</v>
      </c>
      <c r="Q197" s="20">
        <v>93</v>
      </c>
      <c r="R197" s="20">
        <v>99</v>
      </c>
      <c r="S197" s="21">
        <v>91</v>
      </c>
      <c r="T197" s="22">
        <f t="shared" si="3"/>
        <v>1062</v>
      </c>
    </row>
    <row r="198" spans="1:20" x14ac:dyDescent="0.3">
      <c r="A198" t="s">
        <v>100</v>
      </c>
      <c r="B198" t="s">
        <v>111</v>
      </c>
      <c r="C198" t="s">
        <v>103</v>
      </c>
      <c r="D198" t="s">
        <v>38</v>
      </c>
      <c r="E198" s="6" t="s">
        <v>41</v>
      </c>
      <c r="F198" s="6"/>
      <c r="G198" s="27" t="s">
        <v>233</v>
      </c>
      <c r="H198" s="19">
        <v>17</v>
      </c>
      <c r="I198" s="20">
        <v>14</v>
      </c>
      <c r="J198" s="20">
        <v>25</v>
      </c>
      <c r="K198" s="20">
        <v>20</v>
      </c>
      <c r="L198" s="20">
        <v>20</v>
      </c>
      <c r="M198" s="20">
        <v>20</v>
      </c>
      <c r="N198" s="20">
        <v>17</v>
      </c>
      <c r="O198" s="20">
        <v>17</v>
      </c>
      <c r="P198" s="20">
        <v>24</v>
      </c>
      <c r="Q198" s="20">
        <v>21</v>
      </c>
      <c r="R198" s="20">
        <v>22</v>
      </c>
      <c r="S198" s="21">
        <v>20</v>
      </c>
      <c r="T198" s="22">
        <f t="shared" si="3"/>
        <v>237</v>
      </c>
    </row>
    <row r="199" spans="1:20" x14ac:dyDescent="0.3">
      <c r="A199" t="s">
        <v>100</v>
      </c>
      <c r="B199" t="s">
        <v>111</v>
      </c>
      <c r="C199" t="s">
        <v>103</v>
      </c>
      <c r="D199" t="s">
        <v>38</v>
      </c>
      <c r="E199" s="6" t="s">
        <v>112</v>
      </c>
      <c r="F199" s="6"/>
      <c r="G199" s="27" t="s">
        <v>233</v>
      </c>
      <c r="H199" s="19">
        <v>501</v>
      </c>
      <c r="I199" s="20">
        <v>227</v>
      </c>
      <c r="J199" s="20">
        <v>180</v>
      </c>
      <c r="K199" s="20">
        <v>325</v>
      </c>
      <c r="L199" s="20">
        <v>335</v>
      </c>
      <c r="M199" s="20">
        <v>325</v>
      </c>
      <c r="N199" s="20">
        <v>281</v>
      </c>
      <c r="O199" s="20">
        <v>281</v>
      </c>
      <c r="P199" s="20">
        <v>376</v>
      </c>
      <c r="Q199" s="20">
        <v>340</v>
      </c>
      <c r="R199" s="20">
        <v>361</v>
      </c>
      <c r="S199" s="21">
        <v>329</v>
      </c>
      <c r="T199" s="22">
        <f t="shared" si="3"/>
        <v>3861</v>
      </c>
    </row>
    <row r="200" spans="1:20" x14ac:dyDescent="0.3">
      <c r="A200" t="s">
        <v>100</v>
      </c>
      <c r="B200" t="s">
        <v>111</v>
      </c>
      <c r="C200" t="s">
        <v>103</v>
      </c>
      <c r="D200" t="s">
        <v>38</v>
      </c>
      <c r="E200" s="6" t="s">
        <v>42</v>
      </c>
      <c r="F200" s="6"/>
      <c r="G200" s="27" t="s">
        <v>233</v>
      </c>
      <c r="H200" s="19">
        <v>6189</v>
      </c>
      <c r="I200" s="20">
        <v>11314</v>
      </c>
      <c r="J200" s="20">
        <v>13751</v>
      </c>
      <c r="K200" s="20">
        <v>11173</v>
      </c>
      <c r="L200" s="20">
        <v>11512</v>
      </c>
      <c r="M200" s="20">
        <v>11173</v>
      </c>
      <c r="N200" s="20">
        <v>10064</v>
      </c>
      <c r="O200" s="20">
        <v>10064</v>
      </c>
      <c r="P200" s="20">
        <v>13420</v>
      </c>
      <c r="Q200" s="20">
        <v>12996</v>
      </c>
      <c r="R200" s="20">
        <v>13784</v>
      </c>
      <c r="S200" s="21">
        <v>12603</v>
      </c>
      <c r="T200" s="22">
        <f t="shared" si="3"/>
        <v>138043</v>
      </c>
    </row>
    <row r="201" spans="1:20" x14ac:dyDescent="0.3">
      <c r="A201" t="s">
        <v>100</v>
      </c>
      <c r="B201" t="s">
        <v>111</v>
      </c>
      <c r="C201" t="s">
        <v>103</v>
      </c>
      <c r="D201" t="s">
        <v>38</v>
      </c>
      <c r="E201" s="6" t="s">
        <v>43</v>
      </c>
      <c r="F201" s="6"/>
      <c r="G201" s="27" t="s">
        <v>233</v>
      </c>
      <c r="H201" s="19">
        <v>978</v>
      </c>
      <c r="I201" s="20">
        <v>507</v>
      </c>
      <c r="J201" s="20">
        <v>542</v>
      </c>
      <c r="K201" s="20">
        <v>724</v>
      </c>
      <c r="L201" s="20">
        <v>746</v>
      </c>
      <c r="M201" s="20">
        <v>725</v>
      </c>
      <c r="N201" s="20">
        <v>653</v>
      </c>
      <c r="O201" s="20">
        <v>653</v>
      </c>
      <c r="P201" s="20">
        <v>869</v>
      </c>
      <c r="Q201" s="20">
        <v>843</v>
      </c>
      <c r="R201" s="20">
        <v>894</v>
      </c>
      <c r="S201" s="21">
        <v>817</v>
      </c>
      <c r="T201" s="22">
        <f t="shared" si="3"/>
        <v>8951</v>
      </c>
    </row>
    <row r="202" spans="1:20" x14ac:dyDescent="0.3">
      <c r="A202" t="s">
        <v>100</v>
      </c>
      <c r="B202" t="s">
        <v>111</v>
      </c>
      <c r="C202" t="s">
        <v>103</v>
      </c>
      <c r="D202" t="s">
        <v>38</v>
      </c>
      <c r="E202" s="6" t="s">
        <v>44</v>
      </c>
      <c r="F202" s="6"/>
      <c r="G202" s="27" t="s">
        <v>233</v>
      </c>
      <c r="H202" s="19">
        <v>3476</v>
      </c>
      <c r="I202" s="20">
        <v>2804</v>
      </c>
      <c r="J202" s="20">
        <v>4934</v>
      </c>
      <c r="K202" s="20">
        <v>3982</v>
      </c>
      <c r="L202" s="20">
        <v>4103</v>
      </c>
      <c r="M202" s="20">
        <v>3983</v>
      </c>
      <c r="N202" s="20">
        <v>3615</v>
      </c>
      <c r="O202" s="20">
        <v>3615</v>
      </c>
      <c r="P202" s="20">
        <v>4821</v>
      </c>
      <c r="Q202" s="20">
        <v>4543</v>
      </c>
      <c r="R202" s="20">
        <v>4819</v>
      </c>
      <c r="S202" s="21">
        <v>4406</v>
      </c>
      <c r="T202" s="22">
        <f t="shared" si="3"/>
        <v>49101</v>
      </c>
    </row>
    <row r="203" spans="1:20" x14ac:dyDescent="0.3">
      <c r="A203" t="s">
        <v>100</v>
      </c>
      <c r="B203" t="s">
        <v>111</v>
      </c>
      <c r="C203" t="s">
        <v>103</v>
      </c>
      <c r="D203" t="s">
        <v>38</v>
      </c>
      <c r="E203" s="7" t="s">
        <v>113</v>
      </c>
      <c r="F203" s="7"/>
      <c r="G203" s="27" t="s">
        <v>233</v>
      </c>
      <c r="H203" s="19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1">
        <v>0</v>
      </c>
      <c r="T203" s="22">
        <f t="shared" si="3"/>
        <v>0</v>
      </c>
    </row>
    <row r="204" spans="1:20" x14ac:dyDescent="0.3">
      <c r="A204" t="s">
        <v>100</v>
      </c>
      <c r="B204" t="s">
        <v>111</v>
      </c>
      <c r="C204" t="s">
        <v>103</v>
      </c>
      <c r="D204" t="s">
        <v>38</v>
      </c>
      <c r="E204" s="7" t="s">
        <v>45</v>
      </c>
      <c r="F204" s="7"/>
      <c r="G204" s="27" t="s">
        <v>233</v>
      </c>
      <c r="H204" s="19">
        <v>443</v>
      </c>
      <c r="I204" s="20">
        <v>357</v>
      </c>
      <c r="J204" s="20">
        <v>628</v>
      </c>
      <c r="K204" s="20">
        <v>507</v>
      </c>
      <c r="L204" s="20">
        <v>523</v>
      </c>
      <c r="M204" s="20">
        <v>507</v>
      </c>
      <c r="N204" s="20">
        <v>461</v>
      </c>
      <c r="O204" s="20">
        <v>461</v>
      </c>
      <c r="P204" s="20">
        <v>613</v>
      </c>
      <c r="Q204" s="20">
        <v>578</v>
      </c>
      <c r="R204" s="20">
        <v>614</v>
      </c>
      <c r="S204" s="21">
        <v>561</v>
      </c>
      <c r="T204" s="22">
        <f t="shared" si="3"/>
        <v>6253</v>
      </c>
    </row>
    <row r="205" spans="1:20" x14ac:dyDescent="0.3">
      <c r="A205" t="s">
        <v>100</v>
      </c>
      <c r="B205" t="s">
        <v>111</v>
      </c>
      <c r="C205" t="s">
        <v>103</v>
      </c>
      <c r="D205" t="s">
        <v>38</v>
      </c>
      <c r="E205" s="7" t="s">
        <v>114</v>
      </c>
      <c r="F205" s="7"/>
      <c r="G205" s="27" t="s">
        <v>233</v>
      </c>
      <c r="H205" s="19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1">
        <v>0</v>
      </c>
      <c r="T205" s="22">
        <f t="shared" si="3"/>
        <v>0</v>
      </c>
    </row>
    <row r="206" spans="1:20" x14ac:dyDescent="0.3">
      <c r="A206" t="s">
        <v>100</v>
      </c>
      <c r="B206" t="s">
        <v>111</v>
      </c>
      <c r="C206" t="s">
        <v>103</v>
      </c>
      <c r="D206" t="s">
        <v>38</v>
      </c>
      <c r="E206" s="7" t="s">
        <v>46</v>
      </c>
      <c r="F206" s="7"/>
      <c r="G206" s="27" t="s">
        <v>233</v>
      </c>
      <c r="H206" s="19">
        <v>3115</v>
      </c>
      <c r="I206" s="20">
        <v>2512</v>
      </c>
      <c r="J206" s="20">
        <v>4421</v>
      </c>
      <c r="K206" s="20">
        <v>3490</v>
      </c>
      <c r="L206" s="20">
        <v>3596</v>
      </c>
      <c r="M206" s="20">
        <v>3491</v>
      </c>
      <c r="N206" s="20">
        <v>3260</v>
      </c>
      <c r="O206" s="20">
        <v>3260</v>
      </c>
      <c r="P206" s="20">
        <v>4346</v>
      </c>
      <c r="Q206" s="20">
        <v>4115</v>
      </c>
      <c r="R206" s="20">
        <v>4365</v>
      </c>
      <c r="S206" s="21">
        <v>3991</v>
      </c>
      <c r="T206" s="22">
        <f t="shared" si="3"/>
        <v>43962</v>
      </c>
    </row>
    <row r="207" spans="1:20" x14ac:dyDescent="0.3">
      <c r="A207" t="s">
        <v>100</v>
      </c>
      <c r="B207" t="s">
        <v>111</v>
      </c>
      <c r="C207" t="s">
        <v>103</v>
      </c>
      <c r="D207" t="s">
        <v>38</v>
      </c>
      <c r="E207" s="7" t="s">
        <v>115</v>
      </c>
      <c r="F207" s="7"/>
      <c r="G207" s="27" t="s">
        <v>233</v>
      </c>
      <c r="H207" s="19">
        <v>164</v>
      </c>
      <c r="I207" s="20">
        <v>133</v>
      </c>
      <c r="J207" s="20">
        <v>233</v>
      </c>
      <c r="K207" s="20">
        <v>184</v>
      </c>
      <c r="L207" s="20">
        <v>190</v>
      </c>
      <c r="M207" s="20">
        <v>184</v>
      </c>
      <c r="N207" s="20">
        <v>172</v>
      </c>
      <c r="O207" s="20">
        <v>172</v>
      </c>
      <c r="P207" s="20">
        <v>230</v>
      </c>
      <c r="Q207" s="20">
        <v>217</v>
      </c>
      <c r="R207" s="20">
        <v>230</v>
      </c>
      <c r="S207" s="21">
        <v>211</v>
      </c>
      <c r="T207" s="22">
        <f t="shared" si="3"/>
        <v>2320</v>
      </c>
    </row>
    <row r="208" spans="1:20" x14ac:dyDescent="0.3">
      <c r="A208" t="s">
        <v>100</v>
      </c>
      <c r="B208" t="s">
        <v>111</v>
      </c>
      <c r="C208" t="s">
        <v>103</v>
      </c>
      <c r="D208" t="s">
        <v>38</v>
      </c>
      <c r="E208" s="7" t="s">
        <v>47</v>
      </c>
      <c r="F208" s="7"/>
      <c r="G208" s="27" t="s">
        <v>233</v>
      </c>
      <c r="H208" s="19">
        <v>9456</v>
      </c>
      <c r="I208" s="20">
        <v>7626</v>
      </c>
      <c r="J208" s="20">
        <v>13420</v>
      </c>
      <c r="K208" s="20">
        <v>11351</v>
      </c>
      <c r="L208" s="20">
        <v>11695</v>
      </c>
      <c r="M208" s="20">
        <v>11351</v>
      </c>
      <c r="N208" s="20">
        <v>9525</v>
      </c>
      <c r="O208" s="20">
        <v>9525</v>
      </c>
      <c r="P208" s="20">
        <v>12699</v>
      </c>
      <c r="Q208" s="20">
        <v>11814</v>
      </c>
      <c r="R208" s="20">
        <v>12530</v>
      </c>
      <c r="S208" s="21">
        <v>11457</v>
      </c>
      <c r="T208" s="22">
        <f t="shared" si="3"/>
        <v>132449</v>
      </c>
    </row>
    <row r="209" spans="1:20" x14ac:dyDescent="0.3">
      <c r="A209" t="s">
        <v>100</v>
      </c>
      <c r="B209" t="s">
        <v>111</v>
      </c>
      <c r="C209" t="s">
        <v>103</v>
      </c>
      <c r="D209" t="s">
        <v>38</v>
      </c>
      <c r="E209" s="7" t="s">
        <v>48</v>
      </c>
      <c r="F209" s="7"/>
      <c r="G209" s="27" t="s">
        <v>233</v>
      </c>
      <c r="H209" s="19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1">
        <v>0</v>
      </c>
      <c r="T209" s="22">
        <f t="shared" si="3"/>
        <v>0</v>
      </c>
    </row>
    <row r="210" spans="1:20" x14ac:dyDescent="0.3">
      <c r="A210" t="s">
        <v>100</v>
      </c>
      <c r="B210" t="s">
        <v>111</v>
      </c>
      <c r="C210" t="s">
        <v>103</v>
      </c>
      <c r="D210" t="s">
        <v>38</v>
      </c>
      <c r="E210" s="7" t="s">
        <v>49</v>
      </c>
      <c r="F210" s="7"/>
      <c r="G210" s="27" t="s">
        <v>233</v>
      </c>
      <c r="H210" s="19">
        <v>3103</v>
      </c>
      <c r="I210" s="20">
        <v>2503</v>
      </c>
      <c r="J210" s="20">
        <v>4404</v>
      </c>
      <c r="K210" s="20">
        <v>3725</v>
      </c>
      <c r="L210" s="20">
        <v>3838</v>
      </c>
      <c r="M210" s="20">
        <v>3725</v>
      </c>
      <c r="N210" s="20">
        <v>3126</v>
      </c>
      <c r="O210" s="20">
        <v>3126</v>
      </c>
      <c r="P210" s="20">
        <v>4167</v>
      </c>
      <c r="Q210" s="20">
        <v>3877</v>
      </c>
      <c r="R210" s="20">
        <v>4112</v>
      </c>
      <c r="S210" s="21">
        <v>3760</v>
      </c>
      <c r="T210" s="22">
        <f t="shared" si="3"/>
        <v>43466</v>
      </c>
    </row>
    <row r="211" spans="1:20" x14ac:dyDescent="0.3">
      <c r="A211" t="s">
        <v>100</v>
      </c>
      <c r="B211" t="s">
        <v>111</v>
      </c>
      <c r="C211" t="s">
        <v>103</v>
      </c>
      <c r="D211" t="s">
        <v>38</v>
      </c>
      <c r="E211" s="6" t="s">
        <v>50</v>
      </c>
      <c r="F211" s="6"/>
      <c r="G211" s="27" t="s">
        <v>233</v>
      </c>
      <c r="H211" s="19">
        <v>786</v>
      </c>
      <c r="I211" s="20">
        <v>634</v>
      </c>
      <c r="J211" s="20">
        <v>1116</v>
      </c>
      <c r="K211" s="20">
        <v>944</v>
      </c>
      <c r="L211" s="20">
        <v>972</v>
      </c>
      <c r="M211" s="20">
        <v>944</v>
      </c>
      <c r="N211" s="20">
        <v>792</v>
      </c>
      <c r="O211" s="20">
        <v>792</v>
      </c>
      <c r="P211" s="20">
        <v>1056</v>
      </c>
      <c r="Q211" s="20">
        <v>982</v>
      </c>
      <c r="R211" s="20">
        <v>1042</v>
      </c>
      <c r="S211" s="21">
        <v>953</v>
      </c>
      <c r="T211" s="22">
        <f t="shared" si="3"/>
        <v>11013</v>
      </c>
    </row>
    <row r="212" spans="1:20" x14ac:dyDescent="0.3">
      <c r="A212" t="s">
        <v>100</v>
      </c>
      <c r="B212" t="s">
        <v>111</v>
      </c>
      <c r="C212" t="s">
        <v>103</v>
      </c>
      <c r="D212" t="s">
        <v>38</v>
      </c>
      <c r="E212" s="7" t="s">
        <v>51</v>
      </c>
      <c r="F212" s="7"/>
      <c r="G212" s="27" t="s">
        <v>233</v>
      </c>
      <c r="H212" s="19">
        <v>1473</v>
      </c>
      <c r="I212" s="20">
        <v>1188</v>
      </c>
      <c r="J212" s="20">
        <v>2091</v>
      </c>
      <c r="K212" s="20">
        <v>1699</v>
      </c>
      <c r="L212" s="20">
        <v>1750</v>
      </c>
      <c r="M212" s="20">
        <v>1699</v>
      </c>
      <c r="N212" s="20">
        <v>1433</v>
      </c>
      <c r="O212" s="20">
        <v>1433</v>
      </c>
      <c r="P212" s="20">
        <v>1911</v>
      </c>
      <c r="Q212" s="20">
        <v>1757</v>
      </c>
      <c r="R212" s="20">
        <v>1863</v>
      </c>
      <c r="S212" s="21">
        <v>1703</v>
      </c>
      <c r="T212" s="22">
        <f t="shared" si="3"/>
        <v>20000</v>
      </c>
    </row>
    <row r="213" spans="1:20" x14ac:dyDescent="0.3">
      <c r="A213" t="s">
        <v>100</v>
      </c>
      <c r="B213" t="s">
        <v>111</v>
      </c>
      <c r="C213" t="s">
        <v>103</v>
      </c>
      <c r="D213" t="s">
        <v>38</v>
      </c>
      <c r="E213" s="6" t="s">
        <v>52</v>
      </c>
      <c r="F213" s="6"/>
      <c r="G213" s="27" t="s">
        <v>233</v>
      </c>
      <c r="H213" s="19">
        <v>221</v>
      </c>
      <c r="I213" s="20">
        <v>178</v>
      </c>
      <c r="J213" s="20">
        <v>314</v>
      </c>
      <c r="K213" s="20">
        <v>255</v>
      </c>
      <c r="L213" s="20">
        <v>262</v>
      </c>
      <c r="M213" s="20">
        <v>255</v>
      </c>
      <c r="N213" s="20">
        <v>215</v>
      </c>
      <c r="O213" s="20">
        <v>215</v>
      </c>
      <c r="P213" s="20">
        <v>287</v>
      </c>
      <c r="Q213" s="20">
        <v>263</v>
      </c>
      <c r="R213" s="20">
        <v>279</v>
      </c>
      <c r="S213" s="21">
        <v>256</v>
      </c>
      <c r="T213" s="22">
        <f t="shared" si="3"/>
        <v>3000</v>
      </c>
    </row>
    <row r="214" spans="1:20" x14ac:dyDescent="0.3">
      <c r="A214" t="s">
        <v>100</v>
      </c>
      <c r="B214" t="s">
        <v>111</v>
      </c>
      <c r="C214" t="s">
        <v>103</v>
      </c>
      <c r="D214" t="s">
        <v>38</v>
      </c>
      <c r="E214" s="6" t="s">
        <v>53</v>
      </c>
      <c r="F214" s="6"/>
      <c r="G214" s="27" t="s">
        <v>233</v>
      </c>
      <c r="H214" s="19">
        <v>74</v>
      </c>
      <c r="I214" s="20">
        <v>60</v>
      </c>
      <c r="J214" s="20">
        <v>104</v>
      </c>
      <c r="K214" s="20">
        <v>85</v>
      </c>
      <c r="L214" s="20">
        <v>87</v>
      </c>
      <c r="M214" s="20">
        <v>85</v>
      </c>
      <c r="N214" s="20">
        <v>72</v>
      </c>
      <c r="O214" s="20">
        <v>72</v>
      </c>
      <c r="P214" s="20">
        <v>95</v>
      </c>
      <c r="Q214" s="20">
        <v>88</v>
      </c>
      <c r="R214" s="20">
        <v>93</v>
      </c>
      <c r="S214" s="21">
        <v>85</v>
      </c>
      <c r="T214" s="22">
        <f t="shared" si="3"/>
        <v>1000</v>
      </c>
    </row>
    <row r="215" spans="1:20" x14ac:dyDescent="0.3">
      <c r="A215" t="s">
        <v>100</v>
      </c>
      <c r="B215" t="s">
        <v>111</v>
      </c>
      <c r="C215" t="s">
        <v>103</v>
      </c>
      <c r="D215" t="s">
        <v>54</v>
      </c>
      <c r="E215" s="8" t="s">
        <v>55</v>
      </c>
      <c r="F215" s="8"/>
      <c r="G215" s="27" t="s">
        <v>233</v>
      </c>
      <c r="H215" s="19">
        <v>28</v>
      </c>
      <c r="I215" s="20">
        <v>23</v>
      </c>
      <c r="J215" s="20">
        <v>40</v>
      </c>
      <c r="K215" s="20">
        <v>34</v>
      </c>
      <c r="L215" s="20">
        <v>35</v>
      </c>
      <c r="M215" s="20">
        <v>33</v>
      </c>
      <c r="N215" s="20">
        <v>28</v>
      </c>
      <c r="O215" s="20">
        <v>28</v>
      </c>
      <c r="P215" s="20">
        <v>38</v>
      </c>
      <c r="Q215" s="20">
        <v>35</v>
      </c>
      <c r="R215" s="20">
        <v>37</v>
      </c>
      <c r="S215" s="21">
        <v>35</v>
      </c>
      <c r="T215" s="22">
        <f t="shared" si="3"/>
        <v>394</v>
      </c>
    </row>
    <row r="216" spans="1:20" x14ac:dyDescent="0.3">
      <c r="A216" t="s">
        <v>100</v>
      </c>
      <c r="B216" t="s">
        <v>110</v>
      </c>
      <c r="C216" t="s">
        <v>56</v>
      </c>
      <c r="D216" t="s">
        <v>130</v>
      </c>
      <c r="E216" s="4" t="s">
        <v>57</v>
      </c>
      <c r="F216" s="4"/>
      <c r="G216" s="27" t="s">
        <v>233</v>
      </c>
      <c r="H216" s="19">
        <v>143</v>
      </c>
      <c r="I216" s="20">
        <v>115</v>
      </c>
      <c r="J216" s="20">
        <v>202</v>
      </c>
      <c r="K216" s="20">
        <v>171</v>
      </c>
      <c r="L216" s="20">
        <v>176</v>
      </c>
      <c r="M216" s="20">
        <v>172</v>
      </c>
      <c r="N216" s="20">
        <v>149</v>
      </c>
      <c r="O216" s="20">
        <v>149</v>
      </c>
      <c r="P216" s="20">
        <v>200</v>
      </c>
      <c r="Q216" s="20">
        <v>186</v>
      </c>
      <c r="R216" s="20">
        <v>197</v>
      </c>
      <c r="S216" s="21">
        <v>179.52</v>
      </c>
      <c r="T216" s="22">
        <f t="shared" si="3"/>
        <v>2039.52</v>
      </c>
    </row>
    <row r="217" spans="1:20" x14ac:dyDescent="0.3">
      <c r="A217" t="s">
        <v>100</v>
      </c>
      <c r="B217" t="s">
        <v>110</v>
      </c>
      <c r="C217" t="s">
        <v>56</v>
      </c>
      <c r="D217" t="s">
        <v>131</v>
      </c>
      <c r="E217" s="4" t="s">
        <v>58</v>
      </c>
      <c r="F217" s="4"/>
      <c r="G217" s="27" t="s">
        <v>233</v>
      </c>
      <c r="H217" s="19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150</v>
      </c>
      <c r="O217" s="20">
        <v>150</v>
      </c>
      <c r="P217" s="20">
        <v>250</v>
      </c>
      <c r="Q217" s="20">
        <v>250</v>
      </c>
      <c r="R217" s="20">
        <v>250</v>
      </c>
      <c r="S217" s="21">
        <v>300</v>
      </c>
      <c r="T217" s="22">
        <f t="shared" si="3"/>
        <v>1350</v>
      </c>
    </row>
    <row r="218" spans="1:20" x14ac:dyDescent="0.3">
      <c r="A218" t="s">
        <v>100</v>
      </c>
      <c r="B218" t="s">
        <v>101</v>
      </c>
      <c r="C218" t="s">
        <v>132</v>
      </c>
      <c r="D218" t="s">
        <v>59</v>
      </c>
      <c r="E218" s="2" t="s">
        <v>60</v>
      </c>
      <c r="F218" s="2"/>
      <c r="G218" s="27" t="s">
        <v>233</v>
      </c>
      <c r="H218" s="19">
        <v>13</v>
      </c>
      <c r="I218" s="20">
        <v>12</v>
      </c>
      <c r="J218" s="20">
        <v>16</v>
      </c>
      <c r="K218" s="20">
        <v>17</v>
      </c>
      <c r="L218" s="20">
        <v>17</v>
      </c>
      <c r="M218" s="20">
        <v>16</v>
      </c>
      <c r="N218" s="20">
        <v>14</v>
      </c>
      <c r="O218" s="20">
        <v>15</v>
      </c>
      <c r="P218" s="20">
        <v>19</v>
      </c>
      <c r="Q218" s="20">
        <v>14</v>
      </c>
      <c r="R218" s="20">
        <v>16</v>
      </c>
      <c r="S218" s="21">
        <v>11</v>
      </c>
      <c r="T218" s="22">
        <f t="shared" si="3"/>
        <v>180</v>
      </c>
    </row>
    <row r="219" spans="1:20" x14ac:dyDescent="0.3">
      <c r="A219" t="s">
        <v>100</v>
      </c>
      <c r="B219" t="s">
        <v>101</v>
      </c>
      <c r="C219" t="s">
        <v>132</v>
      </c>
      <c r="D219" t="s">
        <v>133</v>
      </c>
      <c r="E219" s="3" t="s">
        <v>61</v>
      </c>
      <c r="F219" s="3"/>
      <c r="G219" s="27" t="s">
        <v>233</v>
      </c>
      <c r="H219" s="19">
        <v>1</v>
      </c>
      <c r="I219" s="20">
        <v>1</v>
      </c>
      <c r="J219" s="20">
        <v>2</v>
      </c>
      <c r="K219" s="20">
        <v>1</v>
      </c>
      <c r="L219" s="20">
        <v>2</v>
      </c>
      <c r="M219" s="20">
        <v>1</v>
      </c>
      <c r="N219" s="20">
        <v>2</v>
      </c>
      <c r="O219" s="20">
        <v>1</v>
      </c>
      <c r="P219" s="20">
        <v>2</v>
      </c>
      <c r="Q219" s="20">
        <v>1</v>
      </c>
      <c r="R219" s="20">
        <v>2</v>
      </c>
      <c r="S219" s="21">
        <v>1</v>
      </c>
      <c r="T219" s="22">
        <f t="shared" si="3"/>
        <v>17</v>
      </c>
    </row>
    <row r="220" spans="1:20" x14ac:dyDescent="0.3">
      <c r="A220" t="s">
        <v>100</v>
      </c>
      <c r="B220" t="s">
        <v>101</v>
      </c>
      <c r="C220" t="s">
        <v>132</v>
      </c>
      <c r="D220" t="s">
        <v>59</v>
      </c>
      <c r="E220" s="2" t="s">
        <v>62</v>
      </c>
      <c r="F220" s="2"/>
      <c r="G220" s="27" t="s">
        <v>233</v>
      </c>
      <c r="H220" s="19">
        <v>0</v>
      </c>
      <c r="I220" s="20">
        <v>0</v>
      </c>
      <c r="J220" s="20">
        <v>1</v>
      </c>
      <c r="K220" s="20">
        <v>0</v>
      </c>
      <c r="L220" s="20">
        <v>0</v>
      </c>
      <c r="M220" s="20">
        <v>2</v>
      </c>
      <c r="N220" s="20">
        <v>0</v>
      </c>
      <c r="O220" s="20">
        <v>0</v>
      </c>
      <c r="P220" s="20">
        <v>1</v>
      </c>
      <c r="Q220" s="20">
        <v>0</v>
      </c>
      <c r="R220" s="20">
        <v>0</v>
      </c>
      <c r="S220" s="21">
        <v>1</v>
      </c>
      <c r="T220" s="22">
        <f t="shared" si="3"/>
        <v>5</v>
      </c>
    </row>
    <row r="221" spans="1:20" x14ac:dyDescent="0.3">
      <c r="A221" t="s">
        <v>100</v>
      </c>
      <c r="B221" t="s">
        <v>110</v>
      </c>
      <c r="C221" t="s">
        <v>132</v>
      </c>
      <c r="D221" t="s">
        <v>134</v>
      </c>
      <c r="E221" s="9" t="s">
        <v>63</v>
      </c>
      <c r="F221" s="9"/>
      <c r="G221" s="27" t="s">
        <v>233</v>
      </c>
      <c r="H221" s="19">
        <v>5700</v>
      </c>
      <c r="I221" s="20">
        <v>5300</v>
      </c>
      <c r="J221" s="20">
        <v>7600</v>
      </c>
      <c r="K221" s="20">
        <v>7600</v>
      </c>
      <c r="L221" s="20">
        <v>7600</v>
      </c>
      <c r="M221" s="20">
        <v>7500</v>
      </c>
      <c r="N221" s="20">
        <v>7500</v>
      </c>
      <c r="O221" s="20">
        <v>7500</v>
      </c>
      <c r="P221" s="20">
        <v>7500</v>
      </c>
      <c r="Q221" s="20">
        <v>7500</v>
      </c>
      <c r="R221" s="20">
        <v>7200</v>
      </c>
      <c r="S221" s="21">
        <v>6000</v>
      </c>
      <c r="T221" s="22">
        <f t="shared" si="3"/>
        <v>84500</v>
      </c>
    </row>
    <row r="222" spans="1:20" x14ac:dyDescent="0.3">
      <c r="A222" t="s">
        <v>100</v>
      </c>
      <c r="B222" t="s">
        <v>110</v>
      </c>
      <c r="C222" t="s">
        <v>132</v>
      </c>
      <c r="D222" t="s">
        <v>134</v>
      </c>
      <c r="E222" s="9" t="s">
        <v>64</v>
      </c>
      <c r="F222" s="9"/>
      <c r="G222" s="27" t="s">
        <v>233</v>
      </c>
      <c r="H222" s="19">
        <v>30</v>
      </c>
      <c r="I222" s="20">
        <v>37</v>
      </c>
      <c r="J222" s="20">
        <v>43</v>
      </c>
      <c r="K222" s="20">
        <v>38</v>
      </c>
      <c r="L222" s="20">
        <v>38</v>
      </c>
      <c r="M222" s="20">
        <v>39</v>
      </c>
      <c r="N222" s="20">
        <v>40</v>
      </c>
      <c r="O222" s="20">
        <v>40</v>
      </c>
      <c r="P222" s="20">
        <v>41</v>
      </c>
      <c r="Q222" s="20">
        <v>33</v>
      </c>
      <c r="R222" s="20">
        <v>33</v>
      </c>
      <c r="S222" s="21">
        <v>33</v>
      </c>
      <c r="T222" s="22">
        <f t="shared" ref="T222:T285" si="4">SUM(H222:S222)</f>
        <v>445</v>
      </c>
    </row>
    <row r="223" spans="1:20" x14ac:dyDescent="0.3">
      <c r="A223" t="s">
        <v>100</v>
      </c>
      <c r="B223" t="s">
        <v>106</v>
      </c>
      <c r="C223" t="s">
        <v>132</v>
      </c>
      <c r="D223" t="s">
        <v>134</v>
      </c>
      <c r="E223" s="4" t="s">
        <v>65</v>
      </c>
      <c r="F223" s="4"/>
      <c r="G223" s="27" t="s">
        <v>233</v>
      </c>
      <c r="H223" s="19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1">
        <v>0</v>
      </c>
      <c r="T223" s="22">
        <f t="shared" si="4"/>
        <v>0</v>
      </c>
    </row>
    <row r="224" spans="1:20" x14ac:dyDescent="0.3">
      <c r="A224" t="s">
        <v>100</v>
      </c>
      <c r="B224" t="s">
        <v>106</v>
      </c>
      <c r="C224" t="s">
        <v>132</v>
      </c>
      <c r="D224" t="s">
        <v>134</v>
      </c>
      <c r="E224" s="9" t="s">
        <v>66</v>
      </c>
      <c r="F224" s="9"/>
      <c r="G224" s="27" t="s">
        <v>233</v>
      </c>
      <c r="H224" s="19">
        <v>13</v>
      </c>
      <c r="I224" s="20">
        <v>15</v>
      </c>
      <c r="J224" s="20">
        <v>17</v>
      </c>
      <c r="K224" s="20">
        <v>15</v>
      </c>
      <c r="L224" s="20">
        <v>16</v>
      </c>
      <c r="M224" s="20">
        <v>16</v>
      </c>
      <c r="N224" s="20">
        <v>16</v>
      </c>
      <c r="O224" s="20">
        <v>17</v>
      </c>
      <c r="P224" s="20">
        <v>17</v>
      </c>
      <c r="Q224" s="20">
        <v>14</v>
      </c>
      <c r="R224" s="20">
        <v>14</v>
      </c>
      <c r="S224" s="21">
        <v>13</v>
      </c>
      <c r="T224" s="22">
        <f t="shared" si="4"/>
        <v>183</v>
      </c>
    </row>
    <row r="225" spans="1:20" x14ac:dyDescent="0.3">
      <c r="A225" t="s">
        <v>100</v>
      </c>
      <c r="B225" t="s">
        <v>110</v>
      </c>
      <c r="C225" t="s">
        <v>132</v>
      </c>
      <c r="D225" t="s">
        <v>67</v>
      </c>
      <c r="E225" s="2" t="s">
        <v>68</v>
      </c>
      <c r="F225" s="2"/>
      <c r="G225" s="27" t="s">
        <v>233</v>
      </c>
      <c r="H225" s="19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1">
        <v>0</v>
      </c>
      <c r="T225" s="22">
        <f t="shared" si="4"/>
        <v>0</v>
      </c>
    </row>
    <row r="226" spans="1:20" x14ac:dyDescent="0.3">
      <c r="A226" t="s">
        <v>100</v>
      </c>
      <c r="B226" t="s">
        <v>106</v>
      </c>
      <c r="C226" t="s">
        <v>132</v>
      </c>
      <c r="D226" t="s">
        <v>134</v>
      </c>
      <c r="E226" s="2" t="s">
        <v>69</v>
      </c>
      <c r="F226" s="2"/>
      <c r="G226" s="27" t="s">
        <v>233</v>
      </c>
      <c r="H226" s="19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1">
        <v>0</v>
      </c>
      <c r="T226" s="22">
        <f t="shared" si="4"/>
        <v>0</v>
      </c>
    </row>
    <row r="227" spans="1:20" x14ac:dyDescent="0.3">
      <c r="A227" t="s">
        <v>100</v>
      </c>
      <c r="B227" t="s">
        <v>110</v>
      </c>
      <c r="C227" t="s">
        <v>132</v>
      </c>
      <c r="D227" t="s">
        <v>67</v>
      </c>
      <c r="E227" s="9" t="s">
        <v>70</v>
      </c>
      <c r="F227" s="9"/>
      <c r="G227" s="27" t="s">
        <v>233</v>
      </c>
      <c r="H227" s="19">
        <v>5</v>
      </c>
      <c r="I227" s="20">
        <v>5</v>
      </c>
      <c r="J227" s="20">
        <v>5</v>
      </c>
      <c r="K227" s="20">
        <v>6</v>
      </c>
      <c r="L227" s="20">
        <v>6</v>
      </c>
      <c r="M227" s="20">
        <v>5</v>
      </c>
      <c r="N227" s="20">
        <v>5</v>
      </c>
      <c r="O227" s="20">
        <v>6</v>
      </c>
      <c r="P227" s="20">
        <v>7</v>
      </c>
      <c r="Q227" s="20">
        <v>6</v>
      </c>
      <c r="R227" s="20">
        <v>5</v>
      </c>
      <c r="S227" s="21">
        <v>4</v>
      </c>
      <c r="T227" s="22">
        <f t="shared" si="4"/>
        <v>65</v>
      </c>
    </row>
    <row r="228" spans="1:20" x14ac:dyDescent="0.3">
      <c r="A228" t="s">
        <v>100</v>
      </c>
      <c r="B228" t="s">
        <v>110</v>
      </c>
      <c r="C228" t="s">
        <v>132</v>
      </c>
      <c r="D228" t="s">
        <v>67</v>
      </c>
      <c r="E228" s="10" t="s">
        <v>71</v>
      </c>
      <c r="F228" s="10"/>
      <c r="G228" s="27" t="s">
        <v>233</v>
      </c>
      <c r="H228" s="19">
        <v>7300</v>
      </c>
      <c r="I228" s="20">
        <v>7300</v>
      </c>
      <c r="J228" s="20">
        <v>7450</v>
      </c>
      <c r="K228" s="20">
        <v>7700</v>
      </c>
      <c r="L228" s="20">
        <v>7100</v>
      </c>
      <c r="M228" s="20">
        <v>7000</v>
      </c>
      <c r="N228" s="20">
        <v>7200</v>
      </c>
      <c r="O228" s="20">
        <v>7350</v>
      </c>
      <c r="P228" s="20">
        <v>7700</v>
      </c>
      <c r="Q228" s="20">
        <v>6800</v>
      </c>
      <c r="R228" s="20">
        <v>6900</v>
      </c>
      <c r="S228" s="21">
        <v>6500</v>
      </c>
      <c r="T228" s="22">
        <f t="shared" si="4"/>
        <v>86300</v>
      </c>
    </row>
    <row r="229" spans="1:20" x14ac:dyDescent="0.3">
      <c r="A229" t="s">
        <v>100</v>
      </c>
      <c r="B229" t="s">
        <v>110</v>
      </c>
      <c r="C229" t="s">
        <v>132</v>
      </c>
      <c r="D229" t="s">
        <v>67</v>
      </c>
      <c r="E229" s="4" t="s">
        <v>72</v>
      </c>
      <c r="F229" s="4"/>
      <c r="G229" s="27" t="s">
        <v>233</v>
      </c>
      <c r="H229" s="19">
        <v>15500</v>
      </c>
      <c r="I229" s="20">
        <v>16000</v>
      </c>
      <c r="J229" s="20">
        <v>16900</v>
      </c>
      <c r="K229" s="20">
        <v>16100</v>
      </c>
      <c r="L229" s="20">
        <v>16700</v>
      </c>
      <c r="M229" s="20">
        <v>16700</v>
      </c>
      <c r="N229" s="20">
        <v>17150</v>
      </c>
      <c r="O229" s="20">
        <v>17600</v>
      </c>
      <c r="P229" s="20">
        <v>18700</v>
      </c>
      <c r="Q229" s="20">
        <v>15600</v>
      </c>
      <c r="R229" s="20">
        <v>17000</v>
      </c>
      <c r="S229" s="21">
        <v>16000</v>
      </c>
      <c r="T229" s="22">
        <f t="shared" si="4"/>
        <v>199950</v>
      </c>
    </row>
    <row r="230" spans="1:20" x14ac:dyDescent="0.3">
      <c r="A230" t="s">
        <v>100</v>
      </c>
      <c r="B230" t="s">
        <v>110</v>
      </c>
      <c r="C230" t="s">
        <v>132</v>
      </c>
      <c r="D230" t="s">
        <v>67</v>
      </c>
      <c r="E230" s="2" t="s">
        <v>73</v>
      </c>
      <c r="F230" s="2"/>
      <c r="G230" s="27" t="s">
        <v>233</v>
      </c>
      <c r="H230" s="19">
        <v>200</v>
      </c>
      <c r="I230" s="20">
        <v>200</v>
      </c>
      <c r="J230" s="20">
        <v>200</v>
      </c>
      <c r="K230" s="20">
        <v>200</v>
      </c>
      <c r="L230" s="20">
        <v>200</v>
      </c>
      <c r="M230" s="20">
        <v>100</v>
      </c>
      <c r="N230" s="20">
        <v>200</v>
      </c>
      <c r="O230" s="20">
        <v>200</v>
      </c>
      <c r="P230" s="20">
        <v>300</v>
      </c>
      <c r="Q230" s="20">
        <v>200</v>
      </c>
      <c r="R230" s="20">
        <v>200</v>
      </c>
      <c r="S230" s="21">
        <v>230</v>
      </c>
      <c r="T230" s="22">
        <f t="shared" si="4"/>
        <v>2430</v>
      </c>
    </row>
    <row r="231" spans="1:20" x14ac:dyDescent="0.3">
      <c r="A231" t="s">
        <v>100</v>
      </c>
      <c r="B231" t="s">
        <v>110</v>
      </c>
      <c r="C231" t="s">
        <v>132</v>
      </c>
      <c r="D231" t="s">
        <v>74</v>
      </c>
      <c r="E231" s="3" t="s">
        <v>75</v>
      </c>
      <c r="F231" s="3"/>
      <c r="G231" s="27" t="s">
        <v>233</v>
      </c>
      <c r="H231" s="19">
        <v>7100</v>
      </c>
      <c r="I231" s="20">
        <v>7290</v>
      </c>
      <c r="J231" s="20">
        <v>7600</v>
      </c>
      <c r="K231" s="20">
        <v>7500</v>
      </c>
      <c r="L231" s="20">
        <v>7587</v>
      </c>
      <c r="M231" s="20">
        <v>7675</v>
      </c>
      <c r="N231" s="20">
        <v>7600</v>
      </c>
      <c r="O231" s="20">
        <v>7742</v>
      </c>
      <c r="P231" s="20">
        <v>7885</v>
      </c>
      <c r="Q231" s="20">
        <v>7600</v>
      </c>
      <c r="R231" s="20">
        <v>7742</v>
      </c>
      <c r="S231" s="21">
        <v>7884</v>
      </c>
      <c r="T231" s="22">
        <f t="shared" si="4"/>
        <v>91205</v>
      </c>
    </row>
    <row r="232" spans="1:20" x14ac:dyDescent="0.3">
      <c r="A232" t="s">
        <v>100</v>
      </c>
      <c r="B232" t="s">
        <v>110</v>
      </c>
      <c r="C232" t="s">
        <v>132</v>
      </c>
      <c r="D232" t="s">
        <v>74</v>
      </c>
      <c r="E232" s="3" t="s">
        <v>76</v>
      </c>
      <c r="F232" s="3"/>
      <c r="G232" s="27" t="s">
        <v>233</v>
      </c>
      <c r="H232" s="19">
        <v>3000</v>
      </c>
      <c r="I232" s="20">
        <v>2983</v>
      </c>
      <c r="J232" s="20">
        <v>3067</v>
      </c>
      <c r="K232" s="20">
        <v>2900</v>
      </c>
      <c r="L232" s="20">
        <v>3105</v>
      </c>
      <c r="M232" s="20">
        <v>3311</v>
      </c>
      <c r="N232" s="20">
        <v>2900</v>
      </c>
      <c r="O232" s="20">
        <v>3169</v>
      </c>
      <c r="P232" s="20">
        <v>3437</v>
      </c>
      <c r="Q232" s="20">
        <v>3000</v>
      </c>
      <c r="R232" s="20">
        <v>3169</v>
      </c>
      <c r="S232" s="21">
        <v>3337</v>
      </c>
      <c r="T232" s="22">
        <f t="shared" si="4"/>
        <v>37378</v>
      </c>
    </row>
    <row r="233" spans="1:20" x14ac:dyDescent="0.3">
      <c r="A233" t="s">
        <v>100</v>
      </c>
      <c r="B233" t="s">
        <v>110</v>
      </c>
      <c r="C233" t="s">
        <v>132</v>
      </c>
      <c r="D233" t="s">
        <v>74</v>
      </c>
      <c r="E233" s="3" t="s">
        <v>77</v>
      </c>
      <c r="F233" s="3"/>
      <c r="G233" s="27" t="s">
        <v>233</v>
      </c>
      <c r="H233" s="19">
        <v>9000</v>
      </c>
      <c r="I233" s="20">
        <v>9236</v>
      </c>
      <c r="J233" s="20">
        <v>10000</v>
      </c>
      <c r="K233" s="20">
        <v>9400</v>
      </c>
      <c r="L233" s="20">
        <v>9613</v>
      </c>
      <c r="M233" s="20">
        <v>9825</v>
      </c>
      <c r="N233" s="20">
        <v>9600</v>
      </c>
      <c r="O233" s="20">
        <v>9809</v>
      </c>
      <c r="P233" s="20">
        <v>9800</v>
      </c>
      <c r="Q233" s="20">
        <v>9800</v>
      </c>
      <c r="R233" s="20">
        <v>9809</v>
      </c>
      <c r="S233" s="21">
        <v>9817</v>
      </c>
      <c r="T233" s="22">
        <f t="shared" si="4"/>
        <v>115709</v>
      </c>
    </row>
    <row r="234" spans="1:20" x14ac:dyDescent="0.3">
      <c r="A234" t="s">
        <v>100</v>
      </c>
      <c r="B234" t="s">
        <v>110</v>
      </c>
      <c r="C234" t="s">
        <v>132</v>
      </c>
      <c r="D234" t="s">
        <v>74</v>
      </c>
      <c r="E234" s="3" t="s">
        <v>78</v>
      </c>
      <c r="F234" s="3"/>
      <c r="G234" s="27" t="s">
        <v>233</v>
      </c>
      <c r="H234" s="19">
        <v>8100</v>
      </c>
      <c r="I234" s="20">
        <v>8297</v>
      </c>
      <c r="J234" s="20">
        <v>9000</v>
      </c>
      <c r="K234" s="20">
        <v>7703</v>
      </c>
      <c r="L234" s="20">
        <v>8636</v>
      </c>
      <c r="M234" s="20">
        <v>9569</v>
      </c>
      <c r="N234" s="20">
        <v>7000</v>
      </c>
      <c r="O234" s="20">
        <v>8812</v>
      </c>
      <c r="P234" s="20">
        <v>10625</v>
      </c>
      <c r="Q234" s="20">
        <v>6900</v>
      </c>
      <c r="R234" s="20">
        <v>8812</v>
      </c>
      <c r="S234" s="21">
        <v>10724</v>
      </c>
      <c r="T234" s="22">
        <f t="shared" si="4"/>
        <v>104178</v>
      </c>
    </row>
    <row r="235" spans="1:20" x14ac:dyDescent="0.3">
      <c r="A235" t="s">
        <v>100</v>
      </c>
      <c r="B235" t="s">
        <v>110</v>
      </c>
      <c r="C235" t="s">
        <v>132</v>
      </c>
      <c r="D235" t="s">
        <v>74</v>
      </c>
      <c r="E235" s="3" t="s">
        <v>79</v>
      </c>
      <c r="F235" s="3"/>
      <c r="G235" s="27" t="s">
        <v>233</v>
      </c>
      <c r="H235" s="19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1">
        <v>0</v>
      </c>
      <c r="T235" s="22">
        <f t="shared" si="4"/>
        <v>0</v>
      </c>
    </row>
    <row r="236" spans="1:20" x14ac:dyDescent="0.3">
      <c r="A236" t="s">
        <v>100</v>
      </c>
      <c r="B236" t="s">
        <v>110</v>
      </c>
      <c r="C236" t="s">
        <v>132</v>
      </c>
      <c r="D236" t="s">
        <v>74</v>
      </c>
      <c r="E236" s="3" t="s">
        <v>80</v>
      </c>
      <c r="F236" s="3"/>
      <c r="G236" s="27" t="s">
        <v>233</v>
      </c>
      <c r="H236" s="19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1">
        <v>0</v>
      </c>
      <c r="T236" s="22">
        <f t="shared" si="4"/>
        <v>0</v>
      </c>
    </row>
    <row r="237" spans="1:20" x14ac:dyDescent="0.3">
      <c r="A237" t="s">
        <v>100</v>
      </c>
      <c r="B237" t="s">
        <v>110</v>
      </c>
      <c r="C237" t="s">
        <v>132</v>
      </c>
      <c r="D237" t="s">
        <v>74</v>
      </c>
      <c r="E237" s="3" t="s">
        <v>81</v>
      </c>
      <c r="F237" s="3"/>
      <c r="G237" s="27" t="s">
        <v>233</v>
      </c>
      <c r="H237" s="19">
        <v>9000</v>
      </c>
      <c r="I237" s="20">
        <v>9000</v>
      </c>
      <c r="J237" s="20">
        <v>10000</v>
      </c>
      <c r="K237" s="20">
        <v>9800</v>
      </c>
      <c r="L237" s="20">
        <v>9759</v>
      </c>
      <c r="M237" s="20">
        <v>9718</v>
      </c>
      <c r="N237" s="20">
        <v>9900</v>
      </c>
      <c r="O237" s="20">
        <v>9958</v>
      </c>
      <c r="P237" s="20">
        <v>11017</v>
      </c>
      <c r="Q237" s="20">
        <v>9900</v>
      </c>
      <c r="R237" s="20">
        <v>10958</v>
      </c>
      <c r="S237" s="21">
        <v>10016</v>
      </c>
      <c r="T237" s="22">
        <f t="shared" si="4"/>
        <v>119026</v>
      </c>
    </row>
    <row r="238" spans="1:20" x14ac:dyDescent="0.3">
      <c r="A238" t="s">
        <v>100</v>
      </c>
      <c r="B238" t="s">
        <v>110</v>
      </c>
      <c r="C238" t="s">
        <v>132</v>
      </c>
      <c r="D238" t="s">
        <v>74</v>
      </c>
      <c r="E238" s="3" t="s">
        <v>82</v>
      </c>
      <c r="F238" s="3"/>
      <c r="G238" s="27" t="s">
        <v>233</v>
      </c>
      <c r="H238" s="19">
        <v>1500</v>
      </c>
      <c r="I238" s="20">
        <v>1408</v>
      </c>
      <c r="J238" s="20">
        <v>2000</v>
      </c>
      <c r="K238" s="20">
        <v>1600</v>
      </c>
      <c r="L238" s="20">
        <v>1673</v>
      </c>
      <c r="M238" s="20">
        <v>1547</v>
      </c>
      <c r="N238" s="20">
        <v>1700</v>
      </c>
      <c r="O238" s="20">
        <v>1708</v>
      </c>
      <c r="P238" s="20">
        <v>1715</v>
      </c>
      <c r="Q238" s="20">
        <v>1800</v>
      </c>
      <c r="R238" s="20">
        <v>1707</v>
      </c>
      <c r="S238" s="21">
        <v>1615</v>
      </c>
      <c r="T238" s="22">
        <f t="shared" si="4"/>
        <v>19973</v>
      </c>
    </row>
    <row r="239" spans="1:20" x14ac:dyDescent="0.3">
      <c r="A239" t="s">
        <v>100</v>
      </c>
      <c r="B239" t="s">
        <v>110</v>
      </c>
      <c r="C239" t="s">
        <v>132</v>
      </c>
      <c r="D239" t="s">
        <v>74</v>
      </c>
      <c r="E239" s="3" t="s">
        <v>83</v>
      </c>
      <c r="F239" s="3"/>
      <c r="G239" s="27" t="s">
        <v>233</v>
      </c>
      <c r="H239" s="19">
        <v>7300</v>
      </c>
      <c r="I239" s="20">
        <v>7300</v>
      </c>
      <c r="J239" s="20">
        <v>7807</v>
      </c>
      <c r="K239" s="20">
        <v>7800</v>
      </c>
      <c r="L239" s="20">
        <v>7861</v>
      </c>
      <c r="M239" s="20">
        <v>7923</v>
      </c>
      <c r="N239" s="20">
        <v>7900</v>
      </c>
      <c r="O239" s="20">
        <v>8022</v>
      </c>
      <c r="P239" s="20">
        <v>8397</v>
      </c>
      <c r="Q239" s="20">
        <v>8900</v>
      </c>
      <c r="R239" s="20">
        <v>8022</v>
      </c>
      <c r="S239" s="21">
        <v>7144</v>
      </c>
      <c r="T239" s="22">
        <f t="shared" si="4"/>
        <v>94376</v>
      </c>
    </row>
    <row r="240" spans="1:20" x14ac:dyDescent="0.3">
      <c r="A240" t="s">
        <v>100</v>
      </c>
      <c r="B240" t="s">
        <v>125</v>
      </c>
      <c r="C240" t="s">
        <v>132</v>
      </c>
      <c r="D240" t="s">
        <v>84</v>
      </c>
      <c r="E240" s="2" t="s">
        <v>85</v>
      </c>
      <c r="F240" s="2"/>
      <c r="G240" s="27" t="s">
        <v>233</v>
      </c>
      <c r="H240" s="19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1">
        <v>0</v>
      </c>
      <c r="T240" s="22">
        <f t="shared" si="4"/>
        <v>0</v>
      </c>
    </row>
    <row r="241" spans="1:20" x14ac:dyDescent="0.3">
      <c r="A241" t="s">
        <v>100</v>
      </c>
      <c r="B241" t="s">
        <v>110</v>
      </c>
      <c r="C241" t="s">
        <v>132</v>
      </c>
      <c r="D241" t="s">
        <v>84</v>
      </c>
      <c r="E241" s="2" t="s">
        <v>86</v>
      </c>
      <c r="F241" s="2"/>
      <c r="G241" s="27" t="s">
        <v>233</v>
      </c>
      <c r="H241" s="19">
        <v>0</v>
      </c>
      <c r="I241" s="20">
        <v>20</v>
      </c>
      <c r="J241" s="20">
        <v>29</v>
      </c>
      <c r="K241" s="20">
        <v>0</v>
      </c>
      <c r="L241" s="20">
        <v>30</v>
      </c>
      <c r="M241" s="20">
        <v>21</v>
      </c>
      <c r="N241" s="20">
        <v>0</v>
      </c>
      <c r="O241" s="20">
        <v>30</v>
      </c>
      <c r="P241" s="20">
        <v>21</v>
      </c>
      <c r="Q241" s="20">
        <v>0</v>
      </c>
      <c r="R241" s="20">
        <v>29</v>
      </c>
      <c r="S241" s="21">
        <v>20</v>
      </c>
      <c r="T241" s="22">
        <f t="shared" si="4"/>
        <v>200</v>
      </c>
    </row>
    <row r="242" spans="1:20" x14ac:dyDescent="0.3">
      <c r="A242" t="s">
        <v>100</v>
      </c>
      <c r="B242" t="s">
        <v>110</v>
      </c>
      <c r="C242" t="s">
        <v>132</v>
      </c>
      <c r="D242" t="s">
        <v>84</v>
      </c>
      <c r="E242" s="2" t="s">
        <v>87</v>
      </c>
      <c r="F242" s="2"/>
      <c r="G242" s="27" t="s">
        <v>233</v>
      </c>
      <c r="H242" s="19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1">
        <v>0</v>
      </c>
      <c r="T242" s="22">
        <f t="shared" si="4"/>
        <v>0</v>
      </c>
    </row>
    <row r="243" spans="1:20" x14ac:dyDescent="0.3">
      <c r="A243" t="s">
        <v>100</v>
      </c>
      <c r="B243" t="s">
        <v>101</v>
      </c>
      <c r="C243" t="s">
        <v>135</v>
      </c>
      <c r="D243" t="s">
        <v>136</v>
      </c>
      <c r="E243" s="3" t="s">
        <v>88</v>
      </c>
      <c r="F243" s="3"/>
      <c r="G243" s="27" t="s">
        <v>233</v>
      </c>
      <c r="H243" s="19">
        <v>0</v>
      </c>
      <c r="I243" s="20">
        <v>2</v>
      </c>
      <c r="J243" s="20">
        <v>2</v>
      </c>
      <c r="K243" s="20">
        <v>2</v>
      </c>
      <c r="L243" s="20">
        <v>2</v>
      </c>
      <c r="M243" s="20">
        <v>2</v>
      </c>
      <c r="N243" s="20">
        <v>1</v>
      </c>
      <c r="O243" s="20">
        <v>2</v>
      </c>
      <c r="P243" s="20">
        <v>2</v>
      </c>
      <c r="Q243" s="20">
        <v>2</v>
      </c>
      <c r="R243" s="20">
        <v>2</v>
      </c>
      <c r="S243" s="21">
        <v>1</v>
      </c>
      <c r="T243" s="22">
        <f t="shared" si="4"/>
        <v>20</v>
      </c>
    </row>
    <row r="244" spans="1:20" x14ac:dyDescent="0.3">
      <c r="A244" t="s">
        <v>100</v>
      </c>
      <c r="B244" t="s">
        <v>101</v>
      </c>
      <c r="C244" t="s">
        <v>135</v>
      </c>
      <c r="D244" t="s">
        <v>136</v>
      </c>
      <c r="E244" s="3" t="s">
        <v>89</v>
      </c>
      <c r="F244" s="3"/>
      <c r="G244" s="27" t="s">
        <v>233</v>
      </c>
      <c r="H244" s="19">
        <v>0</v>
      </c>
      <c r="I244" s="20">
        <v>4</v>
      </c>
      <c r="J244" s="20">
        <v>5</v>
      </c>
      <c r="K244" s="20">
        <v>3</v>
      </c>
      <c r="L244" s="20">
        <v>3</v>
      </c>
      <c r="M244" s="20">
        <v>8</v>
      </c>
      <c r="N244" s="20">
        <v>3</v>
      </c>
      <c r="O244" s="20">
        <v>6</v>
      </c>
      <c r="P244" s="20">
        <v>5</v>
      </c>
      <c r="Q244" s="20">
        <v>3</v>
      </c>
      <c r="R244" s="20">
        <v>3</v>
      </c>
      <c r="S244" s="21">
        <v>3</v>
      </c>
      <c r="T244" s="22">
        <f t="shared" si="4"/>
        <v>46</v>
      </c>
    </row>
    <row r="245" spans="1:20" x14ac:dyDescent="0.3">
      <c r="A245" t="s">
        <v>100</v>
      </c>
      <c r="B245" t="s">
        <v>101</v>
      </c>
      <c r="C245" t="s">
        <v>135</v>
      </c>
      <c r="D245" t="s">
        <v>136</v>
      </c>
      <c r="E245" s="3" t="s">
        <v>90</v>
      </c>
      <c r="F245" s="3"/>
      <c r="G245" s="27" t="s">
        <v>233</v>
      </c>
      <c r="H245" s="19">
        <v>0</v>
      </c>
      <c r="I245" s="20">
        <v>4</v>
      </c>
      <c r="J245" s="20">
        <v>5</v>
      </c>
      <c r="K245" s="20">
        <v>3</v>
      </c>
      <c r="L245" s="20">
        <v>3</v>
      </c>
      <c r="M245" s="20">
        <v>8</v>
      </c>
      <c r="N245" s="20">
        <v>3</v>
      </c>
      <c r="O245" s="20">
        <v>6</v>
      </c>
      <c r="P245" s="20">
        <v>5</v>
      </c>
      <c r="Q245" s="20">
        <v>3</v>
      </c>
      <c r="R245" s="20">
        <v>3</v>
      </c>
      <c r="S245" s="21">
        <v>3</v>
      </c>
      <c r="T245" s="22">
        <f t="shared" si="4"/>
        <v>46</v>
      </c>
    </row>
    <row r="246" spans="1:20" x14ac:dyDescent="0.3">
      <c r="A246" t="s">
        <v>100</v>
      </c>
      <c r="B246" t="s">
        <v>101</v>
      </c>
      <c r="C246" t="s">
        <v>135</v>
      </c>
      <c r="D246" t="s">
        <v>136</v>
      </c>
      <c r="E246" s="3" t="s">
        <v>91</v>
      </c>
      <c r="F246" s="3"/>
      <c r="G246" s="27" t="s">
        <v>233</v>
      </c>
      <c r="H246" s="19">
        <v>2</v>
      </c>
      <c r="I246" s="20">
        <v>4</v>
      </c>
      <c r="J246" s="20">
        <v>6</v>
      </c>
      <c r="K246" s="20">
        <v>8</v>
      </c>
      <c r="L246" s="20">
        <v>9</v>
      </c>
      <c r="M246" s="20">
        <v>9</v>
      </c>
      <c r="N246" s="20">
        <v>7</v>
      </c>
      <c r="O246" s="20">
        <v>6</v>
      </c>
      <c r="P246" s="20">
        <v>6</v>
      </c>
      <c r="Q246" s="20">
        <v>6</v>
      </c>
      <c r="R246" s="20">
        <v>6</v>
      </c>
      <c r="S246" s="21">
        <v>6</v>
      </c>
      <c r="T246" s="22">
        <f t="shared" si="4"/>
        <v>75</v>
      </c>
    </row>
    <row r="247" spans="1:20" x14ac:dyDescent="0.3">
      <c r="A247" t="s">
        <v>100</v>
      </c>
      <c r="B247" t="s">
        <v>106</v>
      </c>
      <c r="C247" t="s">
        <v>135</v>
      </c>
      <c r="D247" t="s">
        <v>137</v>
      </c>
      <c r="E247" s="4" t="s">
        <v>92</v>
      </c>
      <c r="F247" s="4"/>
      <c r="G247" s="27" t="s">
        <v>233</v>
      </c>
      <c r="H247" s="19">
        <v>18970</v>
      </c>
      <c r="I247" s="20">
        <v>17220</v>
      </c>
      <c r="J247" s="20">
        <v>20890</v>
      </c>
      <c r="K247" s="20">
        <v>19110</v>
      </c>
      <c r="L247" s="20">
        <v>37620</v>
      </c>
      <c r="M247" s="20">
        <v>38870</v>
      </c>
      <c r="N247" s="20">
        <v>32760</v>
      </c>
      <c r="O247" s="20">
        <v>27260</v>
      </c>
      <c r="P247" s="20">
        <v>21300</v>
      </c>
      <c r="Q247" s="20">
        <v>17230</v>
      </c>
      <c r="R247" s="20">
        <v>17460</v>
      </c>
      <c r="S247" s="21">
        <v>21600</v>
      </c>
      <c r="T247" s="22">
        <f t="shared" si="4"/>
        <v>290290</v>
      </c>
    </row>
    <row r="248" spans="1:20" x14ac:dyDescent="0.3">
      <c r="A248" t="s">
        <v>100</v>
      </c>
      <c r="B248" t="s">
        <v>106</v>
      </c>
      <c r="C248" t="s">
        <v>135</v>
      </c>
      <c r="D248" t="s">
        <v>138</v>
      </c>
      <c r="E248" s="4" t="s">
        <v>93</v>
      </c>
      <c r="F248" s="4"/>
      <c r="G248" s="27" t="s">
        <v>233</v>
      </c>
      <c r="H248" s="19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1">
        <v>0</v>
      </c>
      <c r="T248" s="22">
        <f t="shared" si="4"/>
        <v>0</v>
      </c>
    </row>
    <row r="249" spans="1:20" x14ac:dyDescent="0.3">
      <c r="A249" t="s">
        <v>100</v>
      </c>
      <c r="B249" t="s">
        <v>106</v>
      </c>
      <c r="C249" t="s">
        <v>135</v>
      </c>
      <c r="D249" t="s">
        <v>138</v>
      </c>
      <c r="E249" s="4" t="s">
        <v>94</v>
      </c>
      <c r="F249" s="4"/>
      <c r="G249" s="27" t="s">
        <v>233</v>
      </c>
      <c r="H249" s="19">
        <v>160</v>
      </c>
      <c r="I249" s="20">
        <v>80</v>
      </c>
      <c r="J249" s="20">
        <v>135</v>
      </c>
      <c r="K249" s="20">
        <v>220</v>
      </c>
      <c r="L249" s="20">
        <v>220</v>
      </c>
      <c r="M249" s="20">
        <v>220</v>
      </c>
      <c r="N249" s="20">
        <v>280</v>
      </c>
      <c r="O249" s="20">
        <v>280</v>
      </c>
      <c r="P249" s="20">
        <v>280</v>
      </c>
      <c r="Q249" s="20">
        <v>220</v>
      </c>
      <c r="R249" s="20">
        <v>220</v>
      </c>
      <c r="S249" s="21">
        <v>214</v>
      </c>
      <c r="T249" s="22">
        <f t="shared" si="4"/>
        <v>2529</v>
      </c>
    </row>
    <row r="250" spans="1:20" x14ac:dyDescent="0.3">
      <c r="A250" t="s">
        <v>100</v>
      </c>
      <c r="B250" t="s">
        <v>106</v>
      </c>
      <c r="C250" t="s">
        <v>135</v>
      </c>
      <c r="D250" t="s">
        <v>120</v>
      </c>
      <c r="E250" s="18" t="s">
        <v>116</v>
      </c>
      <c r="F250" s="18"/>
      <c r="G250" s="27" t="s">
        <v>233</v>
      </c>
      <c r="H250" s="19">
        <v>347</v>
      </c>
      <c r="I250" s="20">
        <v>228</v>
      </c>
      <c r="J250" s="20">
        <v>307</v>
      </c>
      <c r="K250" s="20">
        <v>449</v>
      </c>
      <c r="L250" s="20">
        <v>173</v>
      </c>
      <c r="M250" s="20">
        <v>468</v>
      </c>
      <c r="N250" s="20">
        <v>357</v>
      </c>
      <c r="O250" s="20">
        <v>238</v>
      </c>
      <c r="P250" s="20">
        <v>238</v>
      </c>
      <c r="Q250" s="20">
        <v>238</v>
      </c>
      <c r="R250" s="20">
        <v>238</v>
      </c>
      <c r="S250" s="21">
        <v>351</v>
      </c>
      <c r="T250" s="22">
        <f t="shared" si="4"/>
        <v>3632</v>
      </c>
    </row>
    <row r="251" spans="1:20" x14ac:dyDescent="0.3">
      <c r="A251" t="s">
        <v>100</v>
      </c>
      <c r="B251" t="s">
        <v>101</v>
      </c>
      <c r="C251" t="s">
        <v>103</v>
      </c>
      <c r="D251" t="s">
        <v>118</v>
      </c>
      <c r="E251" s="3" t="s">
        <v>117</v>
      </c>
      <c r="F251" s="3"/>
      <c r="G251" s="27" t="s">
        <v>233</v>
      </c>
      <c r="H251" s="19">
        <v>0</v>
      </c>
      <c r="I251" s="20">
        <v>2</v>
      </c>
      <c r="J251" s="20">
        <v>5</v>
      </c>
      <c r="K251" s="20">
        <v>3</v>
      </c>
      <c r="L251" s="20">
        <v>3</v>
      </c>
      <c r="M251" s="20">
        <v>4</v>
      </c>
      <c r="N251" s="20">
        <v>3</v>
      </c>
      <c r="O251" s="20">
        <v>3</v>
      </c>
      <c r="P251" s="20">
        <v>5</v>
      </c>
      <c r="Q251" s="20">
        <v>3</v>
      </c>
      <c r="R251" s="20">
        <v>4</v>
      </c>
      <c r="S251" s="21">
        <v>5</v>
      </c>
      <c r="T251" s="22">
        <f t="shared" si="4"/>
        <v>40</v>
      </c>
    </row>
    <row r="252" spans="1:20" x14ac:dyDescent="0.3">
      <c r="A252" t="s">
        <v>100</v>
      </c>
      <c r="B252" t="s">
        <v>101</v>
      </c>
      <c r="C252" t="s">
        <v>132</v>
      </c>
      <c r="D252" t="s">
        <v>59</v>
      </c>
      <c r="E252" s="2" t="s">
        <v>62</v>
      </c>
      <c r="F252" s="2"/>
      <c r="G252" s="27" t="s">
        <v>233</v>
      </c>
      <c r="H252" s="19">
        <v>0</v>
      </c>
      <c r="I252" s="20">
        <v>0</v>
      </c>
      <c r="J252" s="20">
        <v>1</v>
      </c>
      <c r="K252" s="20">
        <v>0</v>
      </c>
      <c r="L252" s="20">
        <v>0</v>
      </c>
      <c r="M252" s="20">
        <v>2</v>
      </c>
      <c r="N252" s="20">
        <v>0</v>
      </c>
      <c r="O252" s="20">
        <v>0</v>
      </c>
      <c r="P252" s="20">
        <v>1</v>
      </c>
      <c r="Q252" s="20">
        <v>0</v>
      </c>
      <c r="R252" s="20">
        <v>0</v>
      </c>
      <c r="S252" s="21">
        <v>1</v>
      </c>
      <c r="T252" s="22">
        <f t="shared" si="4"/>
        <v>5</v>
      </c>
    </row>
    <row r="253" spans="1:20" x14ac:dyDescent="0.3">
      <c r="A253" t="s">
        <v>100</v>
      </c>
      <c r="B253" t="s">
        <v>106</v>
      </c>
      <c r="C253" t="s">
        <v>103</v>
      </c>
      <c r="D253" t="s">
        <v>118</v>
      </c>
      <c r="E253" s="2" t="s">
        <v>119</v>
      </c>
      <c r="F253" s="2"/>
      <c r="G253" s="27" t="s">
        <v>233</v>
      </c>
      <c r="H253" s="19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1">
        <v>0</v>
      </c>
      <c r="T253" s="22">
        <f t="shared" si="4"/>
        <v>0</v>
      </c>
    </row>
    <row r="254" spans="1:20" x14ac:dyDescent="0.3">
      <c r="A254" t="s">
        <v>141</v>
      </c>
      <c r="B254" t="s">
        <v>142</v>
      </c>
      <c r="C254" t="s">
        <v>143</v>
      </c>
      <c r="D254" t="s">
        <v>144</v>
      </c>
      <c r="E254" t="s">
        <v>145</v>
      </c>
      <c r="F254" s="23" t="s">
        <v>146</v>
      </c>
      <c r="G254" s="27" t="s">
        <v>233</v>
      </c>
      <c r="H254" s="25">
        <v>45550.098872096773</v>
      </c>
      <c r="I254" s="25">
        <v>35191.127292990896</v>
      </c>
      <c r="J254" s="25">
        <v>50107.31354602339</v>
      </c>
      <c r="K254" s="25">
        <v>38742.894120209487</v>
      </c>
      <c r="L254" s="25">
        <v>65001.642497578963</v>
      </c>
      <c r="M254" s="25">
        <v>62215.2172779428</v>
      </c>
      <c r="N254" s="25">
        <v>64874.954402921619</v>
      </c>
      <c r="O254" s="25">
        <v>59759.277087989831</v>
      </c>
      <c r="P254" s="25">
        <v>69908.523189726999</v>
      </c>
      <c r="Q254" s="25">
        <v>56052.492244419504</v>
      </c>
      <c r="R254" s="25">
        <v>62594.109593837435</v>
      </c>
      <c r="S254" s="25">
        <v>39848.643967418204</v>
      </c>
      <c r="T254" s="22">
        <f t="shared" si="4"/>
        <v>649846.29409315588</v>
      </c>
    </row>
    <row r="255" spans="1:20" x14ac:dyDescent="0.3">
      <c r="A255" t="s">
        <v>141</v>
      </c>
      <c r="B255" t="s">
        <v>142</v>
      </c>
      <c r="C255" t="s">
        <v>143</v>
      </c>
      <c r="D255" t="s">
        <v>144</v>
      </c>
      <c r="E255" t="s">
        <v>145</v>
      </c>
      <c r="F255" s="23" t="s">
        <v>147</v>
      </c>
      <c r="G255" s="27" t="s">
        <v>233</v>
      </c>
      <c r="H255" s="25">
        <v>23298.042391561066</v>
      </c>
      <c r="I255" s="25">
        <v>18143.333108880626</v>
      </c>
      <c r="J255" s="25">
        <v>42002.088604615499</v>
      </c>
      <c r="K255" s="25">
        <v>17772.789382056439</v>
      </c>
      <c r="L255" s="25">
        <v>26198.038667592453</v>
      </c>
      <c r="M255" s="25">
        <v>27450.380952809934</v>
      </c>
      <c r="N255" s="25">
        <v>34171.831491971403</v>
      </c>
      <c r="O255" s="25">
        <v>26001.223414937544</v>
      </c>
      <c r="P255" s="25">
        <v>27512.627168713821</v>
      </c>
      <c r="Q255" s="25">
        <v>39749.565821755619</v>
      </c>
      <c r="R255" s="25">
        <v>27367.87221829113</v>
      </c>
      <c r="S255" s="25">
        <v>31127.602299602753</v>
      </c>
      <c r="T255" s="22">
        <f t="shared" si="4"/>
        <v>340795.39552278834</v>
      </c>
    </row>
    <row r="256" spans="1:20" x14ac:dyDescent="0.3">
      <c r="A256" t="s">
        <v>141</v>
      </c>
      <c r="B256" t="s">
        <v>142</v>
      </c>
      <c r="C256" t="s">
        <v>143</v>
      </c>
      <c r="D256" t="s">
        <v>148</v>
      </c>
      <c r="E256" t="s">
        <v>149</v>
      </c>
      <c r="F256" s="23" t="s">
        <v>150</v>
      </c>
      <c r="G256" s="27" t="s">
        <v>233</v>
      </c>
      <c r="H256" s="25">
        <v>49173.418044715901</v>
      </c>
      <c r="I256" s="25">
        <v>39657.478755416851</v>
      </c>
      <c r="J256" s="25">
        <v>58663.923856598209</v>
      </c>
      <c r="K256" s="25">
        <v>40392.255022140656</v>
      </c>
      <c r="L256" s="25">
        <v>69180.27226065268</v>
      </c>
      <c r="M256" s="25">
        <v>58158.644360025763</v>
      </c>
      <c r="N256" s="25">
        <v>32099.772230721821</v>
      </c>
      <c r="O256" s="25">
        <v>39997.899251703398</v>
      </c>
      <c r="P256" s="25">
        <v>89662.428551174497</v>
      </c>
      <c r="Q256" s="25">
        <v>94837.650030823381</v>
      </c>
      <c r="R256" s="25">
        <v>37420.082750301401</v>
      </c>
      <c r="S256" s="25">
        <v>62450.527490271314</v>
      </c>
      <c r="T256" s="22">
        <f t="shared" si="4"/>
        <v>671694.35260454589</v>
      </c>
    </row>
    <row r="257" spans="1:20" x14ac:dyDescent="0.3">
      <c r="A257" t="s">
        <v>141</v>
      </c>
      <c r="B257" t="s">
        <v>142</v>
      </c>
      <c r="C257" t="s">
        <v>143</v>
      </c>
      <c r="D257" t="s">
        <v>148</v>
      </c>
      <c r="E257" t="s">
        <v>151</v>
      </c>
      <c r="F257" s="23" t="s">
        <v>152</v>
      </c>
      <c r="G257" s="27" t="s">
        <v>233</v>
      </c>
      <c r="H257" s="25">
        <v>11171.68044295352</v>
      </c>
      <c r="I257" s="25">
        <v>8952.5803530655703</v>
      </c>
      <c r="J257" s="25">
        <v>13110.312605281979</v>
      </c>
      <c r="K257" s="25">
        <v>8016.7108589509362</v>
      </c>
      <c r="L257" s="25">
        <v>13592.6979702523</v>
      </c>
      <c r="M257" s="25">
        <v>12378.272550477635</v>
      </c>
      <c r="N257" s="25">
        <v>6267.3531728231546</v>
      </c>
      <c r="O257" s="25">
        <v>7845.2238346153144</v>
      </c>
      <c r="P257" s="25">
        <v>19253.13496472776</v>
      </c>
      <c r="Q257" s="25">
        <v>18576.04981190008</v>
      </c>
      <c r="R257" s="25">
        <v>7362.4784480036087</v>
      </c>
      <c r="S257" s="25">
        <v>13562.160810885925</v>
      </c>
      <c r="T257" s="22">
        <f t="shared" si="4"/>
        <v>140088.65582393779</v>
      </c>
    </row>
    <row r="258" spans="1:20" x14ac:dyDescent="0.3">
      <c r="A258" t="s">
        <v>141</v>
      </c>
      <c r="B258" t="s">
        <v>142</v>
      </c>
      <c r="C258" t="s">
        <v>143</v>
      </c>
      <c r="D258" t="s">
        <v>148</v>
      </c>
      <c r="E258" t="s">
        <v>151</v>
      </c>
      <c r="F258" s="23" t="s">
        <v>153</v>
      </c>
      <c r="G258" s="27" t="s">
        <v>233</v>
      </c>
      <c r="H258" s="25">
        <v>9136.6589305968919</v>
      </c>
      <c r="I258" s="25">
        <v>4330.4495820590028</v>
      </c>
      <c r="J258" s="25">
        <v>7144.9856199224705</v>
      </c>
      <c r="K258" s="25">
        <v>16465.999788413941</v>
      </c>
      <c r="L258" s="25">
        <v>21576.925439376799</v>
      </c>
      <c r="M258" s="25">
        <v>2071.8322421036428</v>
      </c>
      <c r="N258" s="25">
        <v>9882.5440286448502</v>
      </c>
      <c r="O258" s="25">
        <v>10939.195056264802</v>
      </c>
      <c r="P258" s="25">
        <v>14743.60914437063</v>
      </c>
      <c r="Q258" s="25">
        <v>13046.250541923831</v>
      </c>
      <c r="R258" s="25">
        <v>10490.457890812901</v>
      </c>
      <c r="S258" s="25">
        <v>10035.009307098955</v>
      </c>
      <c r="T258" s="22">
        <f t="shared" si="4"/>
        <v>129863.91757158871</v>
      </c>
    </row>
    <row r="259" spans="1:20" x14ac:dyDescent="0.3">
      <c r="A259" t="s">
        <v>141</v>
      </c>
      <c r="B259" t="s">
        <v>142</v>
      </c>
      <c r="C259" t="s">
        <v>143</v>
      </c>
      <c r="D259" t="s">
        <v>148</v>
      </c>
      <c r="E259" t="s">
        <v>151</v>
      </c>
      <c r="F259" s="23" t="s">
        <v>154</v>
      </c>
      <c r="G259" s="27" t="s">
        <v>233</v>
      </c>
      <c r="H259" s="25">
        <v>86</v>
      </c>
      <c r="I259" s="25">
        <v>24</v>
      </c>
      <c r="J259" s="25">
        <v>61</v>
      </c>
      <c r="K259" s="25">
        <v>139.6</v>
      </c>
      <c r="L259" s="25">
        <v>14.780000000000001</v>
      </c>
      <c r="M259" s="25">
        <v>310.83000000000004</v>
      </c>
      <c r="N259" s="25">
        <v>139.53</v>
      </c>
      <c r="O259" s="25">
        <v>206.67000000000002</v>
      </c>
      <c r="P259" s="25">
        <v>132.63999999999999</v>
      </c>
      <c r="Q259" s="25">
        <v>88.17</v>
      </c>
      <c r="R259" s="25">
        <v>196.05</v>
      </c>
      <c r="S259" s="25">
        <v>116.46000000000001</v>
      </c>
      <c r="T259" s="22">
        <f t="shared" si="4"/>
        <v>1515.7300000000002</v>
      </c>
    </row>
    <row r="260" spans="1:20" x14ac:dyDescent="0.3">
      <c r="A260" t="s">
        <v>141</v>
      </c>
      <c r="B260" t="s">
        <v>142</v>
      </c>
      <c r="C260" t="s">
        <v>143</v>
      </c>
      <c r="D260" t="s">
        <v>155</v>
      </c>
      <c r="E260" t="s">
        <v>156</v>
      </c>
      <c r="F260" s="23" t="s">
        <v>157</v>
      </c>
      <c r="G260" s="27" t="s">
        <v>233</v>
      </c>
      <c r="H260" s="25">
        <v>19898.485498019523</v>
      </c>
      <c r="I260" s="25">
        <v>19779.914834090996</v>
      </c>
      <c r="J260" s="25">
        <v>30983.377157269279</v>
      </c>
      <c r="K260" s="25">
        <v>26384.913903262914</v>
      </c>
      <c r="L260" s="25">
        <v>29109.590127064021</v>
      </c>
      <c r="M260" s="25">
        <v>31732.562580082598</v>
      </c>
      <c r="N260" s="25">
        <v>36081.984338739196</v>
      </c>
      <c r="O260" s="25">
        <v>29318.137375127244</v>
      </c>
      <c r="P260" s="25">
        <v>37011.841073726886</v>
      </c>
      <c r="Q260" s="25">
        <v>38256.406408518364</v>
      </c>
      <c r="R260" s="25">
        <v>29123.966526850523</v>
      </c>
      <c r="S260" s="25">
        <v>22322.373785309101</v>
      </c>
      <c r="T260" s="22">
        <f t="shared" si="4"/>
        <v>350003.55360806064</v>
      </c>
    </row>
    <row r="261" spans="1:20" x14ac:dyDescent="0.3">
      <c r="A261" t="s">
        <v>141</v>
      </c>
      <c r="B261" t="s">
        <v>142</v>
      </c>
      <c r="C261" t="s">
        <v>143</v>
      </c>
      <c r="D261" t="s">
        <v>155</v>
      </c>
      <c r="E261" t="s">
        <v>156</v>
      </c>
      <c r="F261" s="23" t="s">
        <v>158</v>
      </c>
      <c r="G261" s="27" t="s">
        <v>233</v>
      </c>
      <c r="H261" s="25">
        <v>26723.196079225592</v>
      </c>
      <c r="I261" s="25">
        <v>19530.460989416766</v>
      </c>
      <c r="J261" s="25">
        <v>40922.704702787916</v>
      </c>
      <c r="K261" s="25">
        <v>18989.978249190201</v>
      </c>
      <c r="L261" s="25">
        <v>26779.030189403096</v>
      </c>
      <c r="M261" s="25">
        <v>25951.621818512485</v>
      </c>
      <c r="N261" s="25">
        <v>29340.796374658894</v>
      </c>
      <c r="O261" s="25">
        <v>20057.640180227307</v>
      </c>
      <c r="P261" s="25">
        <v>32796.183322554105</v>
      </c>
      <c r="Q261" s="25">
        <v>45451.698890522312</v>
      </c>
      <c r="R261" s="25">
        <v>20659.292659412517</v>
      </c>
      <c r="S261" s="25">
        <v>32359.850483106249</v>
      </c>
      <c r="T261" s="22">
        <f t="shared" si="4"/>
        <v>339562.45393901743</v>
      </c>
    </row>
    <row r="262" spans="1:20" x14ac:dyDescent="0.3">
      <c r="A262" t="s">
        <v>141</v>
      </c>
      <c r="B262" t="s">
        <v>142</v>
      </c>
      <c r="C262" t="s">
        <v>143</v>
      </c>
      <c r="D262" t="s">
        <v>155</v>
      </c>
      <c r="E262" t="s">
        <v>159</v>
      </c>
      <c r="F262" s="23" t="s">
        <v>160</v>
      </c>
      <c r="G262" s="27" t="s">
        <v>233</v>
      </c>
      <c r="H262" s="25">
        <v>1848.6525083470274</v>
      </c>
      <c r="I262" s="25">
        <v>1232.4350055646848</v>
      </c>
      <c r="J262" s="25">
        <v>2464.8700111293697</v>
      </c>
      <c r="K262" s="25">
        <v>2753.013315430393</v>
      </c>
      <c r="L262" s="25">
        <v>2753.013315430393</v>
      </c>
      <c r="M262" s="25">
        <v>3976.5747889550134</v>
      </c>
      <c r="N262" s="25">
        <v>5047.1910782890536</v>
      </c>
      <c r="O262" s="25">
        <v>5047.1910782890536</v>
      </c>
      <c r="P262" s="25">
        <v>5506.0266308607861</v>
      </c>
      <c r="Q262" s="25">
        <v>5506.0266308607861</v>
      </c>
      <c r="R262" s="25">
        <v>5506.0266308607861</v>
      </c>
      <c r="S262" s="25">
        <v>5658.9718150513618</v>
      </c>
      <c r="T262" s="22">
        <f t="shared" si="4"/>
        <v>47299.992809068717</v>
      </c>
    </row>
    <row r="263" spans="1:20" x14ac:dyDescent="0.3">
      <c r="A263" t="s">
        <v>141</v>
      </c>
      <c r="B263" t="s">
        <v>142</v>
      </c>
      <c r="C263" t="s">
        <v>143</v>
      </c>
      <c r="D263" t="s">
        <v>155</v>
      </c>
      <c r="E263" t="s">
        <v>159</v>
      </c>
      <c r="F263" s="23" t="s">
        <v>161</v>
      </c>
      <c r="G263" s="27" t="s">
        <v>233</v>
      </c>
      <c r="H263" s="25">
        <v>0</v>
      </c>
      <c r="I263" s="25">
        <v>0</v>
      </c>
      <c r="J263" s="25">
        <v>0</v>
      </c>
      <c r="K263" s="25">
        <v>0</v>
      </c>
      <c r="L263" s="25">
        <v>0</v>
      </c>
      <c r="M263" s="25">
        <v>0</v>
      </c>
      <c r="N263" s="25">
        <v>0</v>
      </c>
      <c r="O263" s="25">
        <v>0</v>
      </c>
      <c r="P263" s="25">
        <v>0</v>
      </c>
      <c r="Q263" s="25">
        <v>0</v>
      </c>
      <c r="R263" s="25">
        <v>0</v>
      </c>
      <c r="S263" s="25">
        <v>0</v>
      </c>
      <c r="T263" s="22">
        <f t="shared" si="4"/>
        <v>0</v>
      </c>
    </row>
    <row r="264" spans="1:20" x14ac:dyDescent="0.3">
      <c r="A264" t="s">
        <v>141</v>
      </c>
      <c r="B264" t="s">
        <v>142</v>
      </c>
      <c r="C264" t="s">
        <v>143</v>
      </c>
      <c r="D264" t="s">
        <v>162</v>
      </c>
      <c r="E264" t="s">
        <v>163</v>
      </c>
      <c r="F264" s="23" t="s">
        <v>164</v>
      </c>
      <c r="G264" s="27" t="s">
        <v>233</v>
      </c>
      <c r="H264" s="25">
        <v>7356.3827421739015</v>
      </c>
      <c r="I264" s="25">
        <v>5810.9166857950477</v>
      </c>
      <c r="J264" s="25">
        <v>8307.7932804575612</v>
      </c>
      <c r="K264" s="25">
        <v>15255.082364794413</v>
      </c>
      <c r="L264" s="25">
        <v>18534.720965046483</v>
      </c>
      <c r="M264" s="25">
        <v>9184.0668300626221</v>
      </c>
      <c r="N264" s="25">
        <v>4999.5719680999355</v>
      </c>
      <c r="O264" s="25">
        <v>14442.56260257475</v>
      </c>
      <c r="P264" s="25">
        <v>12311.423187950024</v>
      </c>
      <c r="Q264" s="25">
        <v>8910.4627024859856</v>
      </c>
      <c r="R264" s="25">
        <v>15273.68308014692</v>
      </c>
      <c r="S264" s="25">
        <v>8541.2659889862989</v>
      </c>
      <c r="T264" s="22">
        <f t="shared" si="4"/>
        <v>128927.93239857393</v>
      </c>
    </row>
    <row r="265" spans="1:20" x14ac:dyDescent="0.3">
      <c r="A265" t="s">
        <v>141</v>
      </c>
      <c r="B265" t="s">
        <v>142</v>
      </c>
      <c r="C265" t="s">
        <v>143</v>
      </c>
      <c r="D265" t="s">
        <v>162</v>
      </c>
      <c r="E265" t="s">
        <v>165</v>
      </c>
      <c r="F265" s="23" t="s">
        <v>166</v>
      </c>
      <c r="G265" s="27" t="s">
        <v>233</v>
      </c>
      <c r="H265" s="25">
        <v>3688.9770252835815</v>
      </c>
      <c r="I265" s="25">
        <v>3243.9750001333473</v>
      </c>
      <c r="J265" s="25">
        <v>4080.5438652064222</v>
      </c>
      <c r="K265" s="25">
        <v>1794.311281653255</v>
      </c>
      <c r="L265" s="25">
        <v>2991.5750975584815</v>
      </c>
      <c r="M265" s="25">
        <v>3970.4095681169124</v>
      </c>
      <c r="N265" s="25">
        <v>2825.6444559882093</v>
      </c>
      <c r="O265" s="25">
        <v>3443.1306391950266</v>
      </c>
      <c r="P265" s="25">
        <v>4966.8469308809345</v>
      </c>
      <c r="Q265" s="25">
        <v>2953.509965309072</v>
      </c>
      <c r="R265" s="25">
        <v>2080.1077222403765</v>
      </c>
      <c r="S265" s="25">
        <v>3755.5713975430117</v>
      </c>
      <c r="T265" s="22">
        <f t="shared" si="4"/>
        <v>39794.602949108637</v>
      </c>
    </row>
    <row r="266" spans="1:20" x14ac:dyDescent="0.3">
      <c r="A266" t="s">
        <v>141</v>
      </c>
      <c r="B266" t="s">
        <v>142</v>
      </c>
      <c r="C266" t="s">
        <v>143</v>
      </c>
      <c r="D266" t="s">
        <v>162</v>
      </c>
      <c r="E266" t="s">
        <v>165</v>
      </c>
      <c r="F266" s="23" t="s">
        <v>167</v>
      </c>
      <c r="G266" s="27" t="s">
        <v>233</v>
      </c>
      <c r="H266" s="25">
        <v>2230.4775369428157</v>
      </c>
      <c r="I266" s="25">
        <v>1556.1698051512842</v>
      </c>
      <c r="J266" s="25">
        <v>2202.7295784382463</v>
      </c>
      <c r="K266" s="25">
        <v>1651.9095658445358</v>
      </c>
      <c r="L266" s="25">
        <v>2384.8668381111738</v>
      </c>
      <c r="M266" s="25">
        <v>2563.1268649029798</v>
      </c>
      <c r="N266" s="25">
        <v>1634.6228767082464</v>
      </c>
      <c r="O266" s="25">
        <v>1842.4111188237669</v>
      </c>
      <c r="P266" s="25">
        <v>3940.0509868526478</v>
      </c>
      <c r="Q266" s="25">
        <v>2826.4207599566389</v>
      </c>
      <c r="R266" s="25">
        <v>1439.7931229448111</v>
      </c>
      <c r="S266" s="25">
        <v>2545.1902363998793</v>
      </c>
      <c r="T266" s="22">
        <f t="shared" si="4"/>
        <v>26817.769291077027</v>
      </c>
    </row>
    <row r="267" spans="1:20" x14ac:dyDescent="0.3">
      <c r="A267" t="s">
        <v>141</v>
      </c>
      <c r="B267" t="s">
        <v>142</v>
      </c>
      <c r="C267" t="s">
        <v>143</v>
      </c>
      <c r="D267" t="s">
        <v>162</v>
      </c>
      <c r="E267" t="s">
        <v>165</v>
      </c>
      <c r="F267" s="23" t="s">
        <v>168</v>
      </c>
      <c r="G267" s="27" t="s">
        <v>233</v>
      </c>
      <c r="H267" s="25">
        <v>604.58771341818704</v>
      </c>
      <c r="I267" s="25">
        <v>400.4871493795801</v>
      </c>
      <c r="J267" s="25">
        <v>644.00899405061659</v>
      </c>
      <c r="K267" s="25">
        <v>561.60815714378259</v>
      </c>
      <c r="L267" s="25">
        <v>723.52900056015505</v>
      </c>
      <c r="M267" s="25">
        <v>769.55805839267282</v>
      </c>
      <c r="N267" s="25">
        <v>681.45543535608806</v>
      </c>
      <c r="O267" s="25">
        <v>711.2480368926598</v>
      </c>
      <c r="P267" s="25">
        <v>1027.9524091709827</v>
      </c>
      <c r="Q267" s="25">
        <v>753.6798199135302</v>
      </c>
      <c r="R267" s="25">
        <v>400.79688815444433</v>
      </c>
      <c r="S267" s="25">
        <v>835.92084074684635</v>
      </c>
      <c r="T267" s="22">
        <f t="shared" si="4"/>
        <v>8114.8325031795466</v>
      </c>
    </row>
    <row r="268" spans="1:20" x14ac:dyDescent="0.3">
      <c r="A268" t="s">
        <v>141</v>
      </c>
      <c r="B268" t="s">
        <v>142</v>
      </c>
      <c r="C268" t="s">
        <v>143</v>
      </c>
      <c r="D268" t="s">
        <v>162</v>
      </c>
      <c r="E268" t="s">
        <v>169</v>
      </c>
      <c r="F268" s="23" t="s">
        <v>170</v>
      </c>
      <c r="G268" s="27" t="s">
        <v>233</v>
      </c>
      <c r="H268" s="25">
        <v>2405.3366142641084</v>
      </c>
      <c r="I268" s="25">
        <v>1495.4535727253653</v>
      </c>
      <c r="J268" s="25">
        <v>1905.3775823540921</v>
      </c>
      <c r="K268" s="25">
        <v>1594.8392559071194</v>
      </c>
      <c r="L268" s="25">
        <v>2146.6976767945257</v>
      </c>
      <c r="M268" s="25">
        <v>2224.3722803466198</v>
      </c>
      <c r="N268" s="25">
        <v>1177.3005379616486</v>
      </c>
      <c r="O268" s="25">
        <v>1311.43744961941</v>
      </c>
      <c r="P268" s="25">
        <v>2144.1349805934929</v>
      </c>
      <c r="Q268" s="25">
        <v>1608.9208096215937</v>
      </c>
      <c r="R268" s="25">
        <v>874.56767472427362</v>
      </c>
      <c r="S268" s="25">
        <v>1330.8595544427553</v>
      </c>
      <c r="T268" s="22">
        <f t="shared" si="4"/>
        <v>20219.297989355004</v>
      </c>
    </row>
    <row r="269" spans="1:20" x14ac:dyDescent="0.3">
      <c r="A269" t="s">
        <v>141</v>
      </c>
      <c r="B269" t="s">
        <v>142</v>
      </c>
      <c r="C269" t="s">
        <v>143</v>
      </c>
      <c r="D269" t="s">
        <v>162</v>
      </c>
      <c r="E269" t="s">
        <v>169</v>
      </c>
      <c r="F269" s="23" t="s">
        <v>171</v>
      </c>
      <c r="G269" s="27" t="s">
        <v>233</v>
      </c>
      <c r="H269" s="25">
        <v>896.05388936685495</v>
      </c>
      <c r="I269" s="25">
        <v>624.62763175574514</v>
      </c>
      <c r="J269" s="25">
        <v>977.36321688026158</v>
      </c>
      <c r="K269" s="25">
        <v>618.79284927703156</v>
      </c>
      <c r="L269" s="25">
        <v>959.67260465182449</v>
      </c>
      <c r="M269" s="25">
        <v>951.03707059496082</v>
      </c>
      <c r="N269" s="25">
        <v>617.60685596356973</v>
      </c>
      <c r="O269" s="25">
        <v>654.04401032073656</v>
      </c>
      <c r="P269" s="25">
        <v>748.89990713878456</v>
      </c>
      <c r="Q269" s="25">
        <v>491.84480758496136</v>
      </c>
      <c r="R269" s="25">
        <v>335.85068290336352</v>
      </c>
      <c r="S269" s="25">
        <v>498.88678770040701</v>
      </c>
      <c r="T269" s="22">
        <f t="shared" si="4"/>
        <v>8374.6803141385008</v>
      </c>
    </row>
    <row r="270" spans="1:20" x14ac:dyDescent="0.3">
      <c r="A270" t="s">
        <v>141</v>
      </c>
      <c r="B270" t="s">
        <v>142</v>
      </c>
      <c r="C270" t="s">
        <v>143</v>
      </c>
      <c r="D270" t="s">
        <v>162</v>
      </c>
      <c r="E270" t="s">
        <v>172</v>
      </c>
      <c r="F270" s="23" t="s">
        <v>173</v>
      </c>
      <c r="G270" s="27" t="s">
        <v>233</v>
      </c>
      <c r="H270" s="25">
        <v>684.75130691778782</v>
      </c>
      <c r="I270" s="25">
        <v>638.91178640927853</v>
      </c>
      <c r="J270" s="25">
        <v>797.54432642237816</v>
      </c>
      <c r="K270" s="25">
        <v>579.33790053615235</v>
      </c>
      <c r="L270" s="25">
        <v>804.48862691989575</v>
      </c>
      <c r="M270" s="25">
        <v>921.82867278692436</v>
      </c>
      <c r="N270" s="25">
        <v>636.31628387956152</v>
      </c>
      <c r="O270" s="25">
        <v>679.63160102273741</v>
      </c>
      <c r="P270" s="25">
        <v>911.7837520219332</v>
      </c>
      <c r="Q270" s="25">
        <v>701.34926985491984</v>
      </c>
      <c r="R270" s="25">
        <v>552.4820797074392</v>
      </c>
      <c r="S270" s="25">
        <v>595.45693910954265</v>
      </c>
      <c r="T270" s="22">
        <f t="shared" si="4"/>
        <v>8503.8825455885508</v>
      </c>
    </row>
    <row r="271" spans="1:20" x14ac:dyDescent="0.3">
      <c r="A271" t="s">
        <v>141</v>
      </c>
      <c r="B271" t="s">
        <v>142</v>
      </c>
      <c r="C271" t="s">
        <v>143</v>
      </c>
      <c r="D271" t="s">
        <v>162</v>
      </c>
      <c r="E271" t="s">
        <v>172</v>
      </c>
      <c r="F271" s="23" t="s">
        <v>174</v>
      </c>
      <c r="G271" s="27" t="s">
        <v>233</v>
      </c>
      <c r="H271" s="25">
        <v>853.74405010467649</v>
      </c>
      <c r="I271" s="25">
        <v>454.30728398008807</v>
      </c>
      <c r="J271" s="25">
        <v>849.83400462416796</v>
      </c>
      <c r="K271" s="25">
        <v>513.32377759581402</v>
      </c>
      <c r="L271" s="25">
        <v>825.56836560354373</v>
      </c>
      <c r="M271" s="25">
        <v>896.99312903383998</v>
      </c>
      <c r="N271" s="25">
        <v>700.5482566117654</v>
      </c>
      <c r="O271" s="25">
        <v>702.28325055032792</v>
      </c>
      <c r="P271" s="25">
        <v>816.47838401247316</v>
      </c>
      <c r="Q271" s="25">
        <v>542.29158922828196</v>
      </c>
      <c r="R271" s="25">
        <v>359.01276730892442</v>
      </c>
      <c r="S271" s="25">
        <v>499.93099399896056</v>
      </c>
      <c r="T271" s="22">
        <f t="shared" si="4"/>
        <v>8014.3158526528632</v>
      </c>
    </row>
    <row r="272" spans="1:20" x14ac:dyDescent="0.3">
      <c r="A272" t="s">
        <v>141</v>
      </c>
      <c r="B272" t="s">
        <v>142</v>
      </c>
      <c r="C272" t="s">
        <v>143</v>
      </c>
      <c r="D272" t="s">
        <v>162</v>
      </c>
      <c r="E272" t="s">
        <v>172</v>
      </c>
      <c r="F272" s="23" t="s">
        <v>175</v>
      </c>
      <c r="G272" s="27" t="s">
        <v>233</v>
      </c>
      <c r="H272" s="25">
        <v>271.60300828161633</v>
      </c>
      <c r="I272" s="25">
        <v>189.73495018476822</v>
      </c>
      <c r="J272" s="25">
        <v>285.75045560876191</v>
      </c>
      <c r="K272" s="25">
        <v>190.97904704896337</v>
      </c>
      <c r="L272" s="25">
        <v>303.26521176352134</v>
      </c>
      <c r="M272" s="25">
        <v>359.27531565798552</v>
      </c>
      <c r="N272" s="25">
        <v>254.4869266934393</v>
      </c>
      <c r="O272" s="25">
        <v>269.81069701308547</v>
      </c>
      <c r="P272" s="25">
        <v>295.94086943794736</v>
      </c>
      <c r="Q272" s="25">
        <v>236.11096427095322</v>
      </c>
      <c r="R272" s="25">
        <v>125.76006127567271</v>
      </c>
      <c r="S272" s="25">
        <v>187.94963652191063</v>
      </c>
      <c r="T272" s="22">
        <f t="shared" si="4"/>
        <v>2970.6671437586256</v>
      </c>
    </row>
    <row r="273" spans="1:20" x14ac:dyDescent="0.3">
      <c r="A273" t="s">
        <v>141</v>
      </c>
      <c r="B273" t="s">
        <v>142</v>
      </c>
      <c r="C273" t="s">
        <v>143</v>
      </c>
      <c r="D273" t="s">
        <v>162</v>
      </c>
      <c r="E273" t="s">
        <v>172</v>
      </c>
      <c r="F273" s="23" t="s">
        <v>176</v>
      </c>
      <c r="G273" s="27" t="s">
        <v>233</v>
      </c>
      <c r="H273" s="25">
        <v>248.44819435971101</v>
      </c>
      <c r="I273" s="25">
        <v>170.14290657222514</v>
      </c>
      <c r="J273" s="25">
        <v>237.92433694807877</v>
      </c>
      <c r="K273" s="25">
        <v>172.67517633084552</v>
      </c>
      <c r="L273" s="25">
        <v>264.71364843403109</v>
      </c>
      <c r="M273" s="25">
        <v>408.95205257128202</v>
      </c>
      <c r="N273" s="25">
        <v>165.17889339487974</v>
      </c>
      <c r="O273" s="25">
        <v>150.8712969859757</v>
      </c>
      <c r="P273" s="25">
        <v>236.85198835758706</v>
      </c>
      <c r="Q273" s="25">
        <v>177.89052720025862</v>
      </c>
      <c r="R273" s="25">
        <v>107.80218738401231</v>
      </c>
      <c r="S273" s="25">
        <v>177.75267627289156</v>
      </c>
      <c r="T273" s="22">
        <f t="shared" si="4"/>
        <v>2519.2038848117786</v>
      </c>
    </row>
    <row r="274" spans="1:20" x14ac:dyDescent="0.3">
      <c r="A274" t="s">
        <v>141</v>
      </c>
      <c r="B274" t="s">
        <v>142</v>
      </c>
      <c r="C274" t="s">
        <v>143</v>
      </c>
      <c r="D274" t="s">
        <v>162</v>
      </c>
      <c r="E274" t="s">
        <v>169</v>
      </c>
      <c r="F274" s="23" t="s">
        <v>177</v>
      </c>
      <c r="G274" s="27" t="s">
        <v>233</v>
      </c>
      <c r="H274" s="25">
        <v>469.40260502653609</v>
      </c>
      <c r="I274" s="25">
        <v>356.20142517848547</v>
      </c>
      <c r="J274" s="25">
        <v>431.13712731052726</v>
      </c>
      <c r="K274" s="25">
        <v>338.17505666592052</v>
      </c>
      <c r="L274" s="25">
        <v>422.63548669463643</v>
      </c>
      <c r="M274" s="25">
        <v>574.65621922608591</v>
      </c>
      <c r="N274" s="25">
        <v>230.77566633533931</v>
      </c>
      <c r="O274" s="25">
        <v>272.00096604250433</v>
      </c>
      <c r="P274" s="25">
        <v>412.71107089120693</v>
      </c>
      <c r="Q274" s="25">
        <v>293.91971521372727</v>
      </c>
      <c r="R274" s="25">
        <v>209.60315588042664</v>
      </c>
      <c r="S274" s="25">
        <v>303.47708629813292</v>
      </c>
      <c r="T274" s="22">
        <f t="shared" si="4"/>
        <v>4314.6955807635286</v>
      </c>
    </row>
    <row r="275" spans="1:20" x14ac:dyDescent="0.3">
      <c r="A275" t="s">
        <v>141</v>
      </c>
      <c r="B275" t="s">
        <v>142</v>
      </c>
      <c r="C275" t="s">
        <v>143</v>
      </c>
      <c r="D275" t="s">
        <v>162</v>
      </c>
      <c r="E275" t="s">
        <v>169</v>
      </c>
      <c r="F275" s="23" t="s">
        <v>178</v>
      </c>
      <c r="G275" s="27" t="s">
        <v>233</v>
      </c>
      <c r="H275" s="25">
        <v>1292.3786088621696</v>
      </c>
      <c r="I275" s="25">
        <v>825.71238601858465</v>
      </c>
      <c r="J275" s="25">
        <v>1138.2157700320513</v>
      </c>
      <c r="K275" s="25">
        <v>1058.0257457318162</v>
      </c>
      <c r="L275" s="25">
        <v>1126.9269409668054</v>
      </c>
      <c r="M275" s="25">
        <v>1203.859800075491</v>
      </c>
      <c r="N275" s="25">
        <v>726.87397082892835</v>
      </c>
      <c r="O275" s="25">
        <v>650.40052207374356</v>
      </c>
      <c r="P275" s="25">
        <v>1207.719240458666</v>
      </c>
      <c r="Q275" s="25">
        <v>872.25548404071674</v>
      </c>
      <c r="R275" s="25">
        <v>363.24497100551059</v>
      </c>
      <c r="S275" s="25">
        <v>760.00565213300717</v>
      </c>
      <c r="T275" s="22">
        <f t="shared" si="4"/>
        <v>11225.619092227493</v>
      </c>
    </row>
    <row r="276" spans="1:20" x14ac:dyDescent="0.3">
      <c r="A276" t="s">
        <v>141</v>
      </c>
      <c r="B276" t="s">
        <v>142</v>
      </c>
      <c r="C276" t="s">
        <v>143</v>
      </c>
      <c r="D276" t="s">
        <v>162</v>
      </c>
      <c r="E276" t="s">
        <v>169</v>
      </c>
      <c r="F276" s="23" t="s">
        <v>179</v>
      </c>
      <c r="G276" s="27" t="s">
        <v>233</v>
      </c>
      <c r="H276" s="25">
        <v>9.8914214337502937</v>
      </c>
      <c r="I276" s="25">
        <v>9.9972466848974015</v>
      </c>
      <c r="J276" s="25">
        <v>4.7045886297245723</v>
      </c>
      <c r="K276" s="25">
        <v>0</v>
      </c>
      <c r="L276" s="25">
        <v>7.3156314982157822</v>
      </c>
      <c r="M276" s="25">
        <v>13.616835761652153</v>
      </c>
      <c r="N276" s="25">
        <v>5.277955488883161</v>
      </c>
      <c r="O276" s="25">
        <v>0</v>
      </c>
      <c r="P276" s="25">
        <v>0</v>
      </c>
      <c r="Q276" s="25">
        <v>0</v>
      </c>
      <c r="R276" s="25">
        <v>0</v>
      </c>
      <c r="S276" s="25">
        <v>0</v>
      </c>
      <c r="T276" s="22">
        <f t="shared" si="4"/>
        <v>50.803679497123362</v>
      </c>
    </row>
    <row r="277" spans="1:20" x14ac:dyDescent="0.3">
      <c r="A277" t="s">
        <v>141</v>
      </c>
      <c r="B277" t="s">
        <v>142</v>
      </c>
      <c r="C277" t="s">
        <v>143</v>
      </c>
      <c r="D277" t="s">
        <v>162</v>
      </c>
      <c r="E277" t="s">
        <v>169</v>
      </c>
      <c r="F277" s="23" t="s">
        <v>180</v>
      </c>
      <c r="G277" s="27" t="s">
        <v>233</v>
      </c>
      <c r="H277" s="25">
        <v>65.641559235865216</v>
      </c>
      <c r="I277" s="25">
        <v>31.16934085568306</v>
      </c>
      <c r="J277" s="25">
        <v>13.672705513552893</v>
      </c>
      <c r="K277" s="25">
        <v>30.388676118374761</v>
      </c>
      <c r="L277" s="25">
        <v>17.598091356063506</v>
      </c>
      <c r="M277" s="25">
        <v>21.141243701181232</v>
      </c>
      <c r="N277" s="25">
        <v>46.875303302147046</v>
      </c>
      <c r="O277" s="25">
        <v>21.111821955532644</v>
      </c>
      <c r="P277" s="25">
        <v>5.866024914331418</v>
      </c>
      <c r="Q277" s="25">
        <v>0</v>
      </c>
      <c r="R277" s="25">
        <v>0</v>
      </c>
      <c r="S277" s="25">
        <v>0</v>
      </c>
      <c r="T277" s="22">
        <f t="shared" si="4"/>
        <v>253.46476695273176</v>
      </c>
    </row>
    <row r="278" spans="1:20" x14ac:dyDescent="0.3">
      <c r="A278" t="s">
        <v>141</v>
      </c>
      <c r="B278" t="s">
        <v>142</v>
      </c>
      <c r="C278" t="s">
        <v>143</v>
      </c>
      <c r="D278" t="s">
        <v>162</v>
      </c>
      <c r="E278" t="s">
        <v>172</v>
      </c>
      <c r="F278" s="23" t="s">
        <v>181</v>
      </c>
      <c r="G278" s="27" t="s">
        <v>233</v>
      </c>
      <c r="H278" s="25">
        <v>0</v>
      </c>
      <c r="I278" s="25">
        <v>39.083914781557503</v>
      </c>
      <c r="J278" s="25">
        <v>54.649411264076235</v>
      </c>
      <c r="K278" s="25">
        <v>17.712233639937999</v>
      </c>
      <c r="L278" s="25">
        <v>70.979253478779427</v>
      </c>
      <c r="M278" s="25">
        <v>89.951002214124927</v>
      </c>
      <c r="N278" s="25">
        <v>75.113472742073967</v>
      </c>
      <c r="O278" s="25">
        <v>16.169147717335864</v>
      </c>
      <c r="P278" s="25">
        <v>5.7757272940663755</v>
      </c>
      <c r="Q278" s="25">
        <v>5.7757272940663755</v>
      </c>
      <c r="R278" s="25">
        <v>0</v>
      </c>
      <c r="S278" s="25">
        <v>0</v>
      </c>
      <c r="T278" s="22">
        <f t="shared" si="4"/>
        <v>375.20989042601866</v>
      </c>
    </row>
    <row r="279" spans="1:20" x14ac:dyDescent="0.3">
      <c r="A279" t="s">
        <v>141</v>
      </c>
      <c r="B279" t="s">
        <v>142</v>
      </c>
      <c r="C279" t="s">
        <v>143</v>
      </c>
      <c r="D279" t="s">
        <v>162</v>
      </c>
      <c r="E279" t="s">
        <v>172</v>
      </c>
      <c r="F279" s="23" t="s">
        <v>182</v>
      </c>
      <c r="G279" s="27" t="s">
        <v>233</v>
      </c>
      <c r="H279" s="25">
        <v>5.6285078632089336</v>
      </c>
      <c r="I279" s="25">
        <v>56.455046943625611</v>
      </c>
      <c r="J279" s="25">
        <v>42.488273491210073</v>
      </c>
      <c r="K279" s="25">
        <v>0</v>
      </c>
      <c r="L279" s="25">
        <v>33.770100234306135</v>
      </c>
      <c r="M279" s="25">
        <v>122.87356620235553</v>
      </c>
      <c r="N279" s="25">
        <v>62.894405490977114</v>
      </c>
      <c r="O279" s="25">
        <v>5.277955488883161</v>
      </c>
      <c r="P279" s="25">
        <v>0</v>
      </c>
      <c r="Q279" s="25">
        <v>0</v>
      </c>
      <c r="R279" s="25">
        <v>0</v>
      </c>
      <c r="S279" s="25">
        <v>0</v>
      </c>
      <c r="T279" s="22">
        <f t="shared" si="4"/>
        <v>329.38785571456657</v>
      </c>
    </row>
    <row r="280" spans="1:20" x14ac:dyDescent="0.3">
      <c r="A280" t="s">
        <v>141</v>
      </c>
      <c r="B280" t="s">
        <v>142</v>
      </c>
      <c r="C280" t="s">
        <v>143</v>
      </c>
      <c r="D280" t="s">
        <v>162</v>
      </c>
      <c r="E280" t="s">
        <v>172</v>
      </c>
      <c r="F280" s="23" t="s">
        <v>183</v>
      </c>
      <c r="G280" s="27" t="s">
        <v>233</v>
      </c>
      <c r="H280" s="25">
        <v>0</v>
      </c>
      <c r="I280" s="25">
        <v>64.982103451833126</v>
      </c>
      <c r="J280" s="25">
        <v>30.465096236942532</v>
      </c>
      <c r="K280" s="25">
        <v>9.4091772594491445</v>
      </c>
      <c r="L280" s="25">
        <v>41.297432074023895</v>
      </c>
      <c r="M280" s="25">
        <v>76.646604540909749</v>
      </c>
      <c r="N280" s="25">
        <v>99.399033537538429</v>
      </c>
      <c r="O280" s="25">
        <v>5.277955488883161</v>
      </c>
      <c r="P280" s="25">
        <v>6.4540943397796768</v>
      </c>
      <c r="Q280" s="25">
        <v>0</v>
      </c>
      <c r="R280" s="25">
        <v>0</v>
      </c>
      <c r="S280" s="25">
        <v>0</v>
      </c>
      <c r="T280" s="22">
        <f t="shared" si="4"/>
        <v>333.9314969293597</v>
      </c>
    </row>
    <row r="281" spans="1:20" x14ac:dyDescent="0.3">
      <c r="A281" t="s">
        <v>141</v>
      </c>
      <c r="B281" t="s">
        <v>142</v>
      </c>
      <c r="C281" t="s">
        <v>143</v>
      </c>
      <c r="D281" t="s">
        <v>162</v>
      </c>
      <c r="E281" t="s">
        <v>172</v>
      </c>
      <c r="F281" s="23" t="s">
        <v>184</v>
      </c>
      <c r="G281" s="27" t="s">
        <v>233</v>
      </c>
      <c r="H281" s="25">
        <v>0</v>
      </c>
      <c r="I281" s="25">
        <v>22.787848060277916</v>
      </c>
      <c r="J281" s="25">
        <v>4.7045886297245723</v>
      </c>
      <c r="K281" s="25">
        <v>0</v>
      </c>
      <c r="L281" s="25">
        <v>3.4108292485107032</v>
      </c>
      <c r="M281" s="25">
        <v>6.7143214565721934</v>
      </c>
      <c r="N281" s="25">
        <v>0</v>
      </c>
      <c r="O281" s="25">
        <v>0</v>
      </c>
      <c r="P281" s="25">
        <v>0</v>
      </c>
      <c r="Q281" s="25">
        <v>0</v>
      </c>
      <c r="R281" s="25">
        <v>0</v>
      </c>
      <c r="S281" s="25">
        <v>0</v>
      </c>
      <c r="T281" s="22">
        <f t="shared" si="4"/>
        <v>37.617587395085387</v>
      </c>
    </row>
    <row r="282" spans="1:20" x14ac:dyDescent="0.3">
      <c r="A282" t="s">
        <v>141</v>
      </c>
      <c r="B282" t="s">
        <v>142</v>
      </c>
      <c r="C282" t="s">
        <v>143</v>
      </c>
      <c r="D282" t="s">
        <v>162</v>
      </c>
      <c r="E282" t="s">
        <v>169</v>
      </c>
      <c r="F282" s="23" t="s">
        <v>185</v>
      </c>
      <c r="G282" s="27" t="s">
        <v>233</v>
      </c>
      <c r="H282" s="25">
        <v>629.48897882409153</v>
      </c>
      <c r="I282" s="25">
        <v>406.31260649351913</v>
      </c>
      <c r="J282" s="25">
        <v>329.16896648085952</v>
      </c>
      <c r="K282" s="25">
        <v>310.81406966310777</v>
      </c>
      <c r="L282" s="25">
        <v>115.07232814581926</v>
      </c>
      <c r="M282" s="25">
        <v>224.73590828885693</v>
      </c>
      <c r="N282" s="25">
        <v>229.90999917180611</v>
      </c>
      <c r="O282" s="25">
        <v>105.30451629865891</v>
      </c>
      <c r="P282" s="25">
        <v>69.635871726091494</v>
      </c>
      <c r="Q282" s="25">
        <v>5.851876901014414</v>
      </c>
      <c r="R282" s="25">
        <v>0</v>
      </c>
      <c r="S282" s="25">
        <v>0</v>
      </c>
      <c r="T282" s="22">
        <f t="shared" si="4"/>
        <v>2426.2951219938254</v>
      </c>
    </row>
    <row r="283" spans="1:20" x14ac:dyDescent="0.3">
      <c r="A283" t="s">
        <v>141</v>
      </c>
      <c r="B283" t="s">
        <v>142</v>
      </c>
      <c r="C283" t="s">
        <v>143</v>
      </c>
      <c r="D283" t="s">
        <v>162</v>
      </c>
      <c r="E283" t="s">
        <v>169</v>
      </c>
      <c r="F283" s="23" t="s">
        <v>186</v>
      </c>
      <c r="G283" s="27" t="s">
        <v>233</v>
      </c>
      <c r="H283" s="25">
        <v>613.90773205879168</v>
      </c>
      <c r="I283" s="25">
        <v>484.55305866604976</v>
      </c>
      <c r="J283" s="25">
        <v>501.16013060191256</v>
      </c>
      <c r="K283" s="25">
        <v>340.50449100578913</v>
      </c>
      <c r="L283" s="25">
        <v>236.47895026401935</v>
      </c>
      <c r="M283" s="25">
        <v>266.36052905648921</v>
      </c>
      <c r="N283" s="25">
        <v>376.88124825830346</v>
      </c>
      <c r="O283" s="25">
        <v>125.64180193212677</v>
      </c>
      <c r="P283" s="25">
        <v>107.92605681960737</v>
      </c>
      <c r="Q283" s="25">
        <v>0</v>
      </c>
      <c r="R283" s="25">
        <v>0</v>
      </c>
      <c r="S283" s="25">
        <v>0</v>
      </c>
      <c r="T283" s="22">
        <f t="shared" si="4"/>
        <v>3053.4139986630889</v>
      </c>
    </row>
    <row r="284" spans="1:20" x14ac:dyDescent="0.3">
      <c r="A284" t="s">
        <v>141</v>
      </c>
      <c r="B284" t="s">
        <v>142</v>
      </c>
      <c r="C284" t="s">
        <v>143</v>
      </c>
      <c r="D284" t="s">
        <v>187</v>
      </c>
      <c r="E284" t="s">
        <v>188</v>
      </c>
      <c r="F284" s="23" t="s">
        <v>189</v>
      </c>
      <c r="G284" s="27" t="s">
        <v>233</v>
      </c>
      <c r="H284" s="25">
        <v>4564.8616090480709</v>
      </c>
      <c r="I284" s="25">
        <v>3618.9965729356386</v>
      </c>
      <c r="J284" s="25">
        <v>12521.313861732095</v>
      </c>
      <c r="K284" s="25">
        <v>7542.7192812357816</v>
      </c>
      <c r="L284" s="25">
        <v>13575.504022663366</v>
      </c>
      <c r="M284" s="25">
        <v>15869.089023595598</v>
      </c>
      <c r="N284" s="25">
        <v>22251.884059641456</v>
      </c>
      <c r="O284" s="25">
        <v>13996.915216698741</v>
      </c>
      <c r="P284" s="25">
        <v>9201.5100390712032</v>
      </c>
      <c r="Q284" s="25">
        <v>4809.5977764577956</v>
      </c>
      <c r="R284" s="25">
        <v>5792.2743937634714</v>
      </c>
      <c r="S284" s="25">
        <v>7744.6514887981066</v>
      </c>
      <c r="T284" s="22">
        <f t="shared" si="4"/>
        <v>121489.31734564131</v>
      </c>
    </row>
    <row r="285" spans="1:20" x14ac:dyDescent="0.3">
      <c r="A285" t="s">
        <v>141</v>
      </c>
      <c r="B285" t="s">
        <v>142</v>
      </c>
      <c r="C285" t="s">
        <v>143</v>
      </c>
      <c r="D285" t="s">
        <v>187</v>
      </c>
      <c r="E285" t="s">
        <v>188</v>
      </c>
      <c r="F285" s="23" t="s">
        <v>190</v>
      </c>
      <c r="G285" s="27" t="s">
        <v>233</v>
      </c>
      <c r="H285" s="25">
        <v>11574.729143933768</v>
      </c>
      <c r="I285" s="25">
        <v>8961.9423280546107</v>
      </c>
      <c r="J285" s="25">
        <v>14575.468774012621</v>
      </c>
      <c r="K285" s="25">
        <v>8679.2704714019728</v>
      </c>
      <c r="L285" s="25">
        <v>15394.814230607119</v>
      </c>
      <c r="M285" s="25">
        <v>15831.615543061651</v>
      </c>
      <c r="N285" s="25">
        <v>9057.0593889937718</v>
      </c>
      <c r="O285" s="25">
        <v>9420.4114103681932</v>
      </c>
      <c r="P285" s="25">
        <v>22724.581248234044</v>
      </c>
      <c r="Q285" s="25">
        <v>19994.638626080668</v>
      </c>
      <c r="R285" s="25">
        <v>7258.9338294923282</v>
      </c>
      <c r="S285" s="25">
        <v>15857.762989499726</v>
      </c>
      <c r="T285" s="22">
        <f t="shared" si="4"/>
        <v>159331.22798374048</v>
      </c>
    </row>
    <row r="286" spans="1:20" x14ac:dyDescent="0.3">
      <c r="A286" t="s">
        <v>141</v>
      </c>
      <c r="B286" t="s">
        <v>142</v>
      </c>
      <c r="C286" t="s">
        <v>143</v>
      </c>
      <c r="D286" t="s">
        <v>187</v>
      </c>
      <c r="E286" t="s">
        <v>188</v>
      </c>
      <c r="F286" s="23" t="s">
        <v>191</v>
      </c>
      <c r="G286" s="27" t="s">
        <v>233</v>
      </c>
      <c r="H286" s="25">
        <v>0</v>
      </c>
      <c r="I286" s="25">
        <v>0</v>
      </c>
      <c r="J286" s="25">
        <v>0</v>
      </c>
      <c r="K286" s="25">
        <v>0</v>
      </c>
      <c r="L286" s="25">
        <v>0</v>
      </c>
      <c r="M286" s="25">
        <v>0</v>
      </c>
      <c r="N286" s="25">
        <v>0</v>
      </c>
      <c r="O286" s="25">
        <v>0</v>
      </c>
      <c r="P286" s="25">
        <v>0</v>
      </c>
      <c r="Q286" s="25">
        <v>0</v>
      </c>
      <c r="R286" s="25">
        <v>0</v>
      </c>
      <c r="S286" s="25">
        <v>0</v>
      </c>
      <c r="T286" s="22">
        <f t="shared" ref="T286:T311" si="5">SUM(H286:S286)</f>
        <v>0</v>
      </c>
    </row>
    <row r="287" spans="1:20" x14ac:dyDescent="0.3">
      <c r="A287" t="s">
        <v>141</v>
      </c>
      <c r="B287" t="s">
        <v>142</v>
      </c>
      <c r="C287" t="s">
        <v>143</v>
      </c>
      <c r="D287" t="s">
        <v>187</v>
      </c>
      <c r="E287" t="s">
        <v>192</v>
      </c>
      <c r="F287" s="23" t="s">
        <v>193</v>
      </c>
      <c r="G287" s="27" t="s">
        <v>233</v>
      </c>
      <c r="H287" s="25">
        <v>2025.0997266715231</v>
      </c>
      <c r="I287" s="25">
        <v>2279.6525502073991</v>
      </c>
      <c r="J287" s="25">
        <v>4572.4012194443758</v>
      </c>
      <c r="K287" s="25">
        <v>734.54384583243439</v>
      </c>
      <c r="L287" s="25">
        <v>797.23378478132588</v>
      </c>
      <c r="M287" s="25">
        <v>818.36316607151662</v>
      </c>
      <c r="N287" s="25">
        <v>651.80586746435279</v>
      </c>
      <c r="O287" s="25">
        <v>715.70059206357041</v>
      </c>
      <c r="P287" s="25">
        <v>1453.7660631884291</v>
      </c>
      <c r="Q287" s="25">
        <v>715.70059206357041</v>
      </c>
      <c r="R287" s="25">
        <v>715.70059206357041</v>
      </c>
      <c r="S287" s="25">
        <v>349.09147192802033</v>
      </c>
      <c r="T287" s="22">
        <f t="shared" si="5"/>
        <v>15829.05947178009</v>
      </c>
    </row>
    <row r="288" spans="1:20" x14ac:dyDescent="0.3">
      <c r="A288" t="s">
        <v>141</v>
      </c>
      <c r="B288" t="s">
        <v>142</v>
      </c>
      <c r="C288" t="s">
        <v>143</v>
      </c>
      <c r="D288" t="s">
        <v>187</v>
      </c>
      <c r="E288" t="s">
        <v>192</v>
      </c>
      <c r="F288" s="23" t="s">
        <v>194</v>
      </c>
      <c r="G288" s="27" t="s">
        <v>233</v>
      </c>
      <c r="H288" s="25">
        <v>4815.1069721374788</v>
      </c>
      <c r="I288" s="25">
        <v>3776.372463573126</v>
      </c>
      <c r="J288" s="25">
        <v>5729.7191448794511</v>
      </c>
      <c r="K288" s="25">
        <v>5038.6925706788925</v>
      </c>
      <c r="L288" s="25">
        <v>5836.2250331473633</v>
      </c>
      <c r="M288" s="25">
        <v>6940.8109431931407</v>
      </c>
      <c r="N288" s="25">
        <v>5662.0221119598164</v>
      </c>
      <c r="O288" s="25">
        <v>6091.6052367200491</v>
      </c>
      <c r="P288" s="25">
        <v>7020.1363231512778</v>
      </c>
      <c r="Q288" s="25">
        <v>5810.1616319694467</v>
      </c>
      <c r="R288" s="25">
        <v>5010.0897910962358</v>
      </c>
      <c r="S288" s="25">
        <v>5411.3638820674923</v>
      </c>
      <c r="T288" s="22">
        <f t="shared" si="5"/>
        <v>67142.30610457377</v>
      </c>
    </row>
    <row r="289" spans="1:20" x14ac:dyDescent="0.3">
      <c r="A289" t="s">
        <v>141</v>
      </c>
      <c r="B289" t="s">
        <v>142</v>
      </c>
      <c r="C289" t="s">
        <v>143</v>
      </c>
      <c r="D289" t="s">
        <v>187</v>
      </c>
      <c r="E289" t="s">
        <v>192</v>
      </c>
      <c r="F289" s="23" t="s">
        <v>195</v>
      </c>
      <c r="G289" s="27" t="s">
        <v>233</v>
      </c>
      <c r="H289" s="25">
        <v>2938.0233272310234</v>
      </c>
      <c r="I289" s="25">
        <v>1699.1425060528582</v>
      </c>
      <c r="J289" s="25">
        <v>1812.6157905926641</v>
      </c>
      <c r="K289" s="25">
        <v>2119.4140584210845</v>
      </c>
      <c r="L289" s="25">
        <v>2953.5923216274382</v>
      </c>
      <c r="M289" s="25">
        <v>3529.0127302503579</v>
      </c>
      <c r="N289" s="25">
        <v>6611.9130831388047</v>
      </c>
      <c r="O289" s="25">
        <v>4915.5120920431627</v>
      </c>
      <c r="P289" s="25">
        <v>3092.2182883539044</v>
      </c>
      <c r="Q289" s="25">
        <v>1846.6020665351648</v>
      </c>
      <c r="R289" s="25">
        <v>2351.0856190501841</v>
      </c>
      <c r="S289" s="25">
        <v>1991.1325332268093</v>
      </c>
      <c r="T289" s="22">
        <f t="shared" si="5"/>
        <v>35860.264416523452</v>
      </c>
    </row>
    <row r="290" spans="1:20" x14ac:dyDescent="0.3">
      <c r="A290" t="s">
        <v>141</v>
      </c>
      <c r="B290" t="s">
        <v>142</v>
      </c>
      <c r="C290" t="s">
        <v>143</v>
      </c>
      <c r="D290" t="s">
        <v>187</v>
      </c>
      <c r="E290" t="s">
        <v>196</v>
      </c>
      <c r="F290" s="23" t="s">
        <v>197</v>
      </c>
      <c r="G290" s="27" t="s">
        <v>233</v>
      </c>
      <c r="H290" s="25">
        <v>14270.206179830046</v>
      </c>
      <c r="I290" s="25">
        <v>10091.4241165243</v>
      </c>
      <c r="J290" s="25">
        <v>25272.861723332437</v>
      </c>
      <c r="K290" s="25">
        <v>6632.9952685608478</v>
      </c>
      <c r="L290" s="25">
        <v>9255.3938980912517</v>
      </c>
      <c r="M290" s="25">
        <v>12695.471152139515</v>
      </c>
      <c r="N290" s="25">
        <v>17259.567073557493</v>
      </c>
      <c r="O290" s="25">
        <v>10345.582389855834</v>
      </c>
      <c r="P290" s="25">
        <v>10615.72589489352</v>
      </c>
      <c r="Q290" s="25">
        <v>21979.702059621672</v>
      </c>
      <c r="R290" s="25">
        <v>6648.7774349439533</v>
      </c>
      <c r="S290" s="25">
        <v>20698.299792829264</v>
      </c>
      <c r="T290" s="22">
        <f t="shared" si="5"/>
        <v>165766.00698418013</v>
      </c>
    </row>
    <row r="291" spans="1:20" x14ac:dyDescent="0.3">
      <c r="A291" t="s">
        <v>141</v>
      </c>
      <c r="B291" t="s">
        <v>142</v>
      </c>
      <c r="C291" t="s">
        <v>143</v>
      </c>
      <c r="D291" t="s">
        <v>187</v>
      </c>
      <c r="E291" t="s">
        <v>196</v>
      </c>
      <c r="F291" s="23" t="s">
        <v>198</v>
      </c>
      <c r="G291" s="27" t="s">
        <v>233</v>
      </c>
      <c r="H291" s="25">
        <v>26422.557904158941</v>
      </c>
      <c r="I291" s="25">
        <v>22449.597944645451</v>
      </c>
      <c r="J291" s="25">
        <v>34838.722186098821</v>
      </c>
      <c r="K291" s="25">
        <v>28631.571678043736</v>
      </c>
      <c r="L291" s="25">
        <v>34654.880366864636</v>
      </c>
      <c r="M291" s="25">
        <v>30308.538914715558</v>
      </c>
      <c r="N291" s="25">
        <v>23245.877342027707</v>
      </c>
      <c r="O291" s="25">
        <v>23423.599387284128</v>
      </c>
      <c r="P291" s="25">
        <v>35909.473666478982</v>
      </c>
      <c r="Q291" s="25">
        <v>38441.858754778521</v>
      </c>
      <c r="R291" s="25">
        <v>23710.409111191519</v>
      </c>
      <c r="S291" s="25">
        <v>29684.690588151891</v>
      </c>
      <c r="T291" s="22">
        <f t="shared" si="5"/>
        <v>351721.77784443984</v>
      </c>
    </row>
    <row r="292" spans="1:20" x14ac:dyDescent="0.3">
      <c r="A292" t="s">
        <v>141</v>
      </c>
      <c r="B292" t="s">
        <v>142</v>
      </c>
      <c r="C292" t="s">
        <v>143</v>
      </c>
      <c r="D292" t="s">
        <v>187</v>
      </c>
      <c r="E292" t="s">
        <v>196</v>
      </c>
      <c r="F292" s="23" t="s">
        <v>199</v>
      </c>
      <c r="G292" s="27" t="s">
        <v>233</v>
      </c>
      <c r="H292" s="25">
        <v>50781.502384576772</v>
      </c>
      <c r="I292" s="25">
        <v>44311.786788782076</v>
      </c>
      <c r="J292" s="25">
        <v>64599.978463648593</v>
      </c>
      <c r="K292" s="25">
        <v>46572.081405036515</v>
      </c>
      <c r="L292" s="25">
        <v>69594.773825216558</v>
      </c>
      <c r="M292" s="25">
        <v>59831.239013537175</v>
      </c>
      <c r="N292" s="25">
        <v>46319.32518373389</v>
      </c>
      <c r="O292" s="25">
        <v>47909.826213693072</v>
      </c>
      <c r="P292" s="25">
        <v>82884.58572158881</v>
      </c>
      <c r="Q292" s="25">
        <v>85609.652252394677</v>
      </c>
      <c r="R292" s="25">
        <v>43501.113210313801</v>
      </c>
      <c r="S292" s="25">
        <v>57708.036913933691</v>
      </c>
      <c r="T292" s="22">
        <f t="shared" si="5"/>
        <v>699623.90137645567</v>
      </c>
    </row>
    <row r="293" spans="1:20" x14ac:dyDescent="0.3">
      <c r="A293" t="s">
        <v>141</v>
      </c>
      <c r="B293" t="s">
        <v>142</v>
      </c>
      <c r="C293" t="s">
        <v>143</v>
      </c>
      <c r="D293" t="s">
        <v>187</v>
      </c>
      <c r="E293" t="s">
        <v>200</v>
      </c>
      <c r="F293" s="23" t="s">
        <v>201</v>
      </c>
      <c r="G293" s="27" t="s">
        <v>233</v>
      </c>
      <c r="H293" s="25">
        <v>3526.9786281659526</v>
      </c>
      <c r="I293" s="25">
        <v>3526.9786281659526</v>
      </c>
      <c r="J293" s="25">
        <v>4219.1090274467015</v>
      </c>
      <c r="K293" s="25">
        <v>2757.482307351695</v>
      </c>
      <c r="L293" s="25">
        <v>2757.482307351695</v>
      </c>
      <c r="M293" s="25">
        <v>2769.6723073516951</v>
      </c>
      <c r="N293" s="25">
        <v>3106.8050957706578</v>
      </c>
      <c r="O293" s="25">
        <v>3106.8050957706578</v>
      </c>
      <c r="P293" s="25">
        <v>3106.8050957706578</v>
      </c>
      <c r="Q293" s="25">
        <v>3427.8603934758689</v>
      </c>
      <c r="R293" s="25">
        <v>3085.8826050569069</v>
      </c>
      <c r="S293" s="25">
        <v>2981.5058391551743</v>
      </c>
      <c r="T293" s="22">
        <f t="shared" si="5"/>
        <v>38373.367330833615</v>
      </c>
    </row>
    <row r="294" spans="1:20" x14ac:dyDescent="0.3">
      <c r="A294" t="s">
        <v>141</v>
      </c>
      <c r="B294" t="s">
        <v>142</v>
      </c>
      <c r="C294" t="s">
        <v>143</v>
      </c>
      <c r="D294" t="s">
        <v>187</v>
      </c>
      <c r="E294" t="s">
        <v>200</v>
      </c>
      <c r="F294" s="23" t="s">
        <v>202</v>
      </c>
      <c r="G294" s="27" t="s">
        <v>233</v>
      </c>
      <c r="H294" s="25">
        <v>4152.0224732511442</v>
      </c>
      <c r="I294" s="25">
        <v>4152.0224732511442</v>
      </c>
      <c r="J294" s="25">
        <v>4993.3559735947356</v>
      </c>
      <c r="K294" s="25">
        <v>3273.6454238332576</v>
      </c>
      <c r="L294" s="25">
        <v>3273.6454238332576</v>
      </c>
      <c r="M294" s="25">
        <v>3281.0654238332572</v>
      </c>
      <c r="N294" s="25">
        <v>3685.8986018124147</v>
      </c>
      <c r="O294" s="25">
        <v>3685.8986018124147</v>
      </c>
      <c r="P294" s="25">
        <v>3685.8986018124147</v>
      </c>
      <c r="Q294" s="25">
        <v>4088.7015341944002</v>
      </c>
      <c r="R294" s="25">
        <v>3680.6483562152421</v>
      </c>
      <c r="S294" s="25">
        <v>3548.2140454212536</v>
      </c>
      <c r="T294" s="22">
        <f t="shared" si="5"/>
        <v>45501.016932864943</v>
      </c>
    </row>
    <row r="295" spans="1:20" x14ac:dyDescent="0.3">
      <c r="A295" t="s">
        <v>141</v>
      </c>
      <c r="B295" t="s">
        <v>142</v>
      </c>
      <c r="C295" t="s">
        <v>143</v>
      </c>
      <c r="D295" t="s">
        <v>187</v>
      </c>
      <c r="E295" t="s">
        <v>203</v>
      </c>
      <c r="F295" s="23" t="s">
        <v>204</v>
      </c>
      <c r="G295" s="27" t="s">
        <v>233</v>
      </c>
      <c r="H295" s="25">
        <v>7768.5720401587942</v>
      </c>
      <c r="I295" s="25">
        <v>6294.6873346127513</v>
      </c>
      <c r="J295" s="25">
        <v>8155.2207723591209</v>
      </c>
      <c r="K295" s="25">
        <v>7464.6115192982052</v>
      </c>
      <c r="L295" s="25">
        <v>9485.2764951026056</v>
      </c>
      <c r="M295" s="25">
        <v>10077.769652168759</v>
      </c>
      <c r="N295" s="25">
        <v>9613.1673062273549</v>
      </c>
      <c r="O295" s="25">
        <v>9762.8634312654358</v>
      </c>
      <c r="P295" s="25">
        <v>7555.1594313669657</v>
      </c>
      <c r="Q295" s="25">
        <v>10889.226362668132</v>
      </c>
      <c r="R295" s="25">
        <v>9559.4516040582293</v>
      </c>
      <c r="S295" s="25">
        <v>6478.2712194731948</v>
      </c>
      <c r="T295" s="22">
        <f t="shared" si="5"/>
        <v>103104.27716875955</v>
      </c>
    </row>
    <row r="296" spans="1:20" x14ac:dyDescent="0.3">
      <c r="A296" t="s">
        <v>141</v>
      </c>
      <c r="B296" t="s">
        <v>205</v>
      </c>
      <c r="C296" t="s">
        <v>206</v>
      </c>
      <c r="D296" t="s">
        <v>207</v>
      </c>
      <c r="E296" t="s">
        <v>208</v>
      </c>
      <c r="F296" s="23" t="s">
        <v>209</v>
      </c>
      <c r="G296" s="27" t="s">
        <v>233</v>
      </c>
      <c r="H296" s="25">
        <v>14999.999999999998</v>
      </c>
      <c r="I296" s="25">
        <v>10000</v>
      </c>
      <c r="J296" s="25">
        <v>20000</v>
      </c>
      <c r="K296" s="25">
        <v>10000</v>
      </c>
      <c r="L296" s="25">
        <v>14999.999999999998</v>
      </c>
      <c r="M296" s="25">
        <v>41000</v>
      </c>
      <c r="N296" s="25">
        <v>36000</v>
      </c>
      <c r="O296" s="25">
        <v>36000</v>
      </c>
      <c r="P296" s="25">
        <v>20000</v>
      </c>
      <c r="Q296" s="25">
        <v>15999.999999999998</v>
      </c>
      <c r="R296" s="25">
        <v>20000</v>
      </c>
      <c r="S296" s="25">
        <v>25000.000000000004</v>
      </c>
      <c r="T296" s="22">
        <f t="shared" si="5"/>
        <v>264000</v>
      </c>
    </row>
    <row r="297" spans="1:20" x14ac:dyDescent="0.3">
      <c r="A297" t="s">
        <v>141</v>
      </c>
      <c r="B297" t="s">
        <v>205</v>
      </c>
      <c r="C297" t="s">
        <v>206</v>
      </c>
      <c r="D297" t="s">
        <v>207</v>
      </c>
      <c r="E297" t="s">
        <v>208</v>
      </c>
      <c r="F297" s="23" t="s">
        <v>210</v>
      </c>
      <c r="G297" s="27" t="s">
        <v>233</v>
      </c>
      <c r="H297" s="25">
        <v>0</v>
      </c>
      <c r="I297" s="25">
        <v>0</v>
      </c>
      <c r="J297" s="25">
        <v>0</v>
      </c>
      <c r="K297" s="25">
        <v>0</v>
      </c>
      <c r="L297" s="25">
        <v>0</v>
      </c>
      <c r="M297" s="25">
        <v>0</v>
      </c>
      <c r="N297" s="25">
        <v>0</v>
      </c>
      <c r="O297" s="25">
        <v>0</v>
      </c>
      <c r="P297" s="25">
        <v>0</v>
      </c>
      <c r="Q297" s="25">
        <v>0</v>
      </c>
      <c r="R297" s="25">
        <v>0</v>
      </c>
      <c r="S297" s="25">
        <v>0</v>
      </c>
      <c r="T297" s="22">
        <f t="shared" si="5"/>
        <v>0</v>
      </c>
    </row>
    <row r="298" spans="1:20" x14ac:dyDescent="0.3">
      <c r="A298" t="s">
        <v>141</v>
      </c>
      <c r="B298" t="s">
        <v>205</v>
      </c>
      <c r="C298" t="s">
        <v>206</v>
      </c>
      <c r="D298" t="s">
        <v>207</v>
      </c>
      <c r="E298" t="s">
        <v>208</v>
      </c>
      <c r="F298" s="23" t="s">
        <v>211</v>
      </c>
      <c r="G298" s="27" t="s">
        <v>233</v>
      </c>
      <c r="H298" s="25">
        <v>129383.80823626831</v>
      </c>
      <c r="I298" s="25">
        <v>30000</v>
      </c>
      <c r="J298" s="25">
        <v>164246.49273705867</v>
      </c>
      <c r="K298" s="25">
        <v>9141.3611294148577</v>
      </c>
      <c r="L298" s="25">
        <v>60883.044673179596</v>
      </c>
      <c r="M298" s="25">
        <v>79804.614460571131</v>
      </c>
      <c r="N298" s="25">
        <v>60397.6579565797</v>
      </c>
      <c r="O298" s="25">
        <v>45969.279980406543</v>
      </c>
      <c r="P298" s="25">
        <v>32502.903066298582</v>
      </c>
      <c r="Q298" s="25">
        <v>24418.550677310501</v>
      </c>
      <c r="R298" s="25">
        <v>17713.924612361119</v>
      </c>
      <c r="S298" s="25">
        <v>15551.142010764543</v>
      </c>
      <c r="T298" s="22">
        <f t="shared" si="5"/>
        <v>670012.77954021352</v>
      </c>
    </row>
    <row r="299" spans="1:20" x14ac:dyDescent="0.3">
      <c r="A299" t="s">
        <v>141</v>
      </c>
      <c r="B299" t="s">
        <v>205</v>
      </c>
      <c r="C299" t="s">
        <v>206</v>
      </c>
      <c r="D299" t="s">
        <v>207</v>
      </c>
      <c r="E299" t="s">
        <v>212</v>
      </c>
      <c r="F299" s="23" t="s">
        <v>213</v>
      </c>
      <c r="G299" s="27" t="s">
        <v>233</v>
      </c>
      <c r="H299" s="25">
        <v>0</v>
      </c>
      <c r="I299" s="25">
        <v>0</v>
      </c>
      <c r="J299" s="25">
        <v>0</v>
      </c>
      <c r="K299" s="25">
        <v>62167</v>
      </c>
      <c r="L299" s="25">
        <v>42167</v>
      </c>
      <c r="M299" s="25">
        <v>42167</v>
      </c>
      <c r="N299" s="25">
        <v>52167</v>
      </c>
      <c r="O299" s="25">
        <v>52167</v>
      </c>
      <c r="P299" s="25">
        <v>52167</v>
      </c>
      <c r="Q299" s="25">
        <v>40000</v>
      </c>
      <c r="R299" s="25">
        <v>70000</v>
      </c>
      <c r="S299" s="25">
        <v>90000</v>
      </c>
      <c r="T299" s="22">
        <f t="shared" si="5"/>
        <v>503002</v>
      </c>
    </row>
    <row r="300" spans="1:20" x14ac:dyDescent="0.3">
      <c r="A300" t="s">
        <v>141</v>
      </c>
      <c r="B300" t="s">
        <v>214</v>
      </c>
      <c r="C300" t="s">
        <v>206</v>
      </c>
      <c r="D300" t="s">
        <v>215</v>
      </c>
      <c r="E300" t="s">
        <v>216</v>
      </c>
      <c r="F300" s="23" t="s">
        <v>217</v>
      </c>
      <c r="G300" s="27" t="s">
        <v>233</v>
      </c>
      <c r="H300" s="25">
        <v>23595.29437650193</v>
      </c>
      <c r="I300" s="25">
        <v>9812.9547886100827</v>
      </c>
      <c r="J300" s="25">
        <v>17172.851682752244</v>
      </c>
      <c r="K300" s="25">
        <v>14184.974841120547</v>
      </c>
      <c r="L300" s="25">
        <v>16085.983100540217</v>
      </c>
      <c r="M300" s="25">
        <v>18286.621735053028</v>
      </c>
      <c r="N300" s="25">
        <v>15680.701656685815</v>
      </c>
      <c r="O300" s="25">
        <v>17942.961663456874</v>
      </c>
      <c r="P300" s="25">
        <v>23407.64529868606</v>
      </c>
      <c r="Q300" s="25">
        <v>19121.666549038451</v>
      </c>
      <c r="R300" s="25">
        <v>12673.706095382595</v>
      </c>
      <c r="S300" s="25">
        <v>13676.652622575582</v>
      </c>
      <c r="T300" s="22">
        <f t="shared" si="5"/>
        <v>201642.01441040344</v>
      </c>
    </row>
    <row r="301" spans="1:20" x14ac:dyDescent="0.3">
      <c r="A301" t="s">
        <v>141</v>
      </c>
      <c r="B301" t="s">
        <v>205</v>
      </c>
      <c r="C301" t="s">
        <v>206</v>
      </c>
      <c r="D301" t="s">
        <v>207</v>
      </c>
      <c r="E301" t="s">
        <v>218</v>
      </c>
      <c r="F301" s="23" t="s">
        <v>219</v>
      </c>
      <c r="G301" s="27" t="s">
        <v>233</v>
      </c>
      <c r="H301" s="25">
        <v>130318.00606314519</v>
      </c>
      <c r="I301" s="25">
        <v>51891.70622581015</v>
      </c>
      <c r="J301" s="25">
        <v>170857.2267360414</v>
      </c>
      <c r="K301" s="25">
        <v>115371.98304627517</v>
      </c>
      <c r="L301" s="25">
        <v>120261.52014480261</v>
      </c>
      <c r="M301" s="25">
        <v>154115.70035318733</v>
      </c>
      <c r="N301" s="25">
        <v>135834.6343261468</v>
      </c>
      <c r="O301" s="25">
        <v>121091.98006035617</v>
      </c>
      <c r="P301" s="25">
        <v>192353.33652910742</v>
      </c>
      <c r="Q301" s="25">
        <v>157695.79997882739</v>
      </c>
      <c r="R301" s="25">
        <v>89729.458874996635</v>
      </c>
      <c r="S301" s="25">
        <v>100008.21540966671</v>
      </c>
      <c r="T301" s="22">
        <f t="shared" si="5"/>
        <v>1539529.5677483631</v>
      </c>
    </row>
    <row r="302" spans="1:20" x14ac:dyDescent="0.3">
      <c r="A302" t="s">
        <v>141</v>
      </c>
      <c r="B302" t="s">
        <v>205</v>
      </c>
      <c r="C302" t="s">
        <v>206</v>
      </c>
      <c r="D302" t="s">
        <v>207</v>
      </c>
      <c r="E302" t="s">
        <v>218</v>
      </c>
      <c r="F302" s="23" t="s">
        <v>220</v>
      </c>
      <c r="G302" s="27" t="s">
        <v>233</v>
      </c>
      <c r="H302" s="25">
        <v>274648.85186881234</v>
      </c>
      <c r="I302" s="25">
        <v>106284.52962668492</v>
      </c>
      <c r="J302" s="25">
        <v>349563.59766623867</v>
      </c>
      <c r="K302" s="25">
        <v>245736.649080556</v>
      </c>
      <c r="L302" s="25">
        <v>248334.16236616083</v>
      </c>
      <c r="M302" s="25">
        <v>323898.61146954889</v>
      </c>
      <c r="N302" s="25">
        <v>275650.05977226724</v>
      </c>
      <c r="O302" s="25">
        <v>254066.63887637187</v>
      </c>
      <c r="P302" s="25">
        <v>415093.92043869291</v>
      </c>
      <c r="Q302" s="25">
        <v>323825.1776291008</v>
      </c>
      <c r="R302" s="25">
        <v>191098.00339494442</v>
      </c>
      <c r="S302" s="25">
        <v>197940.80863757434</v>
      </c>
      <c r="T302" s="22">
        <f t="shared" si="5"/>
        <v>3206141.0108269532</v>
      </c>
    </row>
    <row r="303" spans="1:20" x14ac:dyDescent="0.3">
      <c r="A303" t="s">
        <v>141</v>
      </c>
      <c r="B303" t="s">
        <v>205</v>
      </c>
      <c r="C303" t="s">
        <v>206</v>
      </c>
      <c r="D303" t="s">
        <v>207</v>
      </c>
      <c r="E303" t="s">
        <v>218</v>
      </c>
      <c r="F303" s="23" t="s">
        <v>221</v>
      </c>
      <c r="G303" s="27" t="s">
        <v>233</v>
      </c>
      <c r="H303" s="25">
        <v>278994.13748633442</v>
      </c>
      <c r="I303" s="25">
        <v>109359.86119341545</v>
      </c>
      <c r="J303" s="25">
        <v>376806.76827890793</v>
      </c>
      <c r="K303" s="25">
        <v>250868.07338519249</v>
      </c>
      <c r="L303" s="25">
        <v>240204.43317785056</v>
      </c>
      <c r="M303" s="25">
        <v>320406.95977656776</v>
      </c>
      <c r="N303" s="25">
        <v>296236.16671620257</v>
      </c>
      <c r="O303" s="25">
        <v>261223.72100879438</v>
      </c>
      <c r="P303" s="25">
        <v>385645.65155473375</v>
      </c>
      <c r="Q303" s="25">
        <v>301692.30377870088</v>
      </c>
      <c r="R303" s="25">
        <v>197759.53828174405</v>
      </c>
      <c r="S303" s="25">
        <v>179781.87008707703</v>
      </c>
      <c r="T303" s="22">
        <f t="shared" si="5"/>
        <v>3198979.4847255209</v>
      </c>
    </row>
    <row r="304" spans="1:20" x14ac:dyDescent="0.3">
      <c r="A304" t="s">
        <v>141</v>
      </c>
      <c r="B304" t="s">
        <v>205</v>
      </c>
      <c r="C304" t="s">
        <v>206</v>
      </c>
      <c r="D304" t="s">
        <v>207</v>
      </c>
      <c r="E304" t="s">
        <v>222</v>
      </c>
      <c r="F304" s="23" t="s">
        <v>223</v>
      </c>
      <c r="G304" s="27" t="s">
        <v>233</v>
      </c>
      <c r="H304" s="25">
        <v>17940.835555720805</v>
      </c>
      <c r="I304" s="25">
        <v>14470.818150927229</v>
      </c>
      <c r="J304" s="25">
        <v>19924.147437078398</v>
      </c>
      <c r="K304" s="25">
        <v>9011.9906281022122</v>
      </c>
      <c r="L304" s="25">
        <v>20081.862245082604</v>
      </c>
      <c r="M304" s="25">
        <v>21889.27936734934</v>
      </c>
      <c r="N304" s="25">
        <v>20400.756597797263</v>
      </c>
      <c r="O304" s="25">
        <v>10621.044349340058</v>
      </c>
      <c r="P304" s="25">
        <v>7569.1978035228403</v>
      </c>
      <c r="Q304" s="25">
        <v>9764.8236604249869</v>
      </c>
      <c r="R304" s="25">
        <v>8739.603759575486</v>
      </c>
      <c r="S304" s="25">
        <v>9488.9949355329172</v>
      </c>
      <c r="T304" s="22">
        <f t="shared" si="5"/>
        <v>169903.35449045416</v>
      </c>
    </row>
    <row r="305" spans="1:20" x14ac:dyDescent="0.3">
      <c r="A305" t="s">
        <v>141</v>
      </c>
      <c r="B305" t="s">
        <v>205</v>
      </c>
      <c r="C305" t="s">
        <v>206</v>
      </c>
      <c r="D305" t="s">
        <v>207</v>
      </c>
      <c r="E305" t="s">
        <v>222</v>
      </c>
      <c r="F305" s="23" t="s">
        <v>224</v>
      </c>
      <c r="G305" s="27" t="s">
        <v>233</v>
      </c>
      <c r="H305" s="25">
        <v>13354.794773656942</v>
      </c>
      <c r="I305" s="25">
        <v>9350.6820594421788</v>
      </c>
      <c r="J305" s="25">
        <v>16065.089749309696</v>
      </c>
      <c r="K305" s="25">
        <v>10646.496293236958</v>
      </c>
      <c r="L305" s="25">
        <v>12096.079284826666</v>
      </c>
      <c r="M305" s="25">
        <v>13118.572650393044</v>
      </c>
      <c r="N305" s="25">
        <v>8381.3240208532698</v>
      </c>
      <c r="O305" s="25">
        <v>10587.761584577172</v>
      </c>
      <c r="P305" s="25">
        <v>16025.98448607164</v>
      </c>
      <c r="Q305" s="25">
        <v>15251.401388553053</v>
      </c>
      <c r="R305" s="25">
        <v>6396.0190742547466</v>
      </c>
      <c r="S305" s="25">
        <v>13748.901812373184</v>
      </c>
      <c r="T305" s="22">
        <f t="shared" si="5"/>
        <v>145023.10717754858</v>
      </c>
    </row>
    <row r="306" spans="1:20" x14ac:dyDescent="0.3">
      <c r="A306" t="s">
        <v>141</v>
      </c>
      <c r="B306" t="s">
        <v>205</v>
      </c>
      <c r="C306" t="s">
        <v>206</v>
      </c>
      <c r="D306" t="s">
        <v>207</v>
      </c>
      <c r="E306" t="s">
        <v>222</v>
      </c>
      <c r="F306" s="23" t="s">
        <v>225</v>
      </c>
      <c r="G306" s="27" t="s">
        <v>233</v>
      </c>
      <c r="H306" s="25">
        <v>14227.705738793073</v>
      </c>
      <c r="I306" s="25">
        <v>10620.353663900894</v>
      </c>
      <c r="J306" s="25">
        <v>16347.138224446182</v>
      </c>
      <c r="K306" s="25">
        <v>10348.980611339332</v>
      </c>
      <c r="L306" s="25">
        <v>14508.309650254596</v>
      </c>
      <c r="M306" s="25">
        <v>14999.282807738915</v>
      </c>
      <c r="N306" s="25">
        <v>15195.500428101481</v>
      </c>
      <c r="O306" s="25">
        <v>11485.953442838927</v>
      </c>
      <c r="P306" s="25">
        <v>10772.606410730934</v>
      </c>
      <c r="Q306" s="25">
        <v>13306.144188667358</v>
      </c>
      <c r="R306" s="25">
        <v>11443.463621474262</v>
      </c>
      <c r="S306" s="25">
        <v>13219.368154886104</v>
      </c>
      <c r="T306" s="22">
        <f t="shared" si="5"/>
        <v>156474.80694317204</v>
      </c>
    </row>
    <row r="307" spans="1:20" x14ac:dyDescent="0.3">
      <c r="A307" t="s">
        <v>141</v>
      </c>
      <c r="B307" t="s">
        <v>205</v>
      </c>
      <c r="C307" t="s">
        <v>206</v>
      </c>
      <c r="D307" t="s">
        <v>207</v>
      </c>
      <c r="E307" t="s">
        <v>222</v>
      </c>
      <c r="F307" s="23" t="s">
        <v>226</v>
      </c>
      <c r="G307" s="27" t="s">
        <v>233</v>
      </c>
      <c r="H307" s="25">
        <v>18239.095022216126</v>
      </c>
      <c r="I307" s="25">
        <v>15590.124283751751</v>
      </c>
      <c r="J307" s="25">
        <v>41256.0834398691</v>
      </c>
      <c r="K307" s="25">
        <v>27408.01522744336</v>
      </c>
      <c r="L307" s="25">
        <v>42647.196302828372</v>
      </c>
      <c r="M307" s="25">
        <v>25344.873483320443</v>
      </c>
      <c r="N307" s="25">
        <v>23802.506667823713</v>
      </c>
      <c r="O307" s="25">
        <v>27854.545037578617</v>
      </c>
      <c r="P307" s="25">
        <v>32335.971964043587</v>
      </c>
      <c r="Q307" s="25">
        <v>24020.705674799159</v>
      </c>
      <c r="R307" s="25">
        <v>13902.687257191285</v>
      </c>
      <c r="S307" s="25">
        <v>15707.386138383743</v>
      </c>
      <c r="T307" s="22">
        <f t="shared" si="5"/>
        <v>308109.19049924926</v>
      </c>
    </row>
    <row r="308" spans="1:20" x14ac:dyDescent="0.3">
      <c r="A308" t="s">
        <v>141</v>
      </c>
      <c r="B308" t="s">
        <v>205</v>
      </c>
      <c r="C308" t="s">
        <v>206</v>
      </c>
      <c r="D308" t="s">
        <v>207</v>
      </c>
      <c r="E308" t="s">
        <v>227</v>
      </c>
      <c r="F308" s="23" t="s">
        <v>228</v>
      </c>
      <c r="G308" s="27" t="s">
        <v>233</v>
      </c>
      <c r="H308" s="25">
        <v>94649.885921488923</v>
      </c>
      <c r="I308" s="25">
        <v>64316.52865539676</v>
      </c>
      <c r="J308" s="25">
        <v>185197.77421278879</v>
      </c>
      <c r="K308" s="25">
        <v>60920.533877306872</v>
      </c>
      <c r="L308" s="25">
        <v>119572.30965172526</v>
      </c>
      <c r="M308" s="25">
        <v>158950.15491422621</v>
      </c>
      <c r="N308" s="25">
        <v>125778.61713679219</v>
      </c>
      <c r="O308" s="25">
        <v>130079.54797560142</v>
      </c>
      <c r="P308" s="25">
        <v>134675.92596812017</v>
      </c>
      <c r="Q308" s="25">
        <v>131627.09381254367</v>
      </c>
      <c r="R308" s="25">
        <v>86271.370031857747</v>
      </c>
      <c r="S308" s="25">
        <v>116112.1262877931</v>
      </c>
      <c r="T308" s="22">
        <f t="shared" si="5"/>
        <v>1408151.8684456411</v>
      </c>
    </row>
    <row r="309" spans="1:20" x14ac:dyDescent="0.3">
      <c r="A309" t="s">
        <v>141</v>
      </c>
      <c r="B309" t="s">
        <v>205</v>
      </c>
      <c r="C309" t="s">
        <v>206</v>
      </c>
      <c r="D309" t="s">
        <v>207</v>
      </c>
      <c r="E309" t="s">
        <v>227</v>
      </c>
      <c r="F309" s="23" t="s">
        <v>229</v>
      </c>
      <c r="G309" s="27" t="s">
        <v>233</v>
      </c>
      <c r="H309" s="25">
        <v>98779.031764064726</v>
      </c>
      <c r="I309" s="25">
        <v>55184.03298104601</v>
      </c>
      <c r="J309" s="25">
        <v>159349.36705676946</v>
      </c>
      <c r="K309" s="25">
        <v>92376.45155637995</v>
      </c>
      <c r="L309" s="25">
        <v>118206.85876352323</v>
      </c>
      <c r="M309" s="25">
        <v>141956.43832521196</v>
      </c>
      <c r="N309" s="25">
        <v>119282.78799045493</v>
      </c>
      <c r="O309" s="25">
        <v>137846.62145620375</v>
      </c>
      <c r="P309" s="25">
        <v>142987.52604160612</v>
      </c>
      <c r="Q309" s="25">
        <v>109576.01590812128</v>
      </c>
      <c r="R309" s="25">
        <v>79847.372012952197</v>
      </c>
      <c r="S309" s="25">
        <v>91057.759644838705</v>
      </c>
      <c r="T309" s="22">
        <f t="shared" si="5"/>
        <v>1346450.2635011724</v>
      </c>
    </row>
    <row r="310" spans="1:20" x14ac:dyDescent="0.3">
      <c r="A310" t="s">
        <v>141</v>
      </c>
      <c r="B310" t="s">
        <v>205</v>
      </c>
      <c r="C310" t="s">
        <v>206</v>
      </c>
      <c r="D310" t="s">
        <v>207</v>
      </c>
      <c r="E310" t="s">
        <v>227</v>
      </c>
      <c r="F310" s="23" t="s">
        <v>230</v>
      </c>
      <c r="G310" s="27" t="s">
        <v>233</v>
      </c>
      <c r="H310" s="25">
        <v>58303.505740033135</v>
      </c>
      <c r="I310" s="25">
        <v>36902.750312225471</v>
      </c>
      <c r="J310" s="25">
        <v>106526.74874126341</v>
      </c>
      <c r="K310" s="25">
        <v>43523.684311725032</v>
      </c>
      <c r="L310" s="25">
        <v>60096.824155617178</v>
      </c>
      <c r="M310" s="25">
        <v>80486.517018463695</v>
      </c>
      <c r="N310" s="25">
        <v>91809.915427157321</v>
      </c>
      <c r="O310" s="25">
        <v>87457.038546977303</v>
      </c>
      <c r="P310" s="25">
        <v>74741.344190877513</v>
      </c>
      <c r="Q310" s="25">
        <v>61009.901763803849</v>
      </c>
      <c r="R310" s="25">
        <v>53628.431810846174</v>
      </c>
      <c r="S310" s="25">
        <v>49945.321560793484</v>
      </c>
      <c r="T310" s="22">
        <f t="shared" si="5"/>
        <v>804431.98357978347</v>
      </c>
    </row>
    <row r="311" spans="1:20" x14ac:dyDescent="0.3">
      <c r="A311" t="s">
        <v>141</v>
      </c>
      <c r="B311" t="s">
        <v>205</v>
      </c>
      <c r="C311" t="s">
        <v>206</v>
      </c>
      <c r="D311" t="s">
        <v>207</v>
      </c>
      <c r="E311" t="s">
        <v>227</v>
      </c>
      <c r="F311" s="23" t="s">
        <v>231</v>
      </c>
      <c r="G311" s="27" t="s">
        <v>233</v>
      </c>
      <c r="H311" s="25">
        <v>88557.668504927307</v>
      </c>
      <c r="I311" s="25">
        <v>50941.283366254276</v>
      </c>
      <c r="J311" s="25">
        <v>150399.86195304047</v>
      </c>
      <c r="K311" s="25">
        <v>73507.679290483211</v>
      </c>
      <c r="L311" s="25">
        <v>108755.32182424329</v>
      </c>
      <c r="M311" s="25">
        <v>142247.96024472266</v>
      </c>
      <c r="N311" s="25">
        <v>118168.10135425974</v>
      </c>
      <c r="O311" s="25">
        <v>129407.27769128521</v>
      </c>
      <c r="P311" s="25">
        <v>119360.96428463838</v>
      </c>
      <c r="Q311" s="25">
        <v>111401.72893929962</v>
      </c>
      <c r="R311" s="25">
        <v>75647.898981413848</v>
      </c>
      <c r="S311" s="25">
        <v>89991.613757379717</v>
      </c>
      <c r="T311" s="22">
        <f t="shared" si="5"/>
        <v>1258387.360191948</v>
      </c>
    </row>
  </sheetData>
  <phoneticPr fontId="13" type="noConversion"/>
  <conditionalFormatting sqref="E8:G11 E13:G13">
    <cfRule type="duplicateValues" dxfId="3" priority="4"/>
  </conditionalFormatting>
  <conditionalFormatting sqref="E12:G12">
    <cfRule type="duplicateValues" dxfId="2" priority="3"/>
  </conditionalFormatting>
  <conditionalFormatting sqref="E163:F166 E168:F168">
    <cfRule type="duplicateValues" dxfId="1" priority="2"/>
  </conditionalFormatting>
  <conditionalFormatting sqref="E167:F167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Surgical TGT25 Value</vt:lpstr>
      <vt:lpstr>Surgical TGT25 Unit</vt:lpstr>
      <vt:lpstr>target</vt:lpstr>
    </vt:vector>
  </TitlesOfParts>
  <Company>Alcon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Mei, Crystal</dc:creator>
  <cp:lastModifiedBy>Zhu Yue</cp:lastModifiedBy>
  <dcterms:created xsi:type="dcterms:W3CDTF">2025-03-26T06:40:32Z</dcterms:created>
  <dcterms:modified xsi:type="dcterms:W3CDTF">2025-03-29T12:20:42Z</dcterms:modified>
</cp:coreProperties>
</file>